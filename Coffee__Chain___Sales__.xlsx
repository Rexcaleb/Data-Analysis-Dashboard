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hp\Downloads\Caleb Files\"/>
    </mc:Choice>
  </mc:AlternateContent>
  <xr:revisionPtr revIDLastSave="0" documentId="8_{AA4867CC-2635-4487-85B0-6858B0EE2FDC}" xr6:coauthVersionLast="47" xr6:coauthVersionMax="47" xr10:uidLastSave="{00000000-0000-0000-0000-000000000000}"/>
  <bookViews>
    <workbookView xWindow="-120" yWindow="-120" windowWidth="20730" windowHeight="11040" firstSheet="3" activeTab="4" xr2:uid="{2D9C5CFD-092D-4768-B721-401FCA577DF6}"/>
  </bookViews>
  <sheets>
    <sheet name="KPIs" sheetId="3" r:id="rId1"/>
    <sheet name="Product Performance Analysis" sheetId="4" r:id="rId2"/>
    <sheet name="Sales &amp; Profit Analysis" sheetId="5" r:id="rId3"/>
    <sheet name="Actual Vs Target Variances" sheetId="7" r:id="rId4"/>
    <sheet name="Coffee_Chain_Sales " sheetId="2" r:id="rId5"/>
    <sheet name="COGS % of Sales Vs Profit Margi" sheetId="8" r:id="rId6"/>
    <sheet name="Dashboard" sheetId="6" r:id="rId7"/>
  </sheets>
  <definedNames>
    <definedName name="AveragePM">KPIs!$A$10</definedName>
    <definedName name="ExternalData_1" localSheetId="4" hidden="1">'Coffee_Chain_Sales '!$A$1:$U$1063</definedName>
    <definedName name="NativeTimeline_Date">#N/A</definedName>
    <definedName name="Slicer_Market">#N/A</definedName>
    <definedName name="Slicer_Product_line">#N/A</definedName>
    <definedName name="TotalProfit">KPIs!$A$7</definedName>
    <definedName name="TotalSales">KPIs!$A$4</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 i="2" l="1"/>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351" i="2"/>
  <c r="Z352" i="2"/>
  <c r="Z353" i="2"/>
  <c r="Z354" i="2"/>
  <c r="Z355" i="2"/>
  <c r="Z356" i="2"/>
  <c r="Z357" i="2"/>
  <c r="Z358" i="2"/>
  <c r="Z359" i="2"/>
  <c r="Z360" i="2"/>
  <c r="Z361" i="2"/>
  <c r="Z362" i="2"/>
  <c r="Z363" i="2"/>
  <c r="Z364" i="2"/>
  <c r="Z365" i="2"/>
  <c r="Z366" i="2"/>
  <c r="Z367" i="2"/>
  <c r="Z368" i="2"/>
  <c r="Z369" i="2"/>
  <c r="Z370" i="2"/>
  <c r="Z371" i="2"/>
  <c r="Z372" i="2"/>
  <c r="Z373" i="2"/>
  <c r="Z374" i="2"/>
  <c r="Z375" i="2"/>
  <c r="Z376" i="2"/>
  <c r="Z377" i="2"/>
  <c r="Z378" i="2"/>
  <c r="Z379" i="2"/>
  <c r="Z380" i="2"/>
  <c r="Z381" i="2"/>
  <c r="Z382" i="2"/>
  <c r="Z383" i="2"/>
  <c r="Z384" i="2"/>
  <c r="Z385" i="2"/>
  <c r="Z386" i="2"/>
  <c r="Z387" i="2"/>
  <c r="Z388" i="2"/>
  <c r="Z389" i="2"/>
  <c r="Z390" i="2"/>
  <c r="Z391" i="2"/>
  <c r="Z392" i="2"/>
  <c r="Z393" i="2"/>
  <c r="Z394" i="2"/>
  <c r="Z395" i="2"/>
  <c r="Z396" i="2"/>
  <c r="Z397" i="2"/>
  <c r="Z398" i="2"/>
  <c r="Z399" i="2"/>
  <c r="Z400" i="2"/>
  <c r="Z401" i="2"/>
  <c r="Z402" i="2"/>
  <c r="Z403" i="2"/>
  <c r="Z404" i="2"/>
  <c r="Z405" i="2"/>
  <c r="Z406" i="2"/>
  <c r="Z407" i="2"/>
  <c r="Z408" i="2"/>
  <c r="Z409" i="2"/>
  <c r="Z410" i="2"/>
  <c r="Z411" i="2"/>
  <c r="Z412" i="2"/>
  <c r="Z413" i="2"/>
  <c r="Z414" i="2"/>
  <c r="Z415" i="2"/>
  <c r="Z416" i="2"/>
  <c r="Z417" i="2"/>
  <c r="Z418" i="2"/>
  <c r="Z419" i="2"/>
  <c r="Z420" i="2"/>
  <c r="Z421" i="2"/>
  <c r="Z422" i="2"/>
  <c r="Z423" i="2"/>
  <c r="Z424" i="2"/>
  <c r="Z425" i="2"/>
  <c r="Z426" i="2"/>
  <c r="Z427" i="2"/>
  <c r="Z428" i="2"/>
  <c r="Z429" i="2"/>
  <c r="Z430" i="2"/>
  <c r="Z431" i="2"/>
  <c r="Z432" i="2"/>
  <c r="Z433" i="2"/>
  <c r="Z434" i="2"/>
  <c r="Z435" i="2"/>
  <c r="Z436" i="2"/>
  <c r="Z437" i="2"/>
  <c r="Z438" i="2"/>
  <c r="Z439" i="2"/>
  <c r="Z440" i="2"/>
  <c r="Z441" i="2"/>
  <c r="Z442" i="2"/>
  <c r="Z443" i="2"/>
  <c r="Z444" i="2"/>
  <c r="Z445" i="2"/>
  <c r="Z446" i="2"/>
  <c r="Z447" i="2"/>
  <c r="Z448" i="2"/>
  <c r="Z449" i="2"/>
  <c r="Z450" i="2"/>
  <c r="Z451" i="2"/>
  <c r="Z452" i="2"/>
  <c r="Z453" i="2"/>
  <c r="Z454" i="2"/>
  <c r="Z455" i="2"/>
  <c r="Z456" i="2"/>
  <c r="Z457" i="2"/>
  <c r="Z458" i="2"/>
  <c r="Z459" i="2"/>
  <c r="Z460" i="2"/>
  <c r="Z461" i="2"/>
  <c r="Z462" i="2"/>
  <c r="Z463" i="2"/>
  <c r="Z464" i="2"/>
  <c r="Z465" i="2"/>
  <c r="Z466" i="2"/>
  <c r="Z467" i="2"/>
  <c r="Z468" i="2"/>
  <c r="Z469" i="2"/>
  <c r="Z470" i="2"/>
  <c r="Z471" i="2"/>
  <c r="Z472" i="2"/>
  <c r="Z473" i="2"/>
  <c r="Z474" i="2"/>
  <c r="Z475" i="2"/>
  <c r="Z476" i="2"/>
  <c r="Z477" i="2"/>
  <c r="Z478" i="2"/>
  <c r="Z479" i="2"/>
  <c r="Z480" i="2"/>
  <c r="Z481" i="2"/>
  <c r="Z482" i="2"/>
  <c r="Z483" i="2"/>
  <c r="Z484" i="2"/>
  <c r="Z485" i="2"/>
  <c r="Z486" i="2"/>
  <c r="Z487" i="2"/>
  <c r="Z488" i="2"/>
  <c r="Z489" i="2"/>
  <c r="Z490" i="2"/>
  <c r="Z491" i="2"/>
  <c r="Z492" i="2"/>
  <c r="Z493" i="2"/>
  <c r="Z494" i="2"/>
  <c r="Z495" i="2"/>
  <c r="Z496" i="2"/>
  <c r="Z497" i="2"/>
  <c r="Z498" i="2"/>
  <c r="Z499" i="2"/>
  <c r="Z500" i="2"/>
  <c r="Z501" i="2"/>
  <c r="Z502" i="2"/>
  <c r="Z503" i="2"/>
  <c r="Z504" i="2"/>
  <c r="Z505" i="2"/>
  <c r="Z506" i="2"/>
  <c r="Z507" i="2"/>
  <c r="Z508" i="2"/>
  <c r="Z509" i="2"/>
  <c r="Z510" i="2"/>
  <c r="Z511" i="2"/>
  <c r="Z512" i="2"/>
  <c r="Z513" i="2"/>
  <c r="Z514" i="2"/>
  <c r="Z515" i="2"/>
  <c r="Z516" i="2"/>
  <c r="Z517" i="2"/>
  <c r="Z518" i="2"/>
  <c r="Z519" i="2"/>
  <c r="Z520" i="2"/>
  <c r="Z521" i="2"/>
  <c r="Z522" i="2"/>
  <c r="Z523" i="2"/>
  <c r="Z524" i="2"/>
  <c r="Z525" i="2"/>
  <c r="Z526" i="2"/>
  <c r="Z527" i="2"/>
  <c r="Z528" i="2"/>
  <c r="Z529" i="2"/>
  <c r="Z530" i="2"/>
  <c r="Z531" i="2"/>
  <c r="Z532" i="2"/>
  <c r="Z533" i="2"/>
  <c r="Z534" i="2"/>
  <c r="Z535" i="2"/>
  <c r="Z536" i="2"/>
  <c r="Z537" i="2"/>
  <c r="Z538" i="2"/>
  <c r="Z539" i="2"/>
  <c r="Z540" i="2"/>
  <c r="Z541" i="2"/>
  <c r="Z542" i="2"/>
  <c r="Z543" i="2"/>
  <c r="Z544" i="2"/>
  <c r="Z545" i="2"/>
  <c r="Z546" i="2"/>
  <c r="Z547" i="2"/>
  <c r="Z548" i="2"/>
  <c r="Z549" i="2"/>
  <c r="Z550" i="2"/>
  <c r="Z551" i="2"/>
  <c r="Z552" i="2"/>
  <c r="Z553" i="2"/>
  <c r="Z554" i="2"/>
  <c r="Z555" i="2"/>
  <c r="Z556" i="2"/>
  <c r="Z557" i="2"/>
  <c r="Z558" i="2"/>
  <c r="Z559" i="2"/>
  <c r="Z560" i="2"/>
  <c r="Z561" i="2"/>
  <c r="Z562" i="2"/>
  <c r="Z563" i="2"/>
  <c r="Z564" i="2"/>
  <c r="Z565" i="2"/>
  <c r="Z566" i="2"/>
  <c r="Z567" i="2"/>
  <c r="Z568" i="2"/>
  <c r="Z569" i="2"/>
  <c r="Z570" i="2"/>
  <c r="Z571" i="2"/>
  <c r="Z572" i="2"/>
  <c r="Z573" i="2"/>
  <c r="Z574" i="2"/>
  <c r="Z575" i="2"/>
  <c r="Z576" i="2"/>
  <c r="Z577" i="2"/>
  <c r="Z578" i="2"/>
  <c r="Z579" i="2"/>
  <c r="Z580" i="2"/>
  <c r="Z581" i="2"/>
  <c r="Z582" i="2"/>
  <c r="Z583" i="2"/>
  <c r="Z584" i="2"/>
  <c r="Z585" i="2"/>
  <c r="Z586" i="2"/>
  <c r="Z587" i="2"/>
  <c r="Z588" i="2"/>
  <c r="Z589" i="2"/>
  <c r="Z590" i="2"/>
  <c r="Z591" i="2"/>
  <c r="Z592" i="2"/>
  <c r="Z593" i="2"/>
  <c r="Z594" i="2"/>
  <c r="Z595" i="2"/>
  <c r="Z596" i="2"/>
  <c r="Z597" i="2"/>
  <c r="Z598" i="2"/>
  <c r="Z599" i="2"/>
  <c r="Z600" i="2"/>
  <c r="Z601" i="2"/>
  <c r="Z602" i="2"/>
  <c r="Z603" i="2"/>
  <c r="Z604" i="2"/>
  <c r="Z605" i="2"/>
  <c r="Z606" i="2"/>
  <c r="Z607" i="2"/>
  <c r="Z608" i="2"/>
  <c r="Z609" i="2"/>
  <c r="Z610" i="2"/>
  <c r="Z611" i="2"/>
  <c r="Z612" i="2"/>
  <c r="Z613" i="2"/>
  <c r="Z614" i="2"/>
  <c r="Z615" i="2"/>
  <c r="Z616" i="2"/>
  <c r="Z617" i="2"/>
  <c r="Z618" i="2"/>
  <c r="Z619" i="2"/>
  <c r="Z620" i="2"/>
  <c r="Z621" i="2"/>
  <c r="Z622" i="2"/>
  <c r="Z623" i="2"/>
  <c r="Z624" i="2"/>
  <c r="Z625" i="2"/>
  <c r="Z626" i="2"/>
  <c r="Z627" i="2"/>
  <c r="Z628" i="2"/>
  <c r="Z629" i="2"/>
  <c r="Z630" i="2"/>
  <c r="Z631" i="2"/>
  <c r="Z632" i="2"/>
  <c r="Z633" i="2"/>
  <c r="Z634" i="2"/>
  <c r="Z635" i="2"/>
  <c r="Z636" i="2"/>
  <c r="Z637" i="2"/>
  <c r="Z638" i="2"/>
  <c r="Z639" i="2"/>
  <c r="Z640" i="2"/>
  <c r="Z641" i="2"/>
  <c r="Z642" i="2"/>
  <c r="Z643" i="2"/>
  <c r="Z644" i="2"/>
  <c r="Z645" i="2"/>
  <c r="Z646" i="2"/>
  <c r="Z647" i="2"/>
  <c r="Z648" i="2"/>
  <c r="Z649" i="2"/>
  <c r="Z650" i="2"/>
  <c r="Z651" i="2"/>
  <c r="Z652" i="2"/>
  <c r="Z653" i="2"/>
  <c r="Z654" i="2"/>
  <c r="Z655" i="2"/>
  <c r="Z656" i="2"/>
  <c r="Z657" i="2"/>
  <c r="Z658" i="2"/>
  <c r="Z659" i="2"/>
  <c r="Z660" i="2"/>
  <c r="Z661" i="2"/>
  <c r="Z662" i="2"/>
  <c r="Z663" i="2"/>
  <c r="Z664" i="2"/>
  <c r="Z665" i="2"/>
  <c r="Z666" i="2"/>
  <c r="Z667" i="2"/>
  <c r="Z668" i="2"/>
  <c r="Z669" i="2"/>
  <c r="Z670" i="2"/>
  <c r="Z671" i="2"/>
  <c r="Z672" i="2"/>
  <c r="Z673" i="2"/>
  <c r="Z674" i="2"/>
  <c r="Z675" i="2"/>
  <c r="Z676" i="2"/>
  <c r="Z677" i="2"/>
  <c r="Z678" i="2"/>
  <c r="Z679" i="2"/>
  <c r="Z680" i="2"/>
  <c r="Z681" i="2"/>
  <c r="Z682" i="2"/>
  <c r="Z683" i="2"/>
  <c r="Z684" i="2"/>
  <c r="Z685" i="2"/>
  <c r="Z686" i="2"/>
  <c r="Z687" i="2"/>
  <c r="Z688" i="2"/>
  <c r="Z689" i="2"/>
  <c r="Z690" i="2"/>
  <c r="Z691" i="2"/>
  <c r="Z692" i="2"/>
  <c r="Z693" i="2"/>
  <c r="Z694" i="2"/>
  <c r="Z695" i="2"/>
  <c r="Z696" i="2"/>
  <c r="Z697" i="2"/>
  <c r="Z698" i="2"/>
  <c r="Z699" i="2"/>
  <c r="Z700" i="2"/>
  <c r="Z701" i="2"/>
  <c r="Z702" i="2"/>
  <c r="Z703" i="2"/>
  <c r="Z704" i="2"/>
  <c r="Z705" i="2"/>
  <c r="Z706" i="2"/>
  <c r="Z707" i="2"/>
  <c r="Z708" i="2"/>
  <c r="Z709" i="2"/>
  <c r="Z710" i="2"/>
  <c r="Z711" i="2"/>
  <c r="Z712" i="2"/>
  <c r="Z713" i="2"/>
  <c r="Z714" i="2"/>
  <c r="Z715" i="2"/>
  <c r="Z716" i="2"/>
  <c r="Z717" i="2"/>
  <c r="Z718" i="2"/>
  <c r="Z719" i="2"/>
  <c r="Z720" i="2"/>
  <c r="Z721" i="2"/>
  <c r="Z722" i="2"/>
  <c r="Z723" i="2"/>
  <c r="Z724" i="2"/>
  <c r="Z725" i="2"/>
  <c r="Z726" i="2"/>
  <c r="Z727" i="2"/>
  <c r="Z728" i="2"/>
  <c r="Z729" i="2"/>
  <c r="Z730" i="2"/>
  <c r="Z731" i="2"/>
  <c r="Z732" i="2"/>
  <c r="Z733" i="2"/>
  <c r="Z734" i="2"/>
  <c r="Z735" i="2"/>
  <c r="Z736" i="2"/>
  <c r="Z737" i="2"/>
  <c r="Z738" i="2"/>
  <c r="Z739" i="2"/>
  <c r="Z740" i="2"/>
  <c r="Z741" i="2"/>
  <c r="Z742" i="2"/>
  <c r="Z743" i="2"/>
  <c r="Z744" i="2"/>
  <c r="Z745" i="2"/>
  <c r="Z746" i="2"/>
  <c r="Z747" i="2"/>
  <c r="Z748" i="2"/>
  <c r="Z749" i="2"/>
  <c r="Z750" i="2"/>
  <c r="Z751" i="2"/>
  <c r="Z752" i="2"/>
  <c r="Z753" i="2"/>
  <c r="Z754" i="2"/>
  <c r="Z755" i="2"/>
  <c r="Z756" i="2"/>
  <c r="Z757" i="2"/>
  <c r="Z758" i="2"/>
  <c r="Z759" i="2"/>
  <c r="Z760" i="2"/>
  <c r="Z761" i="2"/>
  <c r="Z762" i="2"/>
  <c r="Z763" i="2"/>
  <c r="Z764" i="2"/>
  <c r="Z765" i="2"/>
  <c r="Z766" i="2"/>
  <c r="Z767" i="2"/>
  <c r="Z768" i="2"/>
  <c r="Z769" i="2"/>
  <c r="Z770" i="2"/>
  <c r="Z771" i="2"/>
  <c r="Z772" i="2"/>
  <c r="Z773" i="2"/>
  <c r="Z774" i="2"/>
  <c r="Z775" i="2"/>
  <c r="Z776" i="2"/>
  <c r="Z777" i="2"/>
  <c r="Z778" i="2"/>
  <c r="Z779" i="2"/>
  <c r="Z780" i="2"/>
  <c r="Z781" i="2"/>
  <c r="Z782" i="2"/>
  <c r="Z783" i="2"/>
  <c r="Z784" i="2"/>
  <c r="Z785" i="2"/>
  <c r="Z786" i="2"/>
  <c r="Z787" i="2"/>
  <c r="Z788" i="2"/>
  <c r="Z789" i="2"/>
  <c r="Z790" i="2"/>
  <c r="Z791" i="2"/>
  <c r="Z792" i="2"/>
  <c r="Z793" i="2"/>
  <c r="Z794" i="2"/>
  <c r="Z795" i="2"/>
  <c r="Z796" i="2"/>
  <c r="Z797" i="2"/>
  <c r="Z798" i="2"/>
  <c r="Z799" i="2"/>
  <c r="Z800" i="2"/>
  <c r="Z801" i="2"/>
  <c r="Z802" i="2"/>
  <c r="Z803" i="2"/>
  <c r="Z804" i="2"/>
  <c r="Z805" i="2"/>
  <c r="Z806" i="2"/>
  <c r="Z807" i="2"/>
  <c r="Z808" i="2"/>
  <c r="Z809" i="2"/>
  <c r="Z810" i="2"/>
  <c r="Z811" i="2"/>
  <c r="Z812" i="2"/>
  <c r="Z813" i="2"/>
  <c r="Z814" i="2"/>
  <c r="Z815" i="2"/>
  <c r="Z816" i="2"/>
  <c r="Z817" i="2"/>
  <c r="Z818" i="2"/>
  <c r="Z819" i="2"/>
  <c r="Z820" i="2"/>
  <c r="Z821" i="2"/>
  <c r="Z822" i="2"/>
  <c r="Z823" i="2"/>
  <c r="Z824" i="2"/>
  <c r="Z825" i="2"/>
  <c r="Z826" i="2"/>
  <c r="Z827" i="2"/>
  <c r="Z828" i="2"/>
  <c r="Z829" i="2"/>
  <c r="Z830" i="2"/>
  <c r="Z831" i="2"/>
  <c r="Z832" i="2"/>
  <c r="Z833" i="2"/>
  <c r="Z834" i="2"/>
  <c r="Z835" i="2"/>
  <c r="Z836" i="2"/>
  <c r="Z837" i="2"/>
  <c r="Z838" i="2"/>
  <c r="Z839" i="2"/>
  <c r="Z840" i="2"/>
  <c r="Z841" i="2"/>
  <c r="Z842" i="2"/>
  <c r="Z843" i="2"/>
  <c r="Z844" i="2"/>
  <c r="Z845" i="2"/>
  <c r="Z846" i="2"/>
  <c r="Z847" i="2"/>
  <c r="Z848" i="2"/>
  <c r="Z849" i="2"/>
  <c r="Z850" i="2"/>
  <c r="Z851" i="2"/>
  <c r="Z852" i="2"/>
  <c r="Z853" i="2"/>
  <c r="Z854" i="2"/>
  <c r="Z855" i="2"/>
  <c r="Z856" i="2"/>
  <c r="Z857" i="2"/>
  <c r="Z858" i="2"/>
  <c r="Z859" i="2"/>
  <c r="Z860" i="2"/>
  <c r="Z861" i="2"/>
  <c r="Z862" i="2"/>
  <c r="Z863" i="2"/>
  <c r="Z864" i="2"/>
  <c r="Z865" i="2"/>
  <c r="Z866" i="2"/>
  <c r="Z867" i="2"/>
  <c r="Z868" i="2"/>
  <c r="Z869" i="2"/>
  <c r="Z870" i="2"/>
  <c r="Z871" i="2"/>
  <c r="Z872" i="2"/>
  <c r="Z873" i="2"/>
  <c r="Z874" i="2"/>
  <c r="Z875" i="2"/>
  <c r="Z876" i="2"/>
  <c r="Z877" i="2"/>
  <c r="Z878" i="2"/>
  <c r="Z879" i="2"/>
  <c r="Z880" i="2"/>
  <c r="Z881" i="2"/>
  <c r="Z882" i="2"/>
  <c r="Z883" i="2"/>
  <c r="Z884" i="2"/>
  <c r="Z885" i="2"/>
  <c r="Z886" i="2"/>
  <c r="Z887" i="2"/>
  <c r="Z888" i="2"/>
  <c r="Z889" i="2"/>
  <c r="Z890" i="2"/>
  <c r="Z891" i="2"/>
  <c r="Z892" i="2"/>
  <c r="Z893" i="2"/>
  <c r="Z894" i="2"/>
  <c r="Z895" i="2"/>
  <c r="Z896" i="2"/>
  <c r="Z897" i="2"/>
  <c r="Z898" i="2"/>
  <c r="Z899" i="2"/>
  <c r="Z900" i="2"/>
  <c r="Z901" i="2"/>
  <c r="Z902" i="2"/>
  <c r="Z903" i="2"/>
  <c r="Z904" i="2"/>
  <c r="Z905" i="2"/>
  <c r="Z906" i="2"/>
  <c r="Z907" i="2"/>
  <c r="Z908" i="2"/>
  <c r="Z909" i="2"/>
  <c r="Z910" i="2"/>
  <c r="Z911" i="2"/>
  <c r="Z912" i="2"/>
  <c r="Z913" i="2"/>
  <c r="Z914" i="2"/>
  <c r="Z915" i="2"/>
  <c r="Z916" i="2"/>
  <c r="Z917" i="2"/>
  <c r="Z918" i="2"/>
  <c r="Z919" i="2"/>
  <c r="Z920" i="2"/>
  <c r="Z921" i="2"/>
  <c r="Z922" i="2"/>
  <c r="Z923" i="2"/>
  <c r="Z924" i="2"/>
  <c r="Z925" i="2"/>
  <c r="Z926" i="2"/>
  <c r="Z927" i="2"/>
  <c r="Z928" i="2"/>
  <c r="Z929" i="2"/>
  <c r="Z930" i="2"/>
  <c r="Z931" i="2"/>
  <c r="Z932" i="2"/>
  <c r="Z933" i="2"/>
  <c r="Z934" i="2"/>
  <c r="Z935" i="2"/>
  <c r="Z936" i="2"/>
  <c r="Z937" i="2"/>
  <c r="Z938" i="2"/>
  <c r="Z939" i="2"/>
  <c r="Z940" i="2"/>
  <c r="Z941" i="2"/>
  <c r="Z942" i="2"/>
  <c r="Z943" i="2"/>
  <c r="Z944" i="2"/>
  <c r="Z945" i="2"/>
  <c r="Z946" i="2"/>
  <c r="Z947" i="2"/>
  <c r="Z948" i="2"/>
  <c r="Z949" i="2"/>
  <c r="Z950" i="2"/>
  <c r="Z951" i="2"/>
  <c r="Z952" i="2"/>
  <c r="Z953" i="2"/>
  <c r="Z954" i="2"/>
  <c r="Z955" i="2"/>
  <c r="Z956" i="2"/>
  <c r="Z957" i="2"/>
  <c r="Z958" i="2"/>
  <c r="Z959" i="2"/>
  <c r="Z960" i="2"/>
  <c r="Z961" i="2"/>
  <c r="Z962" i="2"/>
  <c r="Z963" i="2"/>
  <c r="Z964" i="2"/>
  <c r="Z965" i="2"/>
  <c r="Z966" i="2"/>
  <c r="Z967" i="2"/>
  <c r="Z968" i="2"/>
  <c r="Z969" i="2"/>
  <c r="Z970" i="2"/>
  <c r="Z971" i="2"/>
  <c r="Z972" i="2"/>
  <c r="Z973" i="2"/>
  <c r="Z974" i="2"/>
  <c r="Z975" i="2"/>
  <c r="Z976" i="2"/>
  <c r="Z977" i="2"/>
  <c r="Z978" i="2"/>
  <c r="Z979" i="2"/>
  <c r="Z980" i="2"/>
  <c r="Z981" i="2"/>
  <c r="Z982" i="2"/>
  <c r="Z983" i="2"/>
  <c r="Z984" i="2"/>
  <c r="Z985" i="2"/>
  <c r="Z986" i="2"/>
  <c r="Z987" i="2"/>
  <c r="Z988" i="2"/>
  <c r="Z989" i="2"/>
  <c r="Z990" i="2"/>
  <c r="Z991" i="2"/>
  <c r="Z992" i="2"/>
  <c r="Z993" i="2"/>
  <c r="Z994" i="2"/>
  <c r="Z995" i="2"/>
  <c r="Z996" i="2"/>
  <c r="Z997" i="2"/>
  <c r="Z998" i="2"/>
  <c r="Z999" i="2"/>
  <c r="Z1000" i="2"/>
  <c r="Z1001" i="2"/>
  <c r="Z1002" i="2"/>
  <c r="Z1003" i="2"/>
  <c r="Z1004" i="2"/>
  <c r="Z1005" i="2"/>
  <c r="Z1006" i="2"/>
  <c r="Z1007" i="2"/>
  <c r="Z1008" i="2"/>
  <c r="Z1009" i="2"/>
  <c r="Z1010" i="2"/>
  <c r="Z1011" i="2"/>
  <c r="Z1012" i="2"/>
  <c r="Z1013" i="2"/>
  <c r="Z1014" i="2"/>
  <c r="Z1015" i="2"/>
  <c r="Z1016" i="2"/>
  <c r="Z1017" i="2"/>
  <c r="Z1018" i="2"/>
  <c r="Z1019" i="2"/>
  <c r="Z1020" i="2"/>
  <c r="Z1021" i="2"/>
  <c r="Z1022" i="2"/>
  <c r="Z1023" i="2"/>
  <c r="Z1024" i="2"/>
  <c r="Z1025" i="2"/>
  <c r="Z1026" i="2"/>
  <c r="Z1027" i="2"/>
  <c r="Z1028" i="2"/>
  <c r="Z1029" i="2"/>
  <c r="Z1030" i="2"/>
  <c r="Z1031" i="2"/>
  <c r="Z1032" i="2"/>
  <c r="Z1033" i="2"/>
  <c r="Z1034" i="2"/>
  <c r="Z1035" i="2"/>
  <c r="Z1036" i="2"/>
  <c r="Z1037" i="2"/>
  <c r="Z1038" i="2"/>
  <c r="Z1039" i="2"/>
  <c r="Z1040" i="2"/>
  <c r="Z1041" i="2"/>
  <c r="Z1042" i="2"/>
  <c r="Z1043" i="2"/>
  <c r="Z1044" i="2"/>
  <c r="Z1045" i="2"/>
  <c r="Z1046" i="2"/>
  <c r="Z1047" i="2"/>
  <c r="Z1048" i="2"/>
  <c r="Z1049" i="2"/>
  <c r="Z1050" i="2"/>
  <c r="Z1051" i="2"/>
  <c r="Z1052" i="2"/>
  <c r="Z1053" i="2"/>
  <c r="Z1054" i="2"/>
  <c r="Z1055" i="2"/>
  <c r="Z1056" i="2"/>
  <c r="Z1057" i="2"/>
  <c r="Z1058" i="2"/>
  <c r="Z1059" i="2"/>
  <c r="Z1060" i="2"/>
  <c r="Z1061" i="2"/>
  <c r="Z1062" i="2"/>
  <c r="Z1063" i="2"/>
  <c r="Y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AA206" i="2" s="1"/>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AA278" i="2" s="1"/>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AA306" i="2" s="1"/>
  <c r="V307" i="2"/>
  <c r="V308" i="2"/>
  <c r="V309" i="2"/>
  <c r="V310" i="2"/>
  <c r="V311" i="2"/>
  <c r="V312" i="2"/>
  <c r="V313" i="2"/>
  <c r="V314" i="2"/>
  <c r="V315" i="2"/>
  <c r="V316" i="2"/>
  <c r="V317" i="2"/>
  <c r="V318" i="2"/>
  <c r="V319" i="2"/>
  <c r="V320" i="2"/>
  <c r="V321" i="2"/>
  <c r="V322" i="2"/>
  <c r="AA322" i="2" s="1"/>
  <c r="V323" i="2"/>
  <c r="V324" i="2"/>
  <c r="V325" i="2"/>
  <c r="V326" i="2"/>
  <c r="V327" i="2"/>
  <c r="V328" i="2"/>
  <c r="V329" i="2"/>
  <c r="V330" i="2"/>
  <c r="V331" i="2"/>
  <c r="V332" i="2"/>
  <c r="V333" i="2"/>
  <c r="V334" i="2"/>
  <c r="AA334" i="2" s="1"/>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AA366" i="2" s="1"/>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AA438" i="2" s="1"/>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AA466" i="2" s="1"/>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AA494" i="2" s="1"/>
  <c r="V495" i="2"/>
  <c r="V496" i="2"/>
  <c r="V497" i="2"/>
  <c r="V498" i="2"/>
  <c r="V499" i="2"/>
  <c r="V500" i="2"/>
  <c r="V501" i="2"/>
  <c r="V502" i="2"/>
  <c r="AA502" i="2" s="1"/>
  <c r="V503" i="2"/>
  <c r="V504" i="2"/>
  <c r="V505" i="2"/>
  <c r="V506" i="2"/>
  <c r="V507" i="2"/>
  <c r="V508" i="2"/>
  <c r="V509" i="2"/>
  <c r="V510" i="2"/>
  <c r="V511" i="2"/>
  <c r="V512" i="2"/>
  <c r="V513" i="2"/>
  <c r="V514" i="2"/>
  <c r="V515" i="2"/>
  <c r="V516" i="2"/>
  <c r="V517" i="2"/>
  <c r="V518" i="2"/>
  <c r="V519" i="2"/>
  <c r="V520" i="2"/>
  <c r="V521" i="2"/>
  <c r="V522" i="2"/>
  <c r="V523" i="2"/>
  <c r="V524" i="2"/>
  <c r="V525" i="2"/>
  <c r="V526" i="2"/>
  <c r="AA526" i="2" s="1"/>
  <c r="V527" i="2"/>
  <c r="V528" i="2"/>
  <c r="V529" i="2"/>
  <c r="V530" i="2"/>
  <c r="V531" i="2"/>
  <c r="V532" i="2"/>
  <c r="V533" i="2"/>
  <c r="V534" i="2"/>
  <c r="V535" i="2"/>
  <c r="V536" i="2"/>
  <c r="V537" i="2"/>
  <c r="V538" i="2"/>
  <c r="V539" i="2"/>
  <c r="V540" i="2"/>
  <c r="V541" i="2"/>
  <c r="V542" i="2"/>
  <c r="AA542" i="2" s="1"/>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AA574" i="2" s="1"/>
  <c r="V575" i="2"/>
  <c r="V576" i="2"/>
  <c r="V577" i="2"/>
  <c r="V578" i="2"/>
  <c r="V579" i="2"/>
  <c r="V580" i="2"/>
  <c r="V581" i="2"/>
  <c r="V582" i="2"/>
  <c r="V583" i="2"/>
  <c r="V584" i="2"/>
  <c r="V585" i="2"/>
  <c r="V586" i="2"/>
  <c r="V587" i="2"/>
  <c r="V588" i="2"/>
  <c r="V589" i="2"/>
  <c r="V590" i="2"/>
  <c r="AA590" i="2" s="1"/>
  <c r="V591" i="2"/>
  <c r="V592" i="2"/>
  <c r="V593" i="2"/>
  <c r="V594" i="2"/>
  <c r="V595" i="2"/>
  <c r="V596" i="2"/>
  <c r="V597" i="2"/>
  <c r="V598" i="2"/>
  <c r="V599" i="2"/>
  <c r="V600" i="2"/>
  <c r="V601" i="2"/>
  <c r="V602" i="2"/>
  <c r="V603" i="2"/>
  <c r="V604" i="2"/>
  <c r="V605" i="2"/>
  <c r="V606" i="2"/>
  <c r="AA606" i="2" s="1"/>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AA638" i="2" s="1"/>
  <c r="V639" i="2"/>
  <c r="V640" i="2"/>
  <c r="V641" i="2"/>
  <c r="V642" i="2"/>
  <c r="V643" i="2"/>
  <c r="V644" i="2"/>
  <c r="V645" i="2"/>
  <c r="V646" i="2"/>
  <c r="V647" i="2"/>
  <c r="V648" i="2"/>
  <c r="V649" i="2"/>
  <c r="V650" i="2"/>
  <c r="V651" i="2"/>
  <c r="V652" i="2"/>
  <c r="V653" i="2"/>
  <c r="V654" i="2"/>
  <c r="AA654" i="2" s="1"/>
  <c r="V655" i="2"/>
  <c r="V656" i="2"/>
  <c r="V657" i="2"/>
  <c r="V658" i="2"/>
  <c r="V659" i="2"/>
  <c r="V660" i="2"/>
  <c r="V661" i="2"/>
  <c r="V662" i="2"/>
  <c r="V663" i="2"/>
  <c r="V664" i="2"/>
  <c r="V665" i="2"/>
  <c r="V666" i="2"/>
  <c r="V667" i="2"/>
  <c r="V668" i="2"/>
  <c r="V669" i="2"/>
  <c r="V670" i="2"/>
  <c r="AA670" i="2" s="1"/>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AA702" i="2" s="1"/>
  <c r="V703" i="2"/>
  <c r="V704" i="2"/>
  <c r="V705" i="2"/>
  <c r="V706" i="2"/>
  <c r="V707" i="2"/>
  <c r="V708" i="2"/>
  <c r="V709" i="2"/>
  <c r="V710" i="2"/>
  <c r="V711" i="2"/>
  <c r="V712" i="2"/>
  <c r="V713" i="2"/>
  <c r="V714" i="2"/>
  <c r="V715" i="2"/>
  <c r="V716" i="2"/>
  <c r="V717" i="2"/>
  <c r="V718" i="2"/>
  <c r="AA718" i="2" s="1"/>
  <c r="V719" i="2"/>
  <c r="V720" i="2"/>
  <c r="V721" i="2"/>
  <c r="V722" i="2"/>
  <c r="V723" i="2"/>
  <c r="V724" i="2"/>
  <c r="V725" i="2"/>
  <c r="V726" i="2"/>
  <c r="V727" i="2"/>
  <c r="V728" i="2"/>
  <c r="V729" i="2"/>
  <c r="V730" i="2"/>
  <c r="V731" i="2"/>
  <c r="V732" i="2"/>
  <c r="V733" i="2"/>
  <c r="V734" i="2"/>
  <c r="AA734" i="2" s="1"/>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AA766" i="2" s="1"/>
  <c r="V767" i="2"/>
  <c r="V768" i="2"/>
  <c r="V769" i="2"/>
  <c r="V770" i="2"/>
  <c r="V771" i="2"/>
  <c r="V772" i="2"/>
  <c r="V773" i="2"/>
  <c r="V774" i="2"/>
  <c r="V775" i="2"/>
  <c r="V776" i="2"/>
  <c r="V777" i="2"/>
  <c r="V778" i="2"/>
  <c r="V779" i="2"/>
  <c r="V780" i="2"/>
  <c r="V781" i="2"/>
  <c r="V782" i="2"/>
  <c r="AA782" i="2" s="1"/>
  <c r="V783" i="2"/>
  <c r="V784" i="2"/>
  <c r="V785" i="2"/>
  <c r="V786" i="2"/>
  <c r="V787" i="2"/>
  <c r="V788" i="2"/>
  <c r="V789" i="2"/>
  <c r="V790" i="2"/>
  <c r="V791" i="2"/>
  <c r="V792" i="2"/>
  <c r="V793" i="2"/>
  <c r="V794" i="2"/>
  <c r="V795" i="2"/>
  <c r="V796" i="2"/>
  <c r="V797" i="2"/>
  <c r="V798" i="2"/>
  <c r="AA798" i="2" s="1"/>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AA830" i="2" s="1"/>
  <c r="V831" i="2"/>
  <c r="V832" i="2"/>
  <c r="V833" i="2"/>
  <c r="V834" i="2"/>
  <c r="V835" i="2"/>
  <c r="V836" i="2"/>
  <c r="V837" i="2"/>
  <c r="V838" i="2"/>
  <c r="V839" i="2"/>
  <c r="V840" i="2"/>
  <c r="V841" i="2"/>
  <c r="V842" i="2"/>
  <c r="V843" i="2"/>
  <c r="V844" i="2"/>
  <c r="V845" i="2"/>
  <c r="V846" i="2"/>
  <c r="AA846" i="2" s="1"/>
  <c r="V847" i="2"/>
  <c r="V848" i="2"/>
  <c r="V849" i="2"/>
  <c r="V850" i="2"/>
  <c r="V851" i="2"/>
  <c r="V852" i="2"/>
  <c r="V853" i="2"/>
  <c r="V854" i="2"/>
  <c r="V855" i="2"/>
  <c r="V856" i="2"/>
  <c r="V857" i="2"/>
  <c r="V858" i="2"/>
  <c r="V859" i="2"/>
  <c r="V860" i="2"/>
  <c r="V861" i="2"/>
  <c r="V862" i="2"/>
  <c r="AA862" i="2" s="1"/>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AA894" i="2" s="1"/>
  <c r="V895" i="2"/>
  <c r="V896" i="2"/>
  <c r="V897" i="2"/>
  <c r="V898" i="2"/>
  <c r="V899" i="2"/>
  <c r="V900" i="2"/>
  <c r="V901" i="2"/>
  <c r="V902" i="2"/>
  <c r="V903" i="2"/>
  <c r="V904" i="2"/>
  <c r="V905" i="2"/>
  <c r="V906" i="2"/>
  <c r="V907" i="2"/>
  <c r="V908" i="2"/>
  <c r="V909" i="2"/>
  <c r="V910" i="2"/>
  <c r="AA910" i="2" s="1"/>
  <c r="V911" i="2"/>
  <c r="V912" i="2"/>
  <c r="V913" i="2"/>
  <c r="V914" i="2"/>
  <c r="V915" i="2"/>
  <c r="V916" i="2"/>
  <c r="V917" i="2"/>
  <c r="V918" i="2"/>
  <c r="V919" i="2"/>
  <c r="V920" i="2"/>
  <c r="V921" i="2"/>
  <c r="V922" i="2"/>
  <c r="V923" i="2"/>
  <c r="V924" i="2"/>
  <c r="V925" i="2"/>
  <c r="V926" i="2"/>
  <c r="AA926" i="2" s="1"/>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AA1063" i="2" s="1"/>
  <c r="AA262" i="2" l="1"/>
  <c r="AA250" i="2"/>
  <c r="AA194" i="2"/>
  <c r="AA150" i="2"/>
  <c r="AA134" i="2"/>
  <c r="AA78" i="2"/>
  <c r="AA22" i="2"/>
  <c r="AA1061" i="2"/>
  <c r="AA1045" i="2"/>
  <c r="AA1033" i="2"/>
  <c r="AA1025" i="2"/>
  <c r="AA1013" i="2"/>
  <c r="AA1001" i="2"/>
  <c r="AA993" i="2"/>
  <c r="AA981" i="2"/>
  <c r="AA969" i="2"/>
  <c r="AA961" i="2"/>
  <c r="AA949" i="2"/>
  <c r="AA937" i="2"/>
  <c r="AA889" i="2"/>
  <c r="AA841" i="2"/>
  <c r="AA809" i="2"/>
  <c r="AA761" i="2"/>
  <c r="AA713" i="2"/>
  <c r="AA649" i="2"/>
  <c r="AA617" i="2"/>
  <c r="AA569" i="2"/>
  <c r="AA521" i="2"/>
  <c r="AA481" i="2"/>
  <c r="AA452" i="2"/>
  <c r="AA445" i="2"/>
  <c r="AA424" i="2"/>
  <c r="AA417" i="2"/>
  <c r="AA396" i="2"/>
  <c r="AA381" i="2"/>
  <c r="AA353" i="2"/>
  <c r="AA50" i="2"/>
  <c r="AA1057" i="2"/>
  <c r="AA1049" i="2"/>
  <c r="AA1041" i="2"/>
  <c r="AA1029" i="2"/>
  <c r="AA1017" i="2"/>
  <c r="AA1009" i="2"/>
  <c r="AA997" i="2"/>
  <c r="AA985" i="2"/>
  <c r="AA977" i="2"/>
  <c r="AA965" i="2"/>
  <c r="AA953" i="2"/>
  <c r="AA945" i="2"/>
  <c r="AA905" i="2"/>
  <c r="AA873" i="2"/>
  <c r="AA825" i="2"/>
  <c r="AA777" i="2"/>
  <c r="AA745" i="2"/>
  <c r="AA697" i="2"/>
  <c r="AA681" i="2"/>
  <c r="AA633" i="2"/>
  <c r="AA585" i="2"/>
  <c r="AA553" i="2"/>
  <c r="AA509" i="2"/>
  <c r="AA473" i="2"/>
  <c r="AA409" i="2"/>
  <c r="AA1059" i="2"/>
  <c r="AA1055" i="2"/>
  <c r="AA1053" i="2"/>
  <c r="AA1051" i="2"/>
  <c r="AA1047" i="2"/>
  <c r="AA1043" i="2"/>
  <c r="AA1039" i="2"/>
  <c r="AA1037" i="2"/>
  <c r="AA1035" i="2"/>
  <c r="AA1031" i="2"/>
  <c r="AA1027" i="2"/>
  <c r="AA1023" i="2"/>
  <c r="AA1021" i="2"/>
  <c r="AA1019" i="2"/>
  <c r="AA1015" i="2"/>
  <c r="AA1011" i="2"/>
  <c r="AA1007" i="2"/>
  <c r="AA1005" i="2"/>
  <c r="AA1003" i="2"/>
  <c r="AA999" i="2"/>
  <c r="AA995" i="2"/>
  <c r="AA991" i="2"/>
  <c r="AA989" i="2"/>
  <c r="AA987" i="2"/>
  <c r="AA983" i="2"/>
  <c r="AA979" i="2"/>
  <c r="AA975" i="2"/>
  <c r="AA973" i="2"/>
  <c r="AA971" i="2"/>
  <c r="AA967" i="2"/>
  <c r="AA963" i="2"/>
  <c r="AA959" i="2"/>
  <c r="AA957" i="2"/>
  <c r="AA955" i="2"/>
  <c r="AA951" i="2"/>
  <c r="AA947" i="2"/>
  <c r="AA943" i="2"/>
  <c r="AA941" i="2"/>
  <c r="AA939" i="2"/>
  <c r="AA935" i="2"/>
  <c r="AA931" i="2"/>
  <c r="AA927" i="2"/>
  <c r="AA923" i="2"/>
  <c r="AA921" i="2"/>
  <c r="AA919" i="2"/>
  <c r="AA915" i="2"/>
  <c r="AA911" i="2"/>
  <c r="AA907" i="2"/>
  <c r="AA903" i="2"/>
  <c r="AA899" i="2"/>
  <c r="AA895" i="2"/>
  <c r="AA891" i="2"/>
  <c r="AA887" i="2"/>
  <c r="AA883" i="2"/>
  <c r="AA879" i="2"/>
  <c r="AA878" i="2"/>
  <c r="AA875" i="2"/>
  <c r="AA871" i="2"/>
  <c r="AA867" i="2"/>
  <c r="AA863" i="2"/>
  <c r="AA859" i="2"/>
  <c r="AA857" i="2"/>
  <c r="AA855" i="2"/>
  <c r="AA851" i="2"/>
  <c r="AA847" i="2"/>
  <c r="AA843" i="2"/>
  <c r="AA839" i="2"/>
  <c r="AA835" i="2"/>
  <c r="AA831" i="2"/>
  <c r="AA827" i="2"/>
  <c r="AA823" i="2"/>
  <c r="AA819" i="2"/>
  <c r="AA815" i="2"/>
  <c r="AA814" i="2"/>
  <c r="AA811" i="2"/>
  <c r="AA807" i="2"/>
  <c r="AA803" i="2"/>
  <c r="AA799" i="2"/>
  <c r="AA795" i="2"/>
  <c r="AA793" i="2"/>
  <c r="AA791" i="2"/>
  <c r="AA787" i="2"/>
  <c r="AA783" i="2"/>
  <c r="AA779" i="2"/>
  <c r="AA775" i="2"/>
  <c r="AA771" i="2"/>
  <c r="AA767" i="2"/>
  <c r="AA763" i="2"/>
  <c r="AA759" i="2"/>
  <c r="AA755" i="2"/>
  <c r="AA751" i="2"/>
  <c r="AA750" i="2"/>
  <c r="AA747" i="2"/>
  <c r="AA743" i="2"/>
  <c r="AA739" i="2"/>
  <c r="AA735" i="2"/>
  <c r="AA731" i="2"/>
  <c r="AA729" i="2"/>
  <c r="AA727" i="2"/>
  <c r="AA723" i="2"/>
  <c r="AA719" i="2"/>
  <c r="AA715" i="2"/>
  <c r="AA711" i="2"/>
  <c r="AA707" i="2"/>
  <c r="AA703" i="2"/>
  <c r="AA699" i="2"/>
  <c r="AA695" i="2"/>
  <c r="AA691" i="2"/>
  <c r="AA687" i="2"/>
  <c r="AA686" i="2"/>
  <c r="AA683" i="2"/>
  <c r="AA679" i="2"/>
  <c r="AA675" i="2"/>
  <c r="AA671" i="2"/>
  <c r="AA667" i="2"/>
  <c r="AA665" i="2"/>
  <c r="AA663" i="2"/>
  <c r="AA659" i="2"/>
  <c r="AA655" i="2"/>
  <c r="AA651" i="2"/>
  <c r="AA647" i="2"/>
  <c r="AA643" i="2"/>
  <c r="AA639" i="2"/>
  <c r="AA635" i="2"/>
  <c r="AA631" i="2"/>
  <c r="AA627" i="2"/>
  <c r="AA623" i="2"/>
  <c r="AA622" i="2"/>
  <c r="AA619" i="2"/>
  <c r="AA615" i="2"/>
  <c r="AA611" i="2"/>
  <c r="AA607" i="2"/>
  <c r="AA603" i="2"/>
  <c r="AA601" i="2"/>
  <c r="AA599" i="2"/>
  <c r="AA595" i="2"/>
  <c r="AA591" i="2"/>
  <c r="AA587" i="2"/>
  <c r="AA583" i="2"/>
  <c r="AA579" i="2"/>
  <c r="AA575" i="2"/>
  <c r="AA571" i="2"/>
  <c r="AA567" i="2"/>
  <c r="AA563" i="2"/>
  <c r="AA559" i="2"/>
  <c r="AA558" i="2"/>
  <c r="AA555" i="2"/>
  <c r="AA551" i="2"/>
  <c r="AA547" i="2"/>
  <c r="AA543" i="2"/>
  <c r="AA539" i="2"/>
  <c r="AA537" i="2"/>
  <c r="AA535" i="2"/>
  <c r="AA531" i="2"/>
  <c r="AA527" i="2"/>
  <c r="AA523" i="2"/>
  <c r="AA519" i="2"/>
  <c r="AA515" i="2"/>
  <c r="AA511" i="2"/>
  <c r="AA507" i="2"/>
  <c r="AA503" i="2"/>
  <c r="AA499" i="2"/>
  <c r="AA495" i="2"/>
  <c r="AA491" i="2"/>
  <c r="AA488" i="2"/>
  <c r="AA487" i="2"/>
  <c r="AA483" i="2"/>
  <c r="AA479" i="2"/>
  <c r="AA475" i="2"/>
  <c r="AA471" i="2"/>
  <c r="AA467" i="2"/>
  <c r="AA463" i="2"/>
  <c r="AA460" i="2"/>
  <c r="AA459" i="2"/>
  <c r="AA455" i="2"/>
  <c r="AA451" i="2"/>
  <c r="AA447" i="2"/>
  <c r="AA443" i="2"/>
  <c r="AA439" i="2"/>
  <c r="AA435" i="2"/>
  <c r="AA431" i="2"/>
  <c r="AA430" i="2"/>
  <c r="AA427" i="2"/>
  <c r="AA423" i="2"/>
  <c r="AA419" i="2"/>
  <c r="AA415" i="2"/>
  <c r="AA411" i="2"/>
  <c r="AA407" i="2"/>
  <c r="AA403" i="2"/>
  <c r="AA402" i="2"/>
  <c r="AA399" i="2"/>
  <c r="AA395" i="2"/>
  <c r="AA391" i="2"/>
  <c r="AA387" i="2"/>
  <c r="AA383" i="2"/>
  <c r="AA379" i="2"/>
  <c r="AA375" i="2"/>
  <c r="AA374" i="2"/>
  <c r="AA371" i="2"/>
  <c r="AA367" i="2"/>
  <c r="AA363" i="2"/>
  <c r="AA359" i="2"/>
  <c r="AA355" i="2"/>
  <c r="AA351" i="2"/>
  <c r="AA347" i="2"/>
  <c r="AA345" i="2"/>
  <c r="AA343" i="2"/>
  <c r="AA339" i="2"/>
  <c r="AA335" i="2"/>
  <c r="AA331" i="2"/>
  <c r="AA327" i="2"/>
  <c r="AA323" i="2"/>
  <c r="AA319" i="2"/>
  <c r="AA315" i="2"/>
  <c r="AA311" i="2"/>
  <c r="AA307" i="2"/>
  <c r="AA303" i="2"/>
  <c r="AA299" i="2"/>
  <c r="AA295" i="2"/>
  <c r="AA291" i="2"/>
  <c r="AA287" i="2"/>
  <c r="AA283" i="2"/>
  <c r="AA279" i="2"/>
  <c r="AA275" i="2"/>
  <c r="AA271" i="2"/>
  <c r="AA267" i="2"/>
  <c r="AA263" i="2"/>
  <c r="AA259" i="2"/>
  <c r="AA255" i="2"/>
  <c r="AA251" i="2"/>
  <c r="AA247" i="2"/>
  <c r="AA243" i="2"/>
  <c r="AA239" i="2"/>
  <c r="AA235" i="2"/>
  <c r="AA231" i="2"/>
  <c r="AA227" i="2"/>
  <c r="AA223" i="2"/>
  <c r="AA219" i="2"/>
  <c r="AA215" i="2"/>
  <c r="AA211" i="2"/>
  <c r="AA207" i="2"/>
  <c r="AA203" i="2"/>
  <c r="AA199" i="2"/>
  <c r="AA195" i="2"/>
  <c r="AA191" i="2"/>
  <c r="AA187" i="2"/>
  <c r="AA183" i="2"/>
  <c r="AA179" i="2"/>
  <c r="AA178" i="2"/>
  <c r="AA175" i="2"/>
  <c r="AA171" i="2"/>
  <c r="AA167" i="2"/>
  <c r="AA163" i="2"/>
  <c r="AA159" i="2"/>
  <c r="AA155" i="2"/>
  <c r="AA151" i="2"/>
  <c r="AA147" i="2"/>
  <c r="AA143" i="2"/>
  <c r="AA139" i="2"/>
  <c r="AA135" i="2"/>
  <c r="AA131" i="2"/>
  <c r="AA127" i="2"/>
  <c r="AA123" i="2"/>
  <c r="AA119" i="2"/>
  <c r="AA115" i="2"/>
  <c r="AA107" i="2"/>
  <c r="AA91" i="2"/>
  <c r="AA35" i="2"/>
  <c r="AA6" i="2"/>
  <c r="AA111" i="2"/>
  <c r="AA95" i="2"/>
  <c r="AA79" i="2"/>
  <c r="AA67" i="2"/>
  <c r="AA55" i="2"/>
  <c r="AA51" i="2"/>
  <c r="AA43" i="2"/>
  <c r="AA27" i="2"/>
  <c r="AA19" i="2"/>
  <c r="AA3" i="2"/>
  <c r="AA1054" i="2"/>
  <c r="AA1038" i="2"/>
  <c r="AA1034" i="2"/>
  <c r="AA1022" i="2"/>
  <c r="AA1010" i="2"/>
  <c r="AA998" i="2"/>
  <c r="AA990" i="2"/>
  <c r="AA978" i="2"/>
  <c r="AA966" i="2"/>
  <c r="AA954" i="2"/>
  <c r="AA946" i="2"/>
  <c r="AA930" i="2"/>
  <c r="AA914" i="2"/>
  <c r="AA898" i="2"/>
  <c r="AA886" i="2"/>
  <c r="AA866" i="2"/>
  <c r="AA854" i="2"/>
  <c r="AA834" i="2"/>
  <c r="AA822" i="2"/>
  <c r="AA806" i="2"/>
  <c r="AA786" i="2"/>
  <c r="AA774" i="2"/>
  <c r="AA754" i="2"/>
  <c r="AA742" i="2"/>
  <c r="AA726" i="2"/>
  <c r="AA706" i="2"/>
  <c r="AA694" i="2"/>
  <c r="AA682" i="2"/>
  <c r="AA666" i="2"/>
  <c r="AA658" i="2"/>
  <c r="AA646" i="2"/>
  <c r="AA626" i="2"/>
  <c r="AA610" i="2"/>
  <c r="AA598" i="2"/>
  <c r="AA582" i="2"/>
  <c r="AA566" i="2"/>
  <c r="AA546" i="2"/>
  <c r="AA534" i="2"/>
  <c r="AA522" i="2"/>
  <c r="AA514" i="2"/>
  <c r="AA498" i="2"/>
  <c r="AA478" i="2"/>
  <c r="AA462" i="2"/>
  <c r="AA450" i="2"/>
  <c r="AA442" i="2"/>
  <c r="AA426" i="2"/>
  <c r="AA418" i="2"/>
  <c r="AA406" i="2"/>
  <c r="AA390" i="2"/>
  <c r="AA382" i="2"/>
  <c r="AA362" i="2"/>
  <c r="AA350" i="2"/>
  <c r="AA338" i="2"/>
  <c r="AA318" i="2"/>
  <c r="AA310" i="2"/>
  <c r="AA298" i="2"/>
  <c r="AA286" i="2"/>
  <c r="AA266" i="2"/>
  <c r="AA254" i="2"/>
  <c r="AA242" i="2"/>
  <c r="AA230" i="2"/>
  <c r="AA222" i="2"/>
  <c r="AA210" i="2"/>
  <c r="AA198" i="2"/>
  <c r="AA182" i="2"/>
  <c r="AA166" i="2"/>
  <c r="AA158" i="2"/>
  <c r="AA138" i="2"/>
  <c r="AA126" i="2"/>
  <c r="AA110" i="2"/>
  <c r="AA94" i="2"/>
  <c r="AA82" i="2"/>
  <c r="AA74" i="2"/>
  <c r="AA62" i="2"/>
  <c r="AA46" i="2"/>
  <c r="AA38" i="2"/>
  <c r="AA26" i="2"/>
  <c r="AA14" i="2"/>
  <c r="AA103" i="2"/>
  <c r="AA87" i="2"/>
  <c r="AA83" i="2"/>
  <c r="AA71" i="2"/>
  <c r="AA59" i="2"/>
  <c r="AA47" i="2"/>
  <c r="AA39" i="2"/>
  <c r="AA23" i="2"/>
  <c r="AA15" i="2"/>
  <c r="AA11" i="2"/>
  <c r="AA122" i="2"/>
  <c r="AA1062" i="2"/>
  <c r="AA1050" i="2"/>
  <c r="AA1042" i="2"/>
  <c r="AA1030" i="2"/>
  <c r="AA1018" i="2"/>
  <c r="AA1006" i="2"/>
  <c r="AA994" i="2"/>
  <c r="AA986" i="2"/>
  <c r="AA974" i="2"/>
  <c r="AA962" i="2"/>
  <c r="AA950" i="2"/>
  <c r="AA942" i="2"/>
  <c r="AA934" i="2"/>
  <c r="AA918" i="2"/>
  <c r="AA906" i="2"/>
  <c r="AA890" i="2"/>
  <c r="AA882" i="2"/>
  <c r="AA870" i="2"/>
  <c r="AA850" i="2"/>
  <c r="AA842" i="2"/>
  <c r="AA826" i="2"/>
  <c r="AA810" i="2"/>
  <c r="AA802" i="2"/>
  <c r="AA790" i="2"/>
  <c r="AA770" i="2"/>
  <c r="AA762" i="2"/>
  <c r="AA746" i="2"/>
  <c r="AA730" i="2"/>
  <c r="AA722" i="2"/>
  <c r="AA710" i="2"/>
  <c r="AA690" i="2"/>
  <c r="AA678" i="2"/>
  <c r="AA662" i="2"/>
  <c r="AA642" i="2"/>
  <c r="AA630" i="2"/>
  <c r="AA614" i="2"/>
  <c r="AA594" i="2"/>
  <c r="AA586" i="2"/>
  <c r="AA570" i="2"/>
  <c r="AA562" i="2"/>
  <c r="AA550" i="2"/>
  <c r="AA530" i="2"/>
  <c r="AA518" i="2"/>
  <c r="AA506" i="2"/>
  <c r="AA490" i="2"/>
  <c r="AA482" i="2"/>
  <c r="AA470" i="2"/>
  <c r="AA454" i="2"/>
  <c r="AA446" i="2"/>
  <c r="AA422" i="2"/>
  <c r="AA410" i="2"/>
  <c r="AA398" i="2"/>
  <c r="AA386" i="2"/>
  <c r="AA370" i="2"/>
  <c r="AA354" i="2"/>
  <c r="AA342" i="2"/>
  <c r="AA330" i="2"/>
  <c r="AA314" i="2"/>
  <c r="AA294" i="2"/>
  <c r="AA282" i="2"/>
  <c r="AA274" i="2"/>
  <c r="AA258" i="2"/>
  <c r="AA246" i="2"/>
  <c r="AA238" i="2"/>
  <c r="AA226" i="2"/>
  <c r="AA214" i="2"/>
  <c r="AA202" i="2"/>
  <c r="AA186" i="2"/>
  <c r="AA174" i="2"/>
  <c r="AA162" i="2"/>
  <c r="AA146" i="2"/>
  <c r="AA142" i="2"/>
  <c r="AA118" i="2"/>
  <c r="AA106" i="2"/>
  <c r="AA98" i="2"/>
  <c r="AA86" i="2"/>
  <c r="AA70" i="2"/>
  <c r="AA58" i="2"/>
  <c r="AA42" i="2"/>
  <c r="AA30" i="2"/>
  <c r="AA18" i="2"/>
  <c r="AA2" i="2"/>
  <c r="AA933" i="2"/>
  <c r="AA929" i="2"/>
  <c r="AA925" i="2"/>
  <c r="AA917" i="2"/>
  <c r="AA913" i="2"/>
  <c r="AA909" i="2"/>
  <c r="AA901" i="2"/>
  <c r="AA897" i="2"/>
  <c r="AA893" i="2"/>
  <c r="AA885" i="2"/>
  <c r="AA881" i="2"/>
  <c r="AA877" i="2"/>
  <c r="AA869" i="2"/>
  <c r="AA865" i="2"/>
  <c r="AA861" i="2"/>
  <c r="AA853" i="2"/>
  <c r="AA849" i="2"/>
  <c r="AA845" i="2"/>
  <c r="AA837" i="2"/>
  <c r="AA833" i="2"/>
  <c r="AA829" i="2"/>
  <c r="AA821" i="2"/>
  <c r="AA817" i="2"/>
  <c r="AA813" i="2"/>
  <c r="AA805" i="2"/>
  <c r="AA801" i="2"/>
  <c r="AA797" i="2"/>
  <c r="AA789" i="2"/>
  <c r="AA785" i="2"/>
  <c r="AA781" i="2"/>
  <c r="AA773" i="2"/>
  <c r="AA769" i="2"/>
  <c r="AA765" i="2"/>
  <c r="AA757" i="2"/>
  <c r="AA753" i="2"/>
  <c r="AA749" i="2"/>
  <c r="AA741" i="2"/>
  <c r="AA737" i="2"/>
  <c r="AA733" i="2"/>
  <c r="AA725" i="2"/>
  <c r="AA721" i="2"/>
  <c r="AA717" i="2"/>
  <c r="AA709" i="2"/>
  <c r="AA705" i="2"/>
  <c r="AA701" i="2"/>
  <c r="AA693" i="2"/>
  <c r="AA689" i="2"/>
  <c r="AA685" i="2"/>
  <c r="AA677" i="2"/>
  <c r="AA673" i="2"/>
  <c r="AA669" i="2"/>
  <c r="AA661" i="2"/>
  <c r="AA657" i="2"/>
  <c r="AA653" i="2"/>
  <c r="AA645" i="2"/>
  <c r="AA641" i="2"/>
  <c r="AA637" i="2"/>
  <c r="AA629" i="2"/>
  <c r="AA625" i="2"/>
  <c r="AA621" i="2"/>
  <c r="AA613" i="2"/>
  <c r="AA609" i="2"/>
  <c r="AA605" i="2"/>
  <c r="AA597" i="2"/>
  <c r="AA593" i="2"/>
  <c r="AA589" i="2"/>
  <c r="AA581" i="2"/>
  <c r="AA577" i="2"/>
  <c r="AA573" i="2"/>
  <c r="AA565" i="2"/>
  <c r="AA561" i="2"/>
  <c r="AA557" i="2"/>
  <c r="AA549" i="2"/>
  <c r="AA545" i="2"/>
  <c r="AA541" i="2"/>
  <c r="AA533" i="2"/>
  <c r="AA529" i="2"/>
  <c r="AA525" i="2"/>
  <c r="AA517" i="2"/>
  <c r="AA513" i="2"/>
  <c r="AA505" i="2"/>
  <c r="AA501" i="2"/>
  <c r="AA497" i="2"/>
  <c r="AA493" i="2"/>
  <c r="AA489" i="2"/>
  <c r="AA485" i="2"/>
  <c r="AA477" i="2"/>
  <c r="AA469" i="2"/>
  <c r="AA465" i="2"/>
  <c r="AA461" i="2"/>
  <c r="AA457" i="2"/>
  <c r="AA453" i="2"/>
  <c r="AA449" i="2"/>
  <c r="AA441" i="2"/>
  <c r="AA437" i="2"/>
  <c r="AA433" i="2"/>
  <c r="AA429" i="2"/>
  <c r="AA425" i="2"/>
  <c r="AA421" i="2"/>
  <c r="AA413" i="2"/>
  <c r="AA405" i="2"/>
  <c r="AA401" i="2"/>
  <c r="AA397" i="2"/>
  <c r="AA393" i="2"/>
  <c r="AA389" i="2"/>
  <c r="AA385" i="2"/>
  <c r="AA377" i="2"/>
  <c r="AA373" i="2"/>
  <c r="AA369" i="2"/>
  <c r="AA365" i="2"/>
  <c r="AA361" i="2"/>
  <c r="AA357" i="2"/>
  <c r="AA349" i="2"/>
  <c r="AA341" i="2"/>
  <c r="AA337" i="2"/>
  <c r="AA333" i="2"/>
  <c r="AA329" i="2"/>
  <c r="AA325" i="2"/>
  <c r="AA321" i="2"/>
  <c r="AA317" i="2"/>
  <c r="AA313" i="2"/>
  <c r="AA309" i="2"/>
  <c r="AA305" i="2"/>
  <c r="AA301" i="2"/>
  <c r="AA297" i="2"/>
  <c r="AA293" i="2"/>
  <c r="AA289" i="2"/>
  <c r="AA285" i="2"/>
  <c r="AA281" i="2"/>
  <c r="AA277" i="2"/>
  <c r="AA273" i="2"/>
  <c r="AA269" i="2"/>
  <c r="AA265" i="2"/>
  <c r="AA261" i="2"/>
  <c r="AA257" i="2"/>
  <c r="AA253" i="2"/>
  <c r="AA249" i="2"/>
  <c r="AA245" i="2"/>
  <c r="AA241" i="2"/>
  <c r="AA237" i="2"/>
  <c r="AA233" i="2"/>
  <c r="AA229" i="2"/>
  <c r="AA225" i="2"/>
  <c r="AA221" i="2"/>
  <c r="AA217" i="2"/>
  <c r="AA213" i="2"/>
  <c r="AA209" i="2"/>
  <c r="AA205" i="2"/>
  <c r="AA201" i="2"/>
  <c r="AA197" i="2"/>
  <c r="AA193" i="2"/>
  <c r="AA189" i="2"/>
  <c r="AA185" i="2"/>
  <c r="AA181" i="2"/>
  <c r="AA177" i="2"/>
  <c r="AA173" i="2"/>
  <c r="AA169" i="2"/>
  <c r="AA165" i="2"/>
  <c r="AA161" i="2"/>
  <c r="AA157" i="2"/>
  <c r="AA153" i="2"/>
  <c r="AA149" i="2"/>
  <c r="AA145" i="2"/>
  <c r="AA141" i="2"/>
  <c r="AA137" i="2"/>
  <c r="AA133" i="2"/>
  <c r="AA129" i="2"/>
  <c r="AA125" i="2"/>
  <c r="AA121" i="2"/>
  <c r="AA117" i="2"/>
  <c r="AA113" i="2"/>
  <c r="AA109" i="2"/>
  <c r="AA105" i="2"/>
  <c r="AA101" i="2"/>
  <c r="AA97" i="2"/>
  <c r="AA93" i="2"/>
  <c r="AA89" i="2"/>
  <c r="AA85" i="2"/>
  <c r="AA81" i="2"/>
  <c r="AA77" i="2"/>
  <c r="AA73" i="2"/>
  <c r="AA69" i="2"/>
  <c r="AA65" i="2"/>
  <c r="AA61" i="2"/>
  <c r="AA57" i="2"/>
  <c r="AA53" i="2"/>
  <c r="AA49" i="2"/>
  <c r="AA388" i="2"/>
  <c r="AA360" i="2"/>
  <c r="AA99" i="2"/>
  <c r="AA75" i="2"/>
  <c r="AA63" i="2"/>
  <c r="AA31" i="2"/>
  <c r="AA7" i="2"/>
  <c r="AA66" i="2"/>
  <c r="AA1058" i="2"/>
  <c r="AA1046" i="2"/>
  <c r="AA1026" i="2"/>
  <c r="AA1014" i="2"/>
  <c r="AA1002" i="2"/>
  <c r="AA982" i="2"/>
  <c r="AA970" i="2"/>
  <c r="AA958" i="2"/>
  <c r="AA938" i="2"/>
  <c r="AA922" i="2"/>
  <c r="AA902" i="2"/>
  <c r="AA874" i="2"/>
  <c r="AA858" i="2"/>
  <c r="AA838" i="2"/>
  <c r="AA818" i="2"/>
  <c r="AA794" i="2"/>
  <c r="AA778" i="2"/>
  <c r="AA758" i="2"/>
  <c r="AA738" i="2"/>
  <c r="AA714" i="2"/>
  <c r="AA698" i="2"/>
  <c r="AA674" i="2"/>
  <c r="AA650" i="2"/>
  <c r="AA634" i="2"/>
  <c r="AA618" i="2"/>
  <c r="AA602" i="2"/>
  <c r="AA578" i="2"/>
  <c r="AA554" i="2"/>
  <c r="AA538" i="2"/>
  <c r="AA510" i="2"/>
  <c r="AA486" i="2"/>
  <c r="AA474" i="2"/>
  <c r="AA458" i="2"/>
  <c r="AA434" i="2"/>
  <c r="AA414" i="2"/>
  <c r="AA394" i="2"/>
  <c r="AA378" i="2"/>
  <c r="AA358" i="2"/>
  <c r="AA346" i="2"/>
  <c r="AA326" i="2"/>
  <c r="AA302" i="2"/>
  <c r="AA290" i="2"/>
  <c r="AA270" i="2"/>
  <c r="AA234" i="2"/>
  <c r="AA218" i="2"/>
  <c r="AA190" i="2"/>
  <c r="AA170" i="2"/>
  <c r="AA154" i="2"/>
  <c r="AA130" i="2"/>
  <c r="AA114" i="2"/>
  <c r="AA102" i="2"/>
  <c r="AA90" i="2"/>
  <c r="AA54" i="2"/>
  <c r="AA34" i="2"/>
  <c r="AA10" i="2"/>
  <c r="AA1060" i="2"/>
  <c r="AA1056" i="2"/>
  <c r="AA1052" i="2"/>
  <c r="AA1048" i="2"/>
  <c r="AA1044" i="2"/>
  <c r="AA1040" i="2"/>
  <c r="AA1036" i="2"/>
  <c r="AA1032" i="2"/>
  <c r="AA1028" i="2"/>
  <c r="AA1024" i="2"/>
  <c r="AA1020" i="2"/>
  <c r="AA1016" i="2"/>
  <c r="AA1012" i="2"/>
  <c r="AA1008" i="2"/>
  <c r="AA1004" i="2"/>
  <c r="AA1000" i="2"/>
  <c r="AA996" i="2"/>
  <c r="AA992" i="2"/>
  <c r="AA988" i="2"/>
  <c r="AA984" i="2"/>
  <c r="AA980" i="2"/>
  <c r="AA976" i="2"/>
  <c r="AA972" i="2"/>
  <c r="AA968" i="2"/>
  <c r="AA964" i="2"/>
  <c r="AA960" i="2"/>
  <c r="AA956" i="2"/>
  <c r="AA952" i="2"/>
  <c r="AA948" i="2"/>
  <c r="AA944" i="2"/>
  <c r="AA940" i="2"/>
  <c r="AA936" i="2"/>
  <c r="AA932" i="2"/>
  <c r="AA928" i="2"/>
  <c r="AA924" i="2"/>
  <c r="AA920" i="2"/>
  <c r="AA916" i="2"/>
  <c r="AA912" i="2"/>
  <c r="AA908" i="2"/>
  <c r="AA904" i="2"/>
  <c r="AA900" i="2"/>
  <c r="AA896" i="2"/>
  <c r="AA892" i="2"/>
  <c r="AA888" i="2"/>
  <c r="AA884" i="2"/>
  <c r="AA880" i="2"/>
  <c r="AA876" i="2"/>
  <c r="AA872" i="2"/>
  <c r="AA868" i="2"/>
  <c r="AA864" i="2"/>
  <c r="AA860" i="2"/>
  <c r="AA856" i="2"/>
  <c r="AA852" i="2"/>
  <c r="AA848" i="2"/>
  <c r="AA844" i="2"/>
  <c r="AA840" i="2"/>
  <c r="AA836" i="2"/>
  <c r="AA832" i="2"/>
  <c r="AA828" i="2"/>
  <c r="AA824" i="2"/>
  <c r="AA820" i="2"/>
  <c r="AA816" i="2"/>
  <c r="AA812" i="2"/>
  <c r="AA808" i="2"/>
  <c r="AA804" i="2"/>
  <c r="AA800" i="2"/>
  <c r="AA796" i="2"/>
  <c r="AA792" i="2"/>
  <c r="AA788" i="2"/>
  <c r="AA784" i="2"/>
  <c r="AA780" i="2"/>
  <c r="AA776" i="2"/>
  <c r="AA772" i="2"/>
  <c r="AA768" i="2"/>
  <c r="AA764" i="2"/>
  <c r="AA760" i="2"/>
  <c r="AA756" i="2"/>
  <c r="AA752" i="2"/>
  <c r="AA748" i="2"/>
  <c r="AA744" i="2"/>
  <c r="AA740" i="2"/>
  <c r="AA736" i="2"/>
  <c r="AA732" i="2"/>
  <c r="AA728" i="2"/>
  <c r="AA724" i="2"/>
  <c r="AA720" i="2"/>
  <c r="AA716" i="2"/>
  <c r="AA712" i="2"/>
  <c r="AA708" i="2"/>
  <c r="AA704" i="2"/>
  <c r="AA700" i="2"/>
  <c r="AA696" i="2"/>
  <c r="AA692" i="2"/>
  <c r="AA688" i="2"/>
  <c r="AA684" i="2"/>
  <c r="AA680" i="2"/>
  <c r="AA676" i="2"/>
  <c r="AA672" i="2"/>
  <c r="AA668" i="2"/>
  <c r="AA664" i="2"/>
  <c r="AA660" i="2"/>
  <c r="AA656" i="2"/>
  <c r="AA652" i="2"/>
  <c r="AA648" i="2"/>
  <c r="AA644" i="2"/>
  <c r="AA640" i="2"/>
  <c r="AA636" i="2"/>
  <c r="AA632" i="2"/>
  <c r="AA628" i="2"/>
  <c r="AA624" i="2"/>
  <c r="AA620" i="2"/>
  <c r="AA616" i="2"/>
  <c r="AA612" i="2"/>
  <c r="AA608" i="2"/>
  <c r="AA604" i="2"/>
  <c r="AA600" i="2"/>
  <c r="AA596" i="2"/>
  <c r="AA592" i="2"/>
  <c r="AA588" i="2"/>
  <c r="AA584" i="2"/>
  <c r="AA580" i="2"/>
  <c r="AA576" i="2"/>
  <c r="AA572" i="2"/>
  <c r="AA568" i="2"/>
  <c r="AA564" i="2"/>
  <c r="AA560" i="2"/>
  <c r="AA556" i="2"/>
  <c r="AA552" i="2"/>
  <c r="AA548" i="2"/>
  <c r="AA544" i="2"/>
  <c r="AA540" i="2"/>
  <c r="AA536" i="2"/>
  <c r="AA532" i="2"/>
  <c r="AA528" i="2"/>
  <c r="AA524" i="2"/>
  <c r="AA508" i="2"/>
  <c r="AA504" i="2"/>
  <c r="AA500" i="2"/>
  <c r="AA492" i="2"/>
  <c r="AA484" i="2"/>
  <c r="AA476" i="2"/>
  <c r="AA472" i="2"/>
  <c r="AA468" i="2"/>
  <c r="AA456" i="2"/>
  <c r="AA444" i="2"/>
  <c r="AA440" i="2"/>
  <c r="AA436" i="2"/>
  <c r="AA428" i="2"/>
  <c r="AA420" i="2"/>
  <c r="AA412" i="2"/>
  <c r="AA408" i="2"/>
  <c r="AA404" i="2"/>
  <c r="AA392" i="2"/>
  <c r="AA380" i="2"/>
  <c r="AA376" i="2"/>
  <c r="AA372" i="2"/>
  <c r="AA364" i="2"/>
  <c r="AA356" i="2"/>
  <c r="AA348" i="2"/>
  <c r="AA344" i="2"/>
  <c r="AA45" i="2"/>
  <c r="AA41" i="2"/>
  <c r="AA37" i="2"/>
  <c r="AA33" i="2"/>
  <c r="AA29" i="2"/>
  <c r="AA25" i="2"/>
  <c r="AA21" i="2"/>
  <c r="AA17" i="2"/>
  <c r="AA13" i="2"/>
  <c r="AA9" i="2"/>
  <c r="AA5" i="2"/>
  <c r="AA520" i="2"/>
  <c r="AA516" i="2"/>
  <c r="AA512" i="2"/>
  <c r="AA496" i="2"/>
  <c r="AA480" i="2"/>
  <c r="AA464" i="2"/>
  <c r="AA448" i="2"/>
  <c r="AA432" i="2"/>
  <c r="AA416" i="2"/>
  <c r="AA400" i="2"/>
  <c r="AA384" i="2"/>
  <c r="AA368" i="2"/>
  <c r="AA352" i="2"/>
  <c r="AA340" i="2"/>
  <c r="AA336" i="2"/>
  <c r="AA332" i="2"/>
  <c r="AA328" i="2"/>
  <c r="AA324" i="2"/>
  <c r="AA320" i="2"/>
  <c r="AA316" i="2"/>
  <c r="AA312" i="2"/>
  <c r="AA308" i="2"/>
  <c r="AA304" i="2"/>
  <c r="AA300" i="2"/>
  <c r="AA296" i="2"/>
  <c r="AA292" i="2"/>
  <c r="AA288" i="2"/>
  <c r="AA284" i="2"/>
  <c r="AA280" i="2"/>
  <c r="AA276" i="2"/>
  <c r="AA272" i="2"/>
  <c r="AA268" i="2"/>
  <c r="AA264" i="2"/>
  <c r="AA260" i="2"/>
  <c r="AA256" i="2"/>
  <c r="AA252" i="2"/>
  <c r="AA248" i="2"/>
  <c r="AA244" i="2"/>
  <c r="AA240" i="2"/>
  <c r="AA236" i="2"/>
  <c r="AA232" i="2"/>
  <c r="AA228" i="2"/>
  <c r="AA224" i="2"/>
  <c r="AA220" i="2"/>
  <c r="AA216" i="2"/>
  <c r="AA212" i="2"/>
  <c r="AA208" i="2"/>
  <c r="AA204" i="2"/>
  <c r="AA200" i="2"/>
  <c r="AA196" i="2"/>
  <c r="AA192" i="2"/>
  <c r="AA188" i="2"/>
  <c r="AA184" i="2"/>
  <c r="AA180" i="2"/>
  <c r="AA176" i="2"/>
  <c r="AA172" i="2"/>
  <c r="AA168" i="2"/>
  <c r="AA164" i="2"/>
  <c r="AA160" i="2"/>
  <c r="AA156" i="2"/>
  <c r="AA152" i="2"/>
  <c r="AA148" i="2"/>
  <c r="AA144" i="2"/>
  <c r="AA140" i="2"/>
  <c r="AA136" i="2"/>
  <c r="AA132" i="2"/>
  <c r="AA128" i="2"/>
  <c r="AA124" i="2"/>
  <c r="AA120" i="2"/>
  <c r="AA116" i="2"/>
  <c r="AA112" i="2"/>
  <c r="AA108" i="2"/>
  <c r="AA104" i="2"/>
  <c r="AA100" i="2"/>
  <c r="AA96" i="2"/>
  <c r="AA92" i="2"/>
  <c r="AA88" i="2"/>
  <c r="AA84" i="2"/>
  <c r="AA80" i="2"/>
  <c r="AA76" i="2"/>
  <c r="AA72" i="2"/>
  <c r="AA68" i="2"/>
  <c r="AA64" i="2"/>
  <c r="AA60" i="2"/>
  <c r="AA56" i="2"/>
  <c r="AA52" i="2"/>
  <c r="AA48" i="2"/>
  <c r="AA44" i="2"/>
  <c r="AA40" i="2"/>
  <c r="AA36" i="2"/>
  <c r="AA32" i="2"/>
  <c r="AA28" i="2"/>
  <c r="AA24" i="2"/>
  <c r="AA20" i="2"/>
  <c r="AA16" i="2"/>
  <c r="AA12" i="2"/>
  <c r="AA8" i="2"/>
  <c r="AA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C34B92-7433-45C9-B638-8BFAA49E1729}"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<sst xmlns="http://schemas.openxmlformats.org/spreadsheetml/2006/main" count="8581" uniqueCount="243">
  <si>
    <t>Area Code</t>
  </si>
  <si>
    <t>Cogs</t>
  </si>
  <si>
    <t>DifferenceBetweenActualandTargetProfit</t>
  </si>
  <si>
    <t>Date</t>
  </si>
  <si>
    <t>Inventory Margin</t>
  </si>
  <si>
    <t>Margin</t>
  </si>
  <si>
    <t>Market_size</t>
  </si>
  <si>
    <t>Market</t>
  </si>
  <si>
    <t>Marketing</t>
  </si>
  <si>
    <t>Product_line</t>
  </si>
  <si>
    <t>Product_type</t>
  </si>
  <si>
    <t>Product</t>
  </si>
  <si>
    <t>Profit</t>
  </si>
  <si>
    <t>Sales</t>
  </si>
  <si>
    <t>State</t>
  </si>
  <si>
    <t>Target_cogs</t>
  </si>
  <si>
    <t>Target_margin</t>
  </si>
  <si>
    <t>Target_profit</t>
  </si>
  <si>
    <t xml:space="preserve">Target_sales </t>
  </si>
  <si>
    <t>Total_expenses</t>
  </si>
  <si>
    <t>Type</t>
  </si>
  <si>
    <t>Major Market</t>
  </si>
  <si>
    <t>Central</t>
  </si>
  <si>
    <t>Leaves</t>
  </si>
  <si>
    <t>Herbal Tea</t>
  </si>
  <si>
    <t>Lemon</t>
  </si>
  <si>
    <t>Colorado</t>
  </si>
  <si>
    <t>Decaf</t>
  </si>
  <si>
    <t>Mint</t>
  </si>
  <si>
    <t>South</t>
  </si>
  <si>
    <t>Texas</t>
  </si>
  <si>
    <t>East</t>
  </si>
  <si>
    <t>Tea</t>
  </si>
  <si>
    <t>Darjeeling</t>
  </si>
  <si>
    <t>Florida</t>
  </si>
  <si>
    <t>Regular</t>
  </si>
  <si>
    <t>West</t>
  </si>
  <si>
    <t>Green Tea</t>
  </si>
  <si>
    <t>California</t>
  </si>
  <si>
    <t>Small Market</t>
  </si>
  <si>
    <t>Beans</t>
  </si>
  <si>
    <t>Espresso</t>
  </si>
  <si>
    <t>Decaf Espresso</t>
  </si>
  <si>
    <t>Iowa</t>
  </si>
  <si>
    <t>Connecticut</t>
  </si>
  <si>
    <t>Coffee</t>
  </si>
  <si>
    <t>Decaf Irish Cream</t>
  </si>
  <si>
    <t>Oklahoma</t>
  </si>
  <si>
    <t>Nevada</t>
  </si>
  <si>
    <t>Utah</t>
  </si>
  <si>
    <t>Amaretto</t>
  </si>
  <si>
    <t>New Hampshire</t>
  </si>
  <si>
    <t>Colombian</t>
  </si>
  <si>
    <t>Caffe Mocha</t>
  </si>
  <si>
    <t>Caffe Latte</t>
  </si>
  <si>
    <t>Louisiana</t>
  </si>
  <si>
    <t>Oregon</t>
  </si>
  <si>
    <t>Chamomile</t>
  </si>
  <si>
    <t>Missouri</t>
  </si>
  <si>
    <t>Wisconsin</t>
  </si>
  <si>
    <t>Washington</t>
  </si>
  <si>
    <t>Earl Grey</t>
  </si>
  <si>
    <t>Massachusetts</t>
  </si>
  <si>
    <t>Illinois</t>
  </si>
  <si>
    <t>New Mexico</t>
  </si>
  <si>
    <t>Ohio</t>
  </si>
  <si>
    <t>Regular Espresso</t>
  </si>
  <si>
    <t>New York</t>
  </si>
  <si>
    <t>303</t>
  </si>
  <si>
    <t>970</t>
  </si>
  <si>
    <t>409</t>
  </si>
  <si>
    <t>850</t>
  </si>
  <si>
    <t>562</t>
  </si>
  <si>
    <t>712</t>
  </si>
  <si>
    <t>860</t>
  </si>
  <si>
    <t>918</t>
  </si>
  <si>
    <t>775</t>
  </si>
  <si>
    <t>435</t>
  </si>
  <si>
    <t>603</t>
  </si>
  <si>
    <t>318</t>
  </si>
  <si>
    <t>503</t>
  </si>
  <si>
    <t>573</t>
  </si>
  <si>
    <t>262</t>
  </si>
  <si>
    <t>801</t>
  </si>
  <si>
    <t>425</t>
  </si>
  <si>
    <t>971</t>
  </si>
  <si>
    <t>915</t>
  </si>
  <si>
    <t>210</t>
  </si>
  <si>
    <t>774</t>
  </si>
  <si>
    <t>954</t>
  </si>
  <si>
    <t>936</t>
  </si>
  <si>
    <t>719</t>
  </si>
  <si>
    <t>847</t>
  </si>
  <si>
    <t>339</t>
  </si>
  <si>
    <t>314</t>
  </si>
  <si>
    <t>504</t>
  </si>
  <si>
    <t>580</t>
  </si>
  <si>
    <t>225</t>
  </si>
  <si>
    <t>509</t>
  </si>
  <si>
    <t>203</t>
  </si>
  <si>
    <t>206</t>
  </si>
  <si>
    <t>682</t>
  </si>
  <si>
    <t>214</t>
  </si>
  <si>
    <t>561</t>
  </si>
  <si>
    <t>469</t>
  </si>
  <si>
    <t>619</t>
  </si>
  <si>
    <t>985</t>
  </si>
  <si>
    <t>505</t>
  </si>
  <si>
    <t>417</t>
  </si>
  <si>
    <t>920</t>
  </si>
  <si>
    <t>475</t>
  </si>
  <si>
    <t>720</t>
  </si>
  <si>
    <t>430</t>
  </si>
  <si>
    <t>510</t>
  </si>
  <si>
    <t>563</t>
  </si>
  <si>
    <t>405</t>
  </si>
  <si>
    <t>702</t>
  </si>
  <si>
    <t>541</t>
  </si>
  <si>
    <t>254</t>
  </si>
  <si>
    <t>806</t>
  </si>
  <si>
    <t>708</t>
  </si>
  <si>
    <t>351</t>
  </si>
  <si>
    <t>636</t>
  </si>
  <si>
    <t>337</t>
  </si>
  <si>
    <t>253</t>
  </si>
  <si>
    <t>956</t>
  </si>
  <si>
    <t>305</t>
  </si>
  <si>
    <t>407</t>
  </si>
  <si>
    <t>325</t>
  </si>
  <si>
    <t>408</t>
  </si>
  <si>
    <t>816</t>
  </si>
  <si>
    <t>508</t>
  </si>
  <si>
    <t>209</t>
  </si>
  <si>
    <t>715</t>
  </si>
  <si>
    <t>319</t>
  </si>
  <si>
    <t>959</t>
  </si>
  <si>
    <t>773</t>
  </si>
  <si>
    <t>614</t>
  </si>
  <si>
    <t>617</t>
  </si>
  <si>
    <t>707</t>
  </si>
  <si>
    <t>352</t>
  </si>
  <si>
    <t>650</t>
  </si>
  <si>
    <t>515</t>
  </si>
  <si>
    <t>805</t>
  </si>
  <si>
    <t>863</t>
  </si>
  <si>
    <t>641</t>
  </si>
  <si>
    <t>360</t>
  </si>
  <si>
    <t>904</t>
  </si>
  <si>
    <t>978</t>
  </si>
  <si>
    <t>626</t>
  </si>
  <si>
    <t>312</t>
  </si>
  <si>
    <t>419</t>
  </si>
  <si>
    <t>857</t>
  </si>
  <si>
    <t>323</t>
  </si>
  <si>
    <t>760</t>
  </si>
  <si>
    <t>330</t>
  </si>
  <si>
    <t>321</t>
  </si>
  <si>
    <t>630</t>
  </si>
  <si>
    <t>937</t>
  </si>
  <si>
    <t>813</t>
  </si>
  <si>
    <t>530</t>
  </si>
  <si>
    <t>440</t>
  </si>
  <si>
    <t>608</t>
  </si>
  <si>
    <t>660</t>
  </si>
  <si>
    <t>216</t>
  </si>
  <si>
    <t>832</t>
  </si>
  <si>
    <t>567</t>
  </si>
  <si>
    <t>713</t>
  </si>
  <si>
    <t>718</t>
  </si>
  <si>
    <t>513</t>
  </si>
  <si>
    <t>512</t>
  </si>
  <si>
    <t>309</t>
  </si>
  <si>
    <t>234</t>
  </si>
  <si>
    <t>772</t>
  </si>
  <si>
    <t>914</t>
  </si>
  <si>
    <t>361</t>
  </si>
  <si>
    <t>781</t>
  </si>
  <si>
    <t>413</t>
  </si>
  <si>
    <t>786</t>
  </si>
  <si>
    <t>217</t>
  </si>
  <si>
    <t>414</t>
  </si>
  <si>
    <t>740</t>
  </si>
  <si>
    <t>518</t>
  </si>
  <si>
    <t>213</t>
  </si>
  <si>
    <t>432</t>
  </si>
  <si>
    <t>815</t>
  </si>
  <si>
    <t>585</t>
  </si>
  <si>
    <t>817</t>
  </si>
  <si>
    <t>972</t>
  </si>
  <si>
    <t>281</t>
  </si>
  <si>
    <t>239</t>
  </si>
  <si>
    <t>315</t>
  </si>
  <si>
    <t>845</t>
  </si>
  <si>
    <t>386</t>
  </si>
  <si>
    <t>516</t>
  </si>
  <si>
    <t>716</t>
  </si>
  <si>
    <t>754</t>
  </si>
  <si>
    <t>347</t>
  </si>
  <si>
    <t>646</t>
  </si>
  <si>
    <t>631</t>
  </si>
  <si>
    <t>212</t>
  </si>
  <si>
    <t>607</t>
  </si>
  <si>
    <t>727</t>
  </si>
  <si>
    <t>917</t>
  </si>
  <si>
    <t>224</t>
  </si>
  <si>
    <t>618</t>
  </si>
  <si>
    <t>951</t>
  </si>
  <si>
    <t>714</t>
  </si>
  <si>
    <t>818</t>
  </si>
  <si>
    <t>661</t>
  </si>
  <si>
    <t>909</t>
  </si>
  <si>
    <t>559</t>
  </si>
  <si>
    <t>916</t>
  </si>
  <si>
    <t>415</t>
  </si>
  <si>
    <t>925</t>
  </si>
  <si>
    <t>831</t>
  </si>
  <si>
    <t>949</t>
  </si>
  <si>
    <t>Sum of Sales</t>
  </si>
  <si>
    <t>Sum of Profit</t>
  </si>
  <si>
    <t>Profit Margin</t>
  </si>
  <si>
    <t>Average of Profit Margin</t>
  </si>
  <si>
    <t>Row Labels</t>
  </si>
  <si>
    <t>Grand Total</t>
  </si>
  <si>
    <t>Product Type</t>
  </si>
  <si>
    <t>Jan</t>
  </si>
  <si>
    <t>Feb</t>
  </si>
  <si>
    <t>Mar</t>
  </si>
  <si>
    <t>Apr</t>
  </si>
  <si>
    <t>May</t>
  </si>
  <si>
    <t>Jun</t>
  </si>
  <si>
    <t>Jul</t>
  </si>
  <si>
    <t>Aug</t>
  </si>
  <si>
    <t>Sep</t>
  </si>
  <si>
    <t>Oct</t>
  </si>
  <si>
    <t>Nov</t>
  </si>
  <si>
    <t>Dec</t>
  </si>
  <si>
    <t>Actual vs Target Profit Variance</t>
  </si>
  <si>
    <t>Actual vs Target Sales Variance</t>
  </si>
  <si>
    <t>Sum of Actual vs Target Profit Variance</t>
  </si>
  <si>
    <t>Sum of Actual vs Target Sales Variance</t>
  </si>
  <si>
    <t>COGS % of Sales</t>
  </si>
  <si>
    <t>Sales Performance</t>
  </si>
  <si>
    <t>Sales Performance2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</si>
</sst>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3499862666707357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44" fontId="0" fillId="0" borderId="0" xfId="0" applyNumberFormat="1"/>
    <xf numFmtId="0" fontId="0" fillId="0" borderId="0" xfId="0" pivotButton="1"/>
    <xf numFmtId="0" fontId="0" fillId="0" borderId="0" xfId="0" applyAlignment="1">
      <alignment horizontal="left"/>
    </xf>
    <xf numFmtId="44" fontId="16" fillId="0" borderId="0" xfId="0" applyNumberFormat="1" applyFont="1"/>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font>
        <b/>
      </font>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'Coffee_Chain_Sales '!$Y$1</c:f>
              <c:strCache>
                <c:ptCount val="1"/>
                <c:pt idx="0">
                  <c:v>COGS % of Sales</c:v>
                </c:pt>
              </c:strCache>
            </c:strRef>
          </c:tx>
          <c:spPr>
            <a:ln w="38100" cap="rnd">
              <a:noFill/>
              <a:round/>
            </a:ln>
            <a:effectLst/>
          </c:spPr>
          <c:marker>
            <c:symbol val="circle"/>
            <c:size val="5"/>
            <c:spPr>
              <a:solidFill>
                <a:schemeClr val="accent1"/>
              </a:solidFill>
              <a:ln w="9525">
                <a:solidFill>
                  <a:schemeClr val="accent1"/>
                </a:solidFill>
              </a:ln>
              <a:effectLst/>
            </c:spPr>
          </c:marker>
          <c:xVal>
            <c:numRef>
              <c:f>'Coffee_Chain_Sales '!$V$2:$V$1063</c:f>
              <c:numCache>
                <c:formatCode>General</c:formatCode>
                <c:ptCount val="1062"/>
                <c:pt idx="0">
                  <c:v>-4.0983606557377046E-2</c:v>
                </c:pt>
                <c:pt idx="1">
                  <c:v>0.21138211382113822</c:v>
                </c:pt>
                <c:pt idx="2">
                  <c:v>0.26168224299065418</c:v>
                </c:pt>
                <c:pt idx="3">
                  <c:v>0.37234042553191488</c:v>
                </c:pt>
                <c:pt idx="4">
                  <c:v>0.30769230769230771</c:v>
                </c:pt>
                <c:pt idx="5">
                  <c:v>0.72093023255813948</c:v>
                </c:pt>
                <c:pt idx="6">
                  <c:v>0.1891891891891892</c:v>
                </c:pt>
                <c:pt idx="7">
                  <c:v>0.31818181818181818</c:v>
                </c:pt>
                <c:pt idx="8">
                  <c:v>0.10294117647058823</c:v>
                </c:pt>
                <c:pt idx="9">
                  <c:v>0.37373737373737376</c:v>
                </c:pt>
                <c:pt idx="10">
                  <c:v>0.27500000000000002</c:v>
                </c:pt>
                <c:pt idx="11">
                  <c:v>0.21052631578947367</c:v>
                </c:pt>
                <c:pt idx="12">
                  <c:v>-6.4220183486238536E-2</c:v>
                </c:pt>
                <c:pt idx="13">
                  <c:v>6.9444444444444441E-3</c:v>
                </c:pt>
                <c:pt idx="14">
                  <c:v>-2.5974025974025976E-2</c:v>
                </c:pt>
                <c:pt idx="15">
                  <c:v>0.1</c:v>
                </c:pt>
                <c:pt idx="16">
                  <c:v>-5.5045871559633031E-2</c:v>
                </c:pt>
                <c:pt idx="17">
                  <c:v>0.38135593220338981</c:v>
                </c:pt>
                <c:pt idx="18">
                  <c:v>0.27500000000000002</c:v>
                </c:pt>
                <c:pt idx="19">
                  <c:v>0.3949579831932773</c:v>
                </c:pt>
                <c:pt idx="20">
                  <c:v>0.36363636363636365</c:v>
                </c:pt>
                <c:pt idx="21">
                  <c:v>0.31219512195121951</c:v>
                </c:pt>
                <c:pt idx="22">
                  <c:v>0.34862385321100919</c:v>
                </c:pt>
                <c:pt idx="23">
                  <c:v>0.28260869565217389</c:v>
                </c:pt>
                <c:pt idx="24">
                  <c:v>0.3902439024390244</c:v>
                </c:pt>
                <c:pt idx="25">
                  <c:v>0.29347826086956524</c:v>
                </c:pt>
                <c:pt idx="26">
                  <c:v>-6.6666666666666666E-2</c:v>
                </c:pt>
                <c:pt idx="27">
                  <c:v>0.26829268292682928</c:v>
                </c:pt>
                <c:pt idx="28">
                  <c:v>0.27192982456140352</c:v>
                </c:pt>
                <c:pt idx="29">
                  <c:v>0.12096774193548387</c:v>
                </c:pt>
                <c:pt idx="30">
                  <c:v>0.3902439024390244</c:v>
                </c:pt>
                <c:pt idx="31">
                  <c:v>0.23200000000000001</c:v>
                </c:pt>
                <c:pt idx="32">
                  <c:v>0.35227272727272729</c:v>
                </c:pt>
                <c:pt idx="33">
                  <c:v>0.33333333333333331</c:v>
                </c:pt>
                <c:pt idx="34">
                  <c:v>0.35897435897435898</c:v>
                </c:pt>
                <c:pt idx="35">
                  <c:v>0.34090909090909088</c:v>
                </c:pt>
                <c:pt idx="36">
                  <c:v>0.28333333333333333</c:v>
                </c:pt>
                <c:pt idx="37">
                  <c:v>0.11570247933884298</c:v>
                </c:pt>
                <c:pt idx="38">
                  <c:v>0.26548672566371684</c:v>
                </c:pt>
                <c:pt idx="39">
                  <c:v>0.1834862385321101</c:v>
                </c:pt>
                <c:pt idx="40">
                  <c:v>-7.5471698113207544E-2</c:v>
                </c:pt>
                <c:pt idx="41">
                  <c:v>0.3475177304964539</c:v>
                </c:pt>
                <c:pt idx="42">
                  <c:v>0.10743801652892562</c:v>
                </c:pt>
                <c:pt idx="43">
                  <c:v>0.10743801652892562</c:v>
                </c:pt>
                <c:pt idx="44">
                  <c:v>0.26548672566371684</c:v>
                </c:pt>
                <c:pt idx="45">
                  <c:v>0.1834862385321101</c:v>
                </c:pt>
                <c:pt idx="46">
                  <c:v>0.38260869565217392</c:v>
                </c:pt>
                <c:pt idx="47">
                  <c:v>0.36666666666666664</c:v>
                </c:pt>
                <c:pt idx="48">
                  <c:v>6.8027210884353739E-3</c:v>
                </c:pt>
                <c:pt idx="49">
                  <c:v>0.30303030303030304</c:v>
                </c:pt>
                <c:pt idx="50">
                  <c:v>0.39097744360902253</c:v>
                </c:pt>
                <c:pt idx="51">
                  <c:v>-5.3571428571428568E-2</c:v>
                </c:pt>
                <c:pt idx="52">
                  <c:v>0.2283464566929134</c:v>
                </c:pt>
                <c:pt idx="53">
                  <c:v>0.15862068965517243</c:v>
                </c:pt>
                <c:pt idx="54">
                  <c:v>0.28409090909090912</c:v>
                </c:pt>
                <c:pt idx="55">
                  <c:v>0.22047244094488189</c:v>
                </c:pt>
                <c:pt idx="56">
                  <c:v>0.23762376237623761</c:v>
                </c:pt>
                <c:pt idx="57">
                  <c:v>0.39849624060150374</c:v>
                </c:pt>
                <c:pt idx="58">
                  <c:v>0.35064935064935066</c:v>
                </c:pt>
                <c:pt idx="59">
                  <c:v>0.36470588235294116</c:v>
                </c:pt>
                <c:pt idx="60">
                  <c:v>0.34146341463414637</c:v>
                </c:pt>
                <c:pt idx="61">
                  <c:v>0.22950819672131148</c:v>
                </c:pt>
                <c:pt idx="62">
                  <c:v>-2.2900763358778626E-2</c:v>
                </c:pt>
                <c:pt idx="63">
                  <c:v>-4.2372881355932202E-2</c:v>
                </c:pt>
                <c:pt idx="64">
                  <c:v>1.1363636363636364E-2</c:v>
                </c:pt>
                <c:pt idx="65">
                  <c:v>-4.2372881355932202E-2</c:v>
                </c:pt>
                <c:pt idx="66">
                  <c:v>0.28037383177570091</c:v>
                </c:pt>
                <c:pt idx="67">
                  <c:v>0.1</c:v>
                </c:pt>
                <c:pt idx="68">
                  <c:v>0.17647058823529413</c:v>
                </c:pt>
                <c:pt idx="69">
                  <c:v>0.25899280575539568</c:v>
                </c:pt>
                <c:pt idx="70">
                  <c:v>0.10625</c:v>
                </c:pt>
                <c:pt idx="71">
                  <c:v>-2.2900763358778626E-2</c:v>
                </c:pt>
                <c:pt idx="72">
                  <c:v>-5.3846153846153849E-2</c:v>
                </c:pt>
                <c:pt idx="73">
                  <c:v>0.29770992366412213</c:v>
                </c:pt>
                <c:pt idx="74">
                  <c:v>0.36842105263157893</c:v>
                </c:pt>
                <c:pt idx="75">
                  <c:v>0.52</c:v>
                </c:pt>
                <c:pt idx="76">
                  <c:v>0.42783505154639173</c:v>
                </c:pt>
                <c:pt idx="77">
                  <c:v>1</c:v>
                </c:pt>
                <c:pt idx="78">
                  <c:v>0.26271186440677968</c:v>
                </c:pt>
                <c:pt idx="79">
                  <c:v>0.44285714285714284</c:v>
                </c:pt>
                <c:pt idx="80">
                  <c:v>0.1388888888888889</c:v>
                </c:pt>
                <c:pt idx="81">
                  <c:v>0.51886792452830188</c:v>
                </c:pt>
                <c:pt idx="82">
                  <c:v>0.3828125</c:v>
                </c:pt>
                <c:pt idx="83">
                  <c:v>0.2975206611570248</c:v>
                </c:pt>
                <c:pt idx="84">
                  <c:v>-8.6206896551724144E-2</c:v>
                </c:pt>
                <c:pt idx="85">
                  <c:v>6.5359477124183009E-3</c:v>
                </c:pt>
                <c:pt idx="86">
                  <c:v>-3.6585365853658534E-2</c:v>
                </c:pt>
                <c:pt idx="87">
                  <c:v>0.140625</c:v>
                </c:pt>
                <c:pt idx="88">
                  <c:v>-7.7586206896551727E-2</c:v>
                </c:pt>
                <c:pt idx="89">
                  <c:v>0.53174603174603174</c:v>
                </c:pt>
                <c:pt idx="90">
                  <c:v>0.3828125</c:v>
                </c:pt>
                <c:pt idx="91">
                  <c:v>0.55118110236220474</c:v>
                </c:pt>
                <c:pt idx="92">
                  <c:v>0.5</c:v>
                </c:pt>
                <c:pt idx="93">
                  <c:v>0.43577981651376146</c:v>
                </c:pt>
                <c:pt idx="94">
                  <c:v>0.48706896551724138</c:v>
                </c:pt>
                <c:pt idx="95">
                  <c:v>0.39795918367346939</c:v>
                </c:pt>
                <c:pt idx="96">
                  <c:v>0.5419847328244275</c:v>
                </c:pt>
                <c:pt idx="97">
                  <c:v>0.40816326530612246</c:v>
                </c:pt>
                <c:pt idx="98">
                  <c:v>-9.375E-2</c:v>
                </c:pt>
                <c:pt idx="99">
                  <c:v>0.37142857142857144</c:v>
                </c:pt>
                <c:pt idx="100">
                  <c:v>0.38016528925619836</c:v>
                </c:pt>
                <c:pt idx="101">
                  <c:v>0.16666666666666666</c:v>
                </c:pt>
                <c:pt idx="102">
                  <c:v>0.5419847328244275</c:v>
                </c:pt>
                <c:pt idx="103">
                  <c:v>0.32330827067669171</c:v>
                </c:pt>
                <c:pt idx="104">
                  <c:v>0.48936170212765956</c:v>
                </c:pt>
                <c:pt idx="105">
                  <c:v>0.46511627906976744</c:v>
                </c:pt>
                <c:pt idx="106">
                  <c:v>0.50602409638554213</c:v>
                </c:pt>
                <c:pt idx="107">
                  <c:v>0.47872340425531917</c:v>
                </c:pt>
                <c:pt idx="108">
                  <c:v>0.390625</c:v>
                </c:pt>
                <c:pt idx="109">
                  <c:v>0.16279069767441862</c:v>
                </c:pt>
                <c:pt idx="110">
                  <c:v>0.375</c:v>
                </c:pt>
                <c:pt idx="111">
                  <c:v>0.25862068965517243</c:v>
                </c:pt>
                <c:pt idx="112">
                  <c:v>-0.10619469026548672</c:v>
                </c:pt>
                <c:pt idx="113">
                  <c:v>0.48666666666666669</c:v>
                </c:pt>
                <c:pt idx="114">
                  <c:v>0.14728682170542637</c:v>
                </c:pt>
                <c:pt idx="115">
                  <c:v>0.14728682170542637</c:v>
                </c:pt>
                <c:pt idx="116">
                  <c:v>0.375</c:v>
                </c:pt>
                <c:pt idx="117">
                  <c:v>0.25862068965517243</c:v>
                </c:pt>
                <c:pt idx="118">
                  <c:v>0.52845528455284552</c:v>
                </c:pt>
                <c:pt idx="119">
                  <c:v>0.51041666666666663</c:v>
                </c:pt>
                <c:pt idx="120">
                  <c:v>6.369426751592357E-3</c:v>
                </c:pt>
                <c:pt idx="121">
                  <c:v>0.42452830188679247</c:v>
                </c:pt>
                <c:pt idx="122">
                  <c:v>0.54225352112676062</c:v>
                </c:pt>
                <c:pt idx="123">
                  <c:v>-7.5630252100840331E-2</c:v>
                </c:pt>
                <c:pt idx="124">
                  <c:v>0.31851851851851853</c:v>
                </c:pt>
                <c:pt idx="125">
                  <c:v>0.21935483870967742</c:v>
                </c:pt>
                <c:pt idx="126">
                  <c:v>0.39361702127659576</c:v>
                </c:pt>
                <c:pt idx="127">
                  <c:v>0.31111111111111112</c:v>
                </c:pt>
                <c:pt idx="128">
                  <c:v>0.33333333333333331</c:v>
                </c:pt>
                <c:pt idx="129">
                  <c:v>0.55633802816901412</c:v>
                </c:pt>
                <c:pt idx="130">
                  <c:v>0.48780487804878048</c:v>
                </c:pt>
                <c:pt idx="131">
                  <c:v>0.50549450549450547</c:v>
                </c:pt>
                <c:pt idx="132">
                  <c:v>0.48275862068965519</c:v>
                </c:pt>
                <c:pt idx="133">
                  <c:v>0.32307692307692309</c:v>
                </c:pt>
                <c:pt idx="134">
                  <c:v>-2.8571428571428571E-2</c:v>
                </c:pt>
                <c:pt idx="135">
                  <c:v>-5.5555555555555552E-2</c:v>
                </c:pt>
                <c:pt idx="136">
                  <c:v>1.0638297872340425E-2</c:v>
                </c:pt>
                <c:pt idx="137">
                  <c:v>-5.5555555555555552E-2</c:v>
                </c:pt>
                <c:pt idx="138">
                  <c:v>0.39473684210526316</c:v>
                </c:pt>
                <c:pt idx="139">
                  <c:v>0.14035087719298245</c:v>
                </c:pt>
                <c:pt idx="140">
                  <c:v>0.24539877300613497</c:v>
                </c:pt>
                <c:pt idx="141">
                  <c:v>0.35810810810810811</c:v>
                </c:pt>
                <c:pt idx="142">
                  <c:v>0.14619883040935672</c:v>
                </c:pt>
                <c:pt idx="143">
                  <c:v>-2.8571428571428571E-2</c:v>
                </c:pt>
                <c:pt idx="144">
                  <c:v>0.3</c:v>
                </c:pt>
                <c:pt idx="145">
                  <c:v>0.27586206896551724</c:v>
                </c:pt>
                <c:pt idx="146">
                  <c:v>0.10833333333333334</c:v>
                </c:pt>
                <c:pt idx="147">
                  <c:v>0.2288135593220339</c:v>
                </c:pt>
                <c:pt idx="148">
                  <c:v>0.30303030303030304</c:v>
                </c:pt>
                <c:pt idx="149">
                  <c:v>0.42245989304812837</c:v>
                </c:pt>
                <c:pt idx="150">
                  <c:v>0.19607843137254902</c:v>
                </c:pt>
                <c:pt idx="151">
                  <c:v>0.31034482758620691</c:v>
                </c:pt>
                <c:pt idx="152">
                  <c:v>0.19209039548022599</c:v>
                </c:pt>
                <c:pt idx="153">
                  <c:v>0.24647887323943662</c:v>
                </c:pt>
                <c:pt idx="154">
                  <c:v>0.26548672566371684</c:v>
                </c:pt>
                <c:pt idx="155">
                  <c:v>0</c:v>
                </c:pt>
                <c:pt idx="156">
                  <c:v>0.35849056603773582</c:v>
                </c:pt>
                <c:pt idx="157">
                  <c:v>0.29347826086956524</c:v>
                </c:pt>
                <c:pt idx="158">
                  <c:v>0.34090909090909088</c:v>
                </c:pt>
                <c:pt idx="159">
                  <c:v>0.12096774193548387</c:v>
                </c:pt>
                <c:pt idx="160">
                  <c:v>0.29347826086956524</c:v>
                </c:pt>
                <c:pt idx="161">
                  <c:v>0.32857142857142857</c:v>
                </c:pt>
                <c:pt idx="162">
                  <c:v>0.35897435897435898</c:v>
                </c:pt>
                <c:pt idx="163">
                  <c:v>0.36249999999999999</c:v>
                </c:pt>
                <c:pt idx="164">
                  <c:v>0.38211382113821141</c:v>
                </c:pt>
                <c:pt idx="165">
                  <c:v>0.72093023255813948</c:v>
                </c:pt>
                <c:pt idx="166">
                  <c:v>-6.5573770491803282E-2</c:v>
                </c:pt>
                <c:pt idx="167">
                  <c:v>0.2857142857142857</c:v>
                </c:pt>
                <c:pt idx="168">
                  <c:v>-6.6037735849056603E-2</c:v>
                </c:pt>
                <c:pt idx="169">
                  <c:v>-5.4054054054054057E-2</c:v>
                </c:pt>
                <c:pt idx="170">
                  <c:v>-7.5471698113207544E-2</c:v>
                </c:pt>
                <c:pt idx="171">
                  <c:v>0.34615384615384615</c:v>
                </c:pt>
                <c:pt idx="172">
                  <c:v>0.25333333333333335</c:v>
                </c:pt>
                <c:pt idx="173">
                  <c:v>0.27500000000000002</c:v>
                </c:pt>
                <c:pt idx="174">
                  <c:v>0.28333333333333333</c:v>
                </c:pt>
                <c:pt idx="175">
                  <c:v>0.29292929292929293</c:v>
                </c:pt>
                <c:pt idx="176">
                  <c:v>0.23762376237623761</c:v>
                </c:pt>
                <c:pt idx="177">
                  <c:v>-0.20202020202020202</c:v>
                </c:pt>
                <c:pt idx="178">
                  <c:v>0.29292929292929293</c:v>
                </c:pt>
                <c:pt idx="179">
                  <c:v>0.29292929292929293</c:v>
                </c:pt>
                <c:pt idx="180">
                  <c:v>5.8252427184466021E-2</c:v>
                </c:pt>
                <c:pt idx="181">
                  <c:v>0.22413793103448276</c:v>
                </c:pt>
                <c:pt idx="182">
                  <c:v>0.35365853658536583</c:v>
                </c:pt>
                <c:pt idx="183">
                  <c:v>0.35294117647058826</c:v>
                </c:pt>
                <c:pt idx="184">
                  <c:v>0.7441860465116279</c:v>
                </c:pt>
                <c:pt idx="185">
                  <c:v>0.25471698113207547</c:v>
                </c:pt>
                <c:pt idx="186">
                  <c:v>0.11594202898550725</c:v>
                </c:pt>
                <c:pt idx="187">
                  <c:v>0.29310344827586204</c:v>
                </c:pt>
                <c:pt idx="188">
                  <c:v>0.28971962616822428</c:v>
                </c:pt>
                <c:pt idx="189">
                  <c:v>5.8252427184466021E-2</c:v>
                </c:pt>
                <c:pt idx="190">
                  <c:v>0.26415094339622641</c:v>
                </c:pt>
                <c:pt idx="191">
                  <c:v>0.34146341463414637</c:v>
                </c:pt>
                <c:pt idx="192">
                  <c:v>-3.3898305084745763E-2</c:v>
                </c:pt>
                <c:pt idx="193">
                  <c:v>-2.2900763358778626E-2</c:v>
                </c:pt>
                <c:pt idx="194">
                  <c:v>0.41666666666666669</c:v>
                </c:pt>
                <c:pt idx="195">
                  <c:v>0.38378378378378381</c:v>
                </c:pt>
                <c:pt idx="196">
                  <c:v>0.1484375</c:v>
                </c:pt>
                <c:pt idx="197">
                  <c:v>0.31746031746031744</c:v>
                </c:pt>
                <c:pt idx="198">
                  <c:v>0.42857142857142855</c:v>
                </c:pt>
                <c:pt idx="199">
                  <c:v>0.5879396984924623</c:v>
                </c:pt>
                <c:pt idx="200">
                  <c:v>0.27777777777777779</c:v>
                </c:pt>
                <c:pt idx="201">
                  <c:v>0.43548387096774194</c:v>
                </c:pt>
                <c:pt idx="202">
                  <c:v>0.26455026455026454</c:v>
                </c:pt>
                <c:pt idx="203">
                  <c:v>0.3443708609271523</c:v>
                </c:pt>
                <c:pt idx="204">
                  <c:v>0.375</c:v>
                </c:pt>
                <c:pt idx="205">
                  <c:v>0</c:v>
                </c:pt>
                <c:pt idx="206">
                  <c:v>0.50295857988165682</c:v>
                </c:pt>
                <c:pt idx="207">
                  <c:v>0.40816326530612246</c:v>
                </c:pt>
                <c:pt idx="208">
                  <c:v>0.47872340425531917</c:v>
                </c:pt>
                <c:pt idx="209">
                  <c:v>0.16666666666666666</c:v>
                </c:pt>
                <c:pt idx="210">
                  <c:v>0.40816326530612246</c:v>
                </c:pt>
                <c:pt idx="211">
                  <c:v>0.45333333333333331</c:v>
                </c:pt>
                <c:pt idx="212">
                  <c:v>0.50602409638554213</c:v>
                </c:pt>
                <c:pt idx="213">
                  <c:v>0.50588235294117645</c:v>
                </c:pt>
                <c:pt idx="214">
                  <c:v>0.53435114503816794</c:v>
                </c:pt>
                <c:pt idx="215">
                  <c:v>1</c:v>
                </c:pt>
                <c:pt idx="216">
                  <c:v>-9.2307692307692313E-2</c:v>
                </c:pt>
                <c:pt idx="217">
                  <c:v>0.4</c:v>
                </c:pt>
                <c:pt idx="218">
                  <c:v>-8.8495575221238937E-2</c:v>
                </c:pt>
                <c:pt idx="219">
                  <c:v>-7.5949367088607597E-2</c:v>
                </c:pt>
                <c:pt idx="220">
                  <c:v>-0.10619469026548672</c:v>
                </c:pt>
                <c:pt idx="221">
                  <c:v>0.48192771084337349</c:v>
                </c:pt>
                <c:pt idx="222">
                  <c:v>0.35</c:v>
                </c:pt>
                <c:pt idx="223">
                  <c:v>0.3828125</c:v>
                </c:pt>
                <c:pt idx="224">
                  <c:v>0.390625</c:v>
                </c:pt>
                <c:pt idx="225">
                  <c:v>0.40566037735849059</c:v>
                </c:pt>
                <c:pt idx="226">
                  <c:v>0.33333333333333331</c:v>
                </c:pt>
                <c:pt idx="227">
                  <c:v>-0.28301886792452829</c:v>
                </c:pt>
                <c:pt idx="228">
                  <c:v>0.40566037735849059</c:v>
                </c:pt>
                <c:pt idx="229">
                  <c:v>0.40566037735849059</c:v>
                </c:pt>
                <c:pt idx="230">
                  <c:v>8.1818181818181818E-2</c:v>
                </c:pt>
                <c:pt idx="231">
                  <c:v>0.31451612903225806</c:v>
                </c:pt>
                <c:pt idx="232">
                  <c:v>0.4942528735632184</c:v>
                </c:pt>
                <c:pt idx="233">
                  <c:v>0.49450549450549453</c:v>
                </c:pt>
                <c:pt idx="234">
                  <c:v>1.0217391304347827</c:v>
                </c:pt>
                <c:pt idx="235">
                  <c:v>0.35398230088495575</c:v>
                </c:pt>
                <c:pt idx="236">
                  <c:v>0.16216216216216217</c:v>
                </c:pt>
                <c:pt idx="237">
                  <c:v>0.40322580645161288</c:v>
                </c:pt>
                <c:pt idx="238">
                  <c:v>0.40350877192982454</c:v>
                </c:pt>
                <c:pt idx="239">
                  <c:v>8.1818181818181818E-2</c:v>
                </c:pt>
                <c:pt idx="240">
                  <c:v>0.37168141592920356</c:v>
                </c:pt>
                <c:pt idx="241">
                  <c:v>0.48275862068965519</c:v>
                </c:pt>
                <c:pt idx="242">
                  <c:v>-4.7619047619047616E-2</c:v>
                </c:pt>
                <c:pt idx="243">
                  <c:v>-2.8571428571428571E-2</c:v>
                </c:pt>
                <c:pt idx="244">
                  <c:v>0.3</c:v>
                </c:pt>
                <c:pt idx="245">
                  <c:v>0.28888888888888886</c:v>
                </c:pt>
                <c:pt idx="246">
                  <c:v>-0.23853211009174313</c:v>
                </c:pt>
                <c:pt idx="247">
                  <c:v>0.26548672566371684</c:v>
                </c:pt>
                <c:pt idx="248">
                  <c:v>0.10294117647058823</c:v>
                </c:pt>
                <c:pt idx="249">
                  <c:v>-5.5045871559633031E-2</c:v>
                </c:pt>
                <c:pt idx="250">
                  <c:v>0.35443037974683544</c:v>
                </c:pt>
                <c:pt idx="251">
                  <c:v>8.8235294117647065E-2</c:v>
                </c:pt>
                <c:pt idx="252">
                  <c:v>0.14130434782608695</c:v>
                </c:pt>
                <c:pt idx="253">
                  <c:v>0.3</c:v>
                </c:pt>
                <c:pt idx="254">
                  <c:v>0.7441860465116279</c:v>
                </c:pt>
                <c:pt idx="255">
                  <c:v>-5.5045871559633031E-2</c:v>
                </c:pt>
                <c:pt idx="256">
                  <c:v>0</c:v>
                </c:pt>
                <c:pt idx="257">
                  <c:v>0.36249999999999999</c:v>
                </c:pt>
                <c:pt idx="258">
                  <c:v>0.10743801652892562</c:v>
                </c:pt>
                <c:pt idx="259">
                  <c:v>0.21153846153846154</c:v>
                </c:pt>
                <c:pt idx="260">
                  <c:v>9.7560975609756101E-2</c:v>
                </c:pt>
                <c:pt idx="261">
                  <c:v>7.8125E-2</c:v>
                </c:pt>
                <c:pt idx="262">
                  <c:v>7.8125E-2</c:v>
                </c:pt>
                <c:pt idx="263">
                  <c:v>-3.9473684210526314E-2</c:v>
                </c:pt>
                <c:pt idx="264">
                  <c:v>0.36249999999999999</c:v>
                </c:pt>
                <c:pt idx="265">
                  <c:v>0.72093023255813948</c:v>
                </c:pt>
                <c:pt idx="266">
                  <c:v>0.33333333333333331</c:v>
                </c:pt>
                <c:pt idx="267">
                  <c:v>-7.3770491803278687E-2</c:v>
                </c:pt>
                <c:pt idx="268">
                  <c:v>-6.5573770491803282E-2</c:v>
                </c:pt>
                <c:pt idx="269">
                  <c:v>0.10975609756097561</c:v>
                </c:pt>
                <c:pt idx="270">
                  <c:v>-3.9473684210526314E-2</c:v>
                </c:pt>
                <c:pt idx="271">
                  <c:v>-5.4054054054054057E-2</c:v>
                </c:pt>
                <c:pt idx="272">
                  <c:v>0.7441860465116279</c:v>
                </c:pt>
                <c:pt idx="273">
                  <c:v>-6.6037735849056603E-2</c:v>
                </c:pt>
                <c:pt idx="274">
                  <c:v>0.34246575342465752</c:v>
                </c:pt>
                <c:pt idx="275">
                  <c:v>0.35365853658536583</c:v>
                </c:pt>
                <c:pt idx="276">
                  <c:v>6.7961165048543687E-2</c:v>
                </c:pt>
                <c:pt idx="277">
                  <c:v>0.34666666666666668</c:v>
                </c:pt>
                <c:pt idx="278">
                  <c:v>0.34246575342465752</c:v>
                </c:pt>
                <c:pt idx="279">
                  <c:v>0.23214285714285715</c:v>
                </c:pt>
                <c:pt idx="280">
                  <c:v>0.72093023255813948</c:v>
                </c:pt>
                <c:pt idx="281">
                  <c:v>0.33766233766233766</c:v>
                </c:pt>
                <c:pt idx="282">
                  <c:v>0.35294117647058826</c:v>
                </c:pt>
                <c:pt idx="283">
                  <c:v>2.2727272727272728E-2</c:v>
                </c:pt>
                <c:pt idx="284">
                  <c:v>0.10144927536231885</c:v>
                </c:pt>
                <c:pt idx="285">
                  <c:v>0.12359550561797752</c:v>
                </c:pt>
                <c:pt idx="286">
                  <c:v>2.2727272727272728E-2</c:v>
                </c:pt>
                <c:pt idx="287">
                  <c:v>0.7441860465116279</c:v>
                </c:pt>
                <c:pt idx="288">
                  <c:v>0.28037383177570091</c:v>
                </c:pt>
                <c:pt idx="289">
                  <c:v>0.1348314606741573</c:v>
                </c:pt>
                <c:pt idx="290">
                  <c:v>0.26415094339622641</c:v>
                </c:pt>
                <c:pt idx="291">
                  <c:v>0.41666666666666669</c:v>
                </c:pt>
                <c:pt idx="292">
                  <c:v>0.40625</c:v>
                </c:pt>
                <c:pt idx="293">
                  <c:v>-0.33620689655172414</c:v>
                </c:pt>
                <c:pt idx="294">
                  <c:v>0.375</c:v>
                </c:pt>
                <c:pt idx="295">
                  <c:v>0.1388888888888889</c:v>
                </c:pt>
                <c:pt idx="296">
                  <c:v>-7.7586206896551727E-2</c:v>
                </c:pt>
                <c:pt idx="297">
                  <c:v>0.5</c:v>
                </c:pt>
                <c:pt idx="298">
                  <c:v>0.125</c:v>
                </c:pt>
                <c:pt idx="299">
                  <c:v>0.19387755102040816</c:v>
                </c:pt>
                <c:pt idx="300">
                  <c:v>0.421875</c:v>
                </c:pt>
                <c:pt idx="301">
                  <c:v>1.0217391304347827</c:v>
                </c:pt>
                <c:pt idx="302">
                  <c:v>-7.7586206896551727E-2</c:v>
                </c:pt>
                <c:pt idx="303">
                  <c:v>0</c:v>
                </c:pt>
                <c:pt idx="304">
                  <c:v>0.50588235294117645</c:v>
                </c:pt>
                <c:pt idx="305">
                  <c:v>0.14728682170542637</c:v>
                </c:pt>
                <c:pt idx="306">
                  <c:v>0.29090909090909089</c:v>
                </c:pt>
                <c:pt idx="307">
                  <c:v>0.13793103448275862</c:v>
                </c:pt>
                <c:pt idx="308">
                  <c:v>0.10294117647058823</c:v>
                </c:pt>
                <c:pt idx="309">
                  <c:v>0.10294117647058823</c:v>
                </c:pt>
                <c:pt idx="310">
                  <c:v>-4.9382716049382713E-2</c:v>
                </c:pt>
                <c:pt idx="311">
                  <c:v>0.50588235294117645</c:v>
                </c:pt>
                <c:pt idx="312">
                  <c:v>1</c:v>
                </c:pt>
                <c:pt idx="313">
                  <c:v>0.46511627906976744</c:v>
                </c:pt>
                <c:pt idx="314">
                  <c:v>-0.1</c:v>
                </c:pt>
                <c:pt idx="315">
                  <c:v>-9.2307692307692313E-2</c:v>
                </c:pt>
                <c:pt idx="316">
                  <c:v>0.14942528735632185</c:v>
                </c:pt>
                <c:pt idx="317">
                  <c:v>-4.9382716049382713E-2</c:v>
                </c:pt>
                <c:pt idx="318">
                  <c:v>-7.5949367088607597E-2</c:v>
                </c:pt>
                <c:pt idx="319">
                  <c:v>1.0217391304347827</c:v>
                </c:pt>
                <c:pt idx="320">
                  <c:v>-8.8495575221238937E-2</c:v>
                </c:pt>
                <c:pt idx="321">
                  <c:v>0.47435897435897434</c:v>
                </c:pt>
                <c:pt idx="322">
                  <c:v>0.4942528735632184</c:v>
                </c:pt>
                <c:pt idx="323">
                  <c:v>9.0909090909090912E-2</c:v>
                </c:pt>
                <c:pt idx="324">
                  <c:v>0.48749999999999999</c:v>
                </c:pt>
                <c:pt idx="325">
                  <c:v>0.47435897435897434</c:v>
                </c:pt>
                <c:pt idx="326">
                  <c:v>0.31666666666666665</c:v>
                </c:pt>
                <c:pt idx="327">
                  <c:v>1</c:v>
                </c:pt>
                <c:pt idx="328">
                  <c:v>0.47560975609756095</c:v>
                </c:pt>
                <c:pt idx="329">
                  <c:v>0.49450549450549453</c:v>
                </c:pt>
                <c:pt idx="330">
                  <c:v>3.1914893617021274E-2</c:v>
                </c:pt>
                <c:pt idx="331">
                  <c:v>0.13513513513513514</c:v>
                </c:pt>
                <c:pt idx="332">
                  <c:v>0.16842105263157894</c:v>
                </c:pt>
                <c:pt idx="333">
                  <c:v>3.1914893617021274E-2</c:v>
                </c:pt>
                <c:pt idx="334">
                  <c:v>1.0217391304347827</c:v>
                </c:pt>
                <c:pt idx="335">
                  <c:v>0.39473684210526316</c:v>
                </c:pt>
                <c:pt idx="336">
                  <c:v>0.18947368421052632</c:v>
                </c:pt>
                <c:pt idx="337">
                  <c:v>0.37168141592920356</c:v>
                </c:pt>
                <c:pt idx="338">
                  <c:v>-4.0983606557377046E-2</c:v>
                </c:pt>
                <c:pt idx="339">
                  <c:v>0.21138211382113822</c:v>
                </c:pt>
                <c:pt idx="340">
                  <c:v>0.26168224299065418</c:v>
                </c:pt>
                <c:pt idx="341">
                  <c:v>-9.4827586206896547E-2</c:v>
                </c:pt>
                <c:pt idx="342">
                  <c:v>0.30219780219780218</c:v>
                </c:pt>
                <c:pt idx="343">
                  <c:v>0.38983050847457629</c:v>
                </c:pt>
                <c:pt idx="344">
                  <c:v>0.36477987421383645</c:v>
                </c:pt>
                <c:pt idx="345">
                  <c:v>0.21951219512195122</c:v>
                </c:pt>
                <c:pt idx="346">
                  <c:v>0.12698412698412698</c:v>
                </c:pt>
                <c:pt idx="347">
                  <c:v>0.12698412698412698</c:v>
                </c:pt>
                <c:pt idx="348">
                  <c:v>0.20175438596491227</c:v>
                </c:pt>
                <c:pt idx="349">
                  <c:v>-2.4E-2</c:v>
                </c:pt>
                <c:pt idx="350">
                  <c:v>0.2807017543859649</c:v>
                </c:pt>
                <c:pt idx="351">
                  <c:v>-3.2000000000000001E-2</c:v>
                </c:pt>
                <c:pt idx="352">
                  <c:v>0.2318840579710145</c:v>
                </c:pt>
                <c:pt idx="353">
                  <c:v>0.2318840579710145</c:v>
                </c:pt>
                <c:pt idx="354">
                  <c:v>0.38211382113821141</c:v>
                </c:pt>
                <c:pt idx="355">
                  <c:v>0.20967741935483872</c:v>
                </c:pt>
                <c:pt idx="356">
                  <c:v>0.39393939393939392</c:v>
                </c:pt>
                <c:pt idx="357">
                  <c:v>0.1834862385321101</c:v>
                </c:pt>
                <c:pt idx="358">
                  <c:v>6.8027210884353739E-3</c:v>
                </c:pt>
                <c:pt idx="359">
                  <c:v>0.12903225806451613</c:v>
                </c:pt>
                <c:pt idx="360">
                  <c:v>0.20652173913043478</c:v>
                </c:pt>
                <c:pt idx="361">
                  <c:v>1.3605442176870748E-2</c:v>
                </c:pt>
                <c:pt idx="362">
                  <c:v>0.3475177304964539</c:v>
                </c:pt>
                <c:pt idx="363">
                  <c:v>-5.3571428571428568E-2</c:v>
                </c:pt>
                <c:pt idx="364">
                  <c:v>0.2283464566929134</c:v>
                </c:pt>
                <c:pt idx="365">
                  <c:v>0.27976190476190477</c:v>
                </c:pt>
                <c:pt idx="366">
                  <c:v>0.39849624060150374</c:v>
                </c:pt>
                <c:pt idx="367">
                  <c:v>0.25899280575539568</c:v>
                </c:pt>
                <c:pt idx="368">
                  <c:v>0.18421052631578946</c:v>
                </c:pt>
                <c:pt idx="369">
                  <c:v>0.38211382113821141</c:v>
                </c:pt>
                <c:pt idx="370">
                  <c:v>0.29133858267716534</c:v>
                </c:pt>
                <c:pt idx="371">
                  <c:v>-1.5267175572519083E-2</c:v>
                </c:pt>
                <c:pt idx="372">
                  <c:v>-3.3898305084745763E-2</c:v>
                </c:pt>
                <c:pt idx="373">
                  <c:v>1.020408163265306E-2</c:v>
                </c:pt>
                <c:pt idx="374">
                  <c:v>0.22047244094488189</c:v>
                </c:pt>
                <c:pt idx="375">
                  <c:v>0.15172413793103448</c:v>
                </c:pt>
                <c:pt idx="376">
                  <c:v>0.28346456692913385</c:v>
                </c:pt>
                <c:pt idx="377">
                  <c:v>0.22950819672131148</c:v>
                </c:pt>
                <c:pt idx="378">
                  <c:v>0.38333333333333336</c:v>
                </c:pt>
                <c:pt idx="379">
                  <c:v>0.38211382113821141</c:v>
                </c:pt>
                <c:pt idx="380">
                  <c:v>-5.3846153846153849E-2</c:v>
                </c:pt>
                <c:pt idx="381">
                  <c:v>0.29770992366412213</c:v>
                </c:pt>
                <c:pt idx="382">
                  <c:v>0.36842105263157893</c:v>
                </c:pt>
                <c:pt idx="383">
                  <c:v>-0.12903225806451613</c:v>
                </c:pt>
                <c:pt idx="384">
                  <c:v>0.42268041237113402</c:v>
                </c:pt>
                <c:pt idx="385">
                  <c:v>0.53968253968253965</c:v>
                </c:pt>
                <c:pt idx="386">
                  <c:v>0.50887573964497046</c:v>
                </c:pt>
                <c:pt idx="387">
                  <c:v>0.30534351145038169</c:v>
                </c:pt>
                <c:pt idx="388">
                  <c:v>0.17910447761194029</c:v>
                </c:pt>
                <c:pt idx="389">
                  <c:v>0.17910447761194029</c:v>
                </c:pt>
                <c:pt idx="390">
                  <c:v>0.28099173553719009</c:v>
                </c:pt>
                <c:pt idx="391">
                  <c:v>-3.007518796992481E-2</c:v>
                </c:pt>
                <c:pt idx="392">
                  <c:v>0.38842975206611569</c:v>
                </c:pt>
                <c:pt idx="393">
                  <c:v>-4.5112781954887216E-2</c:v>
                </c:pt>
                <c:pt idx="394">
                  <c:v>0.31972789115646261</c:v>
                </c:pt>
                <c:pt idx="395">
                  <c:v>0.31972789115646261</c:v>
                </c:pt>
                <c:pt idx="396">
                  <c:v>0.53435114503816794</c:v>
                </c:pt>
                <c:pt idx="397">
                  <c:v>0.29545454545454547</c:v>
                </c:pt>
                <c:pt idx="398">
                  <c:v>0.54609929078014185</c:v>
                </c:pt>
                <c:pt idx="399">
                  <c:v>0.25862068965517243</c:v>
                </c:pt>
                <c:pt idx="400">
                  <c:v>6.369426751592357E-3</c:v>
                </c:pt>
                <c:pt idx="401">
                  <c:v>0.18181818181818182</c:v>
                </c:pt>
                <c:pt idx="402">
                  <c:v>0.2857142857142857</c:v>
                </c:pt>
                <c:pt idx="403">
                  <c:v>1.9108280254777069E-2</c:v>
                </c:pt>
                <c:pt idx="404">
                  <c:v>0.48666666666666669</c:v>
                </c:pt>
                <c:pt idx="405">
                  <c:v>-7.5630252100840331E-2</c:v>
                </c:pt>
                <c:pt idx="406">
                  <c:v>0.31851851851851853</c:v>
                </c:pt>
                <c:pt idx="407">
                  <c:v>0.39106145251396646</c:v>
                </c:pt>
                <c:pt idx="408">
                  <c:v>0.55633802816901412</c:v>
                </c:pt>
                <c:pt idx="409">
                  <c:v>0.35810810810810811</c:v>
                </c:pt>
                <c:pt idx="410">
                  <c:v>0.256198347107438</c:v>
                </c:pt>
                <c:pt idx="411">
                  <c:v>0.53435114503816794</c:v>
                </c:pt>
                <c:pt idx="412">
                  <c:v>0.40740740740740738</c:v>
                </c:pt>
                <c:pt idx="413">
                  <c:v>-2.1428571428571429E-2</c:v>
                </c:pt>
                <c:pt idx="414">
                  <c:v>-4.7619047619047616E-2</c:v>
                </c:pt>
                <c:pt idx="415">
                  <c:v>9.6153846153846159E-3</c:v>
                </c:pt>
                <c:pt idx="416">
                  <c:v>0.31111111111111112</c:v>
                </c:pt>
                <c:pt idx="417">
                  <c:v>0.2129032258064516</c:v>
                </c:pt>
                <c:pt idx="418">
                  <c:v>0.3925925925925926</c:v>
                </c:pt>
                <c:pt idx="419">
                  <c:v>0.32307692307692309</c:v>
                </c:pt>
                <c:pt idx="420">
                  <c:v>0.53125</c:v>
                </c:pt>
                <c:pt idx="421">
                  <c:v>0.53435114503816794</c:v>
                </c:pt>
                <c:pt idx="422">
                  <c:v>0.30188679245283018</c:v>
                </c:pt>
                <c:pt idx="423">
                  <c:v>0.30303030303030304</c:v>
                </c:pt>
                <c:pt idx="424">
                  <c:v>0.12698412698412698</c:v>
                </c:pt>
                <c:pt idx="425">
                  <c:v>0.10833333333333334</c:v>
                </c:pt>
                <c:pt idx="426">
                  <c:v>0.28301886792452829</c:v>
                </c:pt>
                <c:pt idx="427">
                  <c:v>0.15217391304347827</c:v>
                </c:pt>
                <c:pt idx="428">
                  <c:v>0.29310344827586204</c:v>
                </c:pt>
                <c:pt idx="429">
                  <c:v>0.28846153846153844</c:v>
                </c:pt>
                <c:pt idx="430">
                  <c:v>-0.21428571428571427</c:v>
                </c:pt>
                <c:pt idx="431">
                  <c:v>0.28301886792452829</c:v>
                </c:pt>
                <c:pt idx="432">
                  <c:v>0.7441860465116279</c:v>
                </c:pt>
                <c:pt idx="433">
                  <c:v>-3.896103896103896E-2</c:v>
                </c:pt>
                <c:pt idx="434">
                  <c:v>0.26923076923076922</c:v>
                </c:pt>
                <c:pt idx="435">
                  <c:v>0.27868852459016391</c:v>
                </c:pt>
                <c:pt idx="436">
                  <c:v>-3.896103896103896E-2</c:v>
                </c:pt>
                <c:pt idx="437">
                  <c:v>0.26923076923076922</c:v>
                </c:pt>
                <c:pt idx="438">
                  <c:v>0.15217391304347827</c:v>
                </c:pt>
                <c:pt idx="439">
                  <c:v>0.27433628318584069</c:v>
                </c:pt>
                <c:pt idx="440">
                  <c:v>0.30357142857142855</c:v>
                </c:pt>
                <c:pt idx="441">
                  <c:v>-5.2631578947368418E-2</c:v>
                </c:pt>
                <c:pt idx="442">
                  <c:v>0.21153846153846154</c:v>
                </c:pt>
                <c:pt idx="443">
                  <c:v>-5.4054054054054057E-2</c:v>
                </c:pt>
                <c:pt idx="444">
                  <c:v>7.8125E-2</c:v>
                </c:pt>
                <c:pt idx="445">
                  <c:v>0.30158730158730157</c:v>
                </c:pt>
                <c:pt idx="446">
                  <c:v>0.20512820512820512</c:v>
                </c:pt>
                <c:pt idx="447">
                  <c:v>0.35</c:v>
                </c:pt>
                <c:pt idx="448">
                  <c:v>0.10975609756097561</c:v>
                </c:pt>
                <c:pt idx="449">
                  <c:v>-3.9473684210526314E-2</c:v>
                </c:pt>
                <c:pt idx="450">
                  <c:v>0.21428571428571427</c:v>
                </c:pt>
                <c:pt idx="451">
                  <c:v>0.1348314606741573</c:v>
                </c:pt>
                <c:pt idx="452">
                  <c:v>0.29310344827586204</c:v>
                </c:pt>
                <c:pt idx="453">
                  <c:v>0.24390243902439024</c:v>
                </c:pt>
                <c:pt idx="454">
                  <c:v>0.11594202898550725</c:v>
                </c:pt>
                <c:pt idx="455">
                  <c:v>-0.35555555555555557</c:v>
                </c:pt>
                <c:pt idx="456">
                  <c:v>0.32876712328767121</c:v>
                </c:pt>
                <c:pt idx="457">
                  <c:v>0.23214285714285715</c:v>
                </c:pt>
                <c:pt idx="458">
                  <c:v>0.31666666666666665</c:v>
                </c:pt>
                <c:pt idx="459">
                  <c:v>0.24390243902439024</c:v>
                </c:pt>
                <c:pt idx="460">
                  <c:v>0.34246575342465752</c:v>
                </c:pt>
                <c:pt idx="461">
                  <c:v>0.42857142857142855</c:v>
                </c:pt>
                <c:pt idx="462">
                  <c:v>0.42857142857142855</c:v>
                </c:pt>
                <c:pt idx="463">
                  <c:v>0.17910447761194029</c:v>
                </c:pt>
                <c:pt idx="464">
                  <c:v>0.1484375</c:v>
                </c:pt>
                <c:pt idx="465">
                  <c:v>0.39285714285714285</c:v>
                </c:pt>
                <c:pt idx="466">
                  <c:v>0.21428571428571427</c:v>
                </c:pt>
                <c:pt idx="467">
                  <c:v>0.40322580645161288</c:v>
                </c:pt>
                <c:pt idx="468">
                  <c:v>0.4</c:v>
                </c:pt>
                <c:pt idx="469">
                  <c:v>-0.3</c:v>
                </c:pt>
                <c:pt idx="470">
                  <c:v>0.39285714285714285</c:v>
                </c:pt>
                <c:pt idx="471">
                  <c:v>1.0217391304347827</c:v>
                </c:pt>
                <c:pt idx="472">
                  <c:v>-4.878048780487805E-2</c:v>
                </c:pt>
                <c:pt idx="473">
                  <c:v>0.38181818181818183</c:v>
                </c:pt>
                <c:pt idx="474">
                  <c:v>0.38461538461538464</c:v>
                </c:pt>
                <c:pt idx="475">
                  <c:v>-4.878048780487805E-2</c:v>
                </c:pt>
                <c:pt idx="476">
                  <c:v>0.38181818181818183</c:v>
                </c:pt>
                <c:pt idx="477">
                  <c:v>0.21428571428571427</c:v>
                </c:pt>
                <c:pt idx="478">
                  <c:v>0.38333333333333336</c:v>
                </c:pt>
                <c:pt idx="479">
                  <c:v>0.41666666666666669</c:v>
                </c:pt>
                <c:pt idx="480">
                  <c:v>-7.407407407407407E-2</c:v>
                </c:pt>
                <c:pt idx="481">
                  <c:v>0.29090909090909089</c:v>
                </c:pt>
                <c:pt idx="482">
                  <c:v>-7.5949367088607597E-2</c:v>
                </c:pt>
                <c:pt idx="483">
                  <c:v>0.10294117647058823</c:v>
                </c:pt>
                <c:pt idx="484">
                  <c:v>0.41791044776119401</c:v>
                </c:pt>
                <c:pt idx="485">
                  <c:v>0.2857142857142857</c:v>
                </c:pt>
                <c:pt idx="486">
                  <c:v>0.49411764705882355</c:v>
                </c:pt>
                <c:pt idx="487">
                  <c:v>0.14942528735632185</c:v>
                </c:pt>
                <c:pt idx="488">
                  <c:v>-4.9382716049382713E-2</c:v>
                </c:pt>
                <c:pt idx="489">
                  <c:v>0.3</c:v>
                </c:pt>
                <c:pt idx="490">
                  <c:v>0.18947368421052632</c:v>
                </c:pt>
                <c:pt idx="491">
                  <c:v>0.40322580645161288</c:v>
                </c:pt>
                <c:pt idx="492">
                  <c:v>0.34090909090909088</c:v>
                </c:pt>
                <c:pt idx="493">
                  <c:v>0.16216216216216217</c:v>
                </c:pt>
                <c:pt idx="494">
                  <c:v>-0.5</c:v>
                </c:pt>
                <c:pt idx="495">
                  <c:v>0.46153846153846156</c:v>
                </c:pt>
                <c:pt idx="496">
                  <c:v>0.31666666666666665</c:v>
                </c:pt>
                <c:pt idx="497">
                  <c:v>0.4375</c:v>
                </c:pt>
                <c:pt idx="498">
                  <c:v>0.34090909090909088</c:v>
                </c:pt>
                <c:pt idx="499">
                  <c:v>0.47435897435897434</c:v>
                </c:pt>
                <c:pt idx="500">
                  <c:v>0.41711229946524064</c:v>
                </c:pt>
                <c:pt idx="501">
                  <c:v>0.21138211382113822</c:v>
                </c:pt>
                <c:pt idx="502">
                  <c:v>0.41711229946524064</c:v>
                </c:pt>
                <c:pt idx="503">
                  <c:v>0.30219780219780218</c:v>
                </c:pt>
                <c:pt idx="504">
                  <c:v>0.24647887323943662</c:v>
                </c:pt>
                <c:pt idx="505">
                  <c:v>0.35443037974683544</c:v>
                </c:pt>
                <c:pt idx="506">
                  <c:v>0.31707317073170732</c:v>
                </c:pt>
                <c:pt idx="507">
                  <c:v>0.11904761904761904</c:v>
                </c:pt>
                <c:pt idx="508">
                  <c:v>0.34862385321100919</c:v>
                </c:pt>
                <c:pt idx="509">
                  <c:v>0.35849056603773582</c:v>
                </c:pt>
                <c:pt idx="510">
                  <c:v>0.12903225806451613</c:v>
                </c:pt>
                <c:pt idx="511">
                  <c:v>0.2391304347826087</c:v>
                </c:pt>
                <c:pt idx="512">
                  <c:v>0.31216931216931215</c:v>
                </c:pt>
                <c:pt idx="513">
                  <c:v>0.25333333333333335</c:v>
                </c:pt>
                <c:pt idx="514">
                  <c:v>0.2807017543859649</c:v>
                </c:pt>
                <c:pt idx="515">
                  <c:v>0.27439024390243905</c:v>
                </c:pt>
                <c:pt idx="516">
                  <c:v>1.3605442176870748E-2</c:v>
                </c:pt>
                <c:pt idx="517">
                  <c:v>0.38260869565217392</c:v>
                </c:pt>
                <c:pt idx="518">
                  <c:v>-3.2000000000000001E-2</c:v>
                </c:pt>
                <c:pt idx="519">
                  <c:v>0.21774193548387097</c:v>
                </c:pt>
                <c:pt idx="520">
                  <c:v>0.2391304347826087</c:v>
                </c:pt>
                <c:pt idx="521">
                  <c:v>0.34042553191489361</c:v>
                </c:pt>
                <c:pt idx="522">
                  <c:v>0.38636363636363635</c:v>
                </c:pt>
                <c:pt idx="523">
                  <c:v>5.8252427184466021E-2</c:v>
                </c:pt>
                <c:pt idx="524">
                  <c:v>0.27976190476190477</c:v>
                </c:pt>
                <c:pt idx="525">
                  <c:v>0.39097744360902253</c:v>
                </c:pt>
                <c:pt idx="526">
                  <c:v>0.27976190476190477</c:v>
                </c:pt>
                <c:pt idx="527">
                  <c:v>0.24752475247524752</c:v>
                </c:pt>
                <c:pt idx="528">
                  <c:v>0.15172413793103448</c:v>
                </c:pt>
                <c:pt idx="529">
                  <c:v>-6.25E-2</c:v>
                </c:pt>
                <c:pt idx="530">
                  <c:v>0.18421052631578946</c:v>
                </c:pt>
                <c:pt idx="531">
                  <c:v>0.15862068965517243</c:v>
                </c:pt>
                <c:pt idx="532">
                  <c:v>0.16993464052287582</c:v>
                </c:pt>
                <c:pt idx="533">
                  <c:v>0.58291457286432158</c:v>
                </c:pt>
                <c:pt idx="534">
                  <c:v>0.29770992366412213</c:v>
                </c:pt>
                <c:pt idx="535">
                  <c:v>0.58291457286432158</c:v>
                </c:pt>
                <c:pt idx="536">
                  <c:v>0.42268041237113402</c:v>
                </c:pt>
                <c:pt idx="537">
                  <c:v>0.3443708609271523</c:v>
                </c:pt>
                <c:pt idx="538">
                  <c:v>0.5</c:v>
                </c:pt>
                <c:pt idx="539">
                  <c:v>0.44036697247706424</c:v>
                </c:pt>
                <c:pt idx="540">
                  <c:v>0.16417910447761194</c:v>
                </c:pt>
                <c:pt idx="541">
                  <c:v>0.48706896551724138</c:v>
                </c:pt>
                <c:pt idx="542">
                  <c:v>0.50295857988165682</c:v>
                </c:pt>
                <c:pt idx="543">
                  <c:v>0.18181818181818182</c:v>
                </c:pt>
                <c:pt idx="544">
                  <c:v>0.33333333333333331</c:v>
                </c:pt>
                <c:pt idx="545">
                  <c:v>0.43781094527363185</c:v>
                </c:pt>
                <c:pt idx="546">
                  <c:v>0.35</c:v>
                </c:pt>
                <c:pt idx="547">
                  <c:v>0.38842975206611569</c:v>
                </c:pt>
                <c:pt idx="548">
                  <c:v>0.38285714285714284</c:v>
                </c:pt>
                <c:pt idx="549">
                  <c:v>1.9108280254777069E-2</c:v>
                </c:pt>
                <c:pt idx="550">
                  <c:v>0.52845528455284552</c:v>
                </c:pt>
                <c:pt idx="551">
                  <c:v>-4.5112781954887216E-2</c:v>
                </c:pt>
                <c:pt idx="552">
                  <c:v>0.30303030303030304</c:v>
                </c:pt>
                <c:pt idx="553">
                  <c:v>0.33333333333333331</c:v>
                </c:pt>
                <c:pt idx="554">
                  <c:v>0.47333333333333333</c:v>
                </c:pt>
                <c:pt idx="555">
                  <c:v>0.53900709219858156</c:v>
                </c:pt>
                <c:pt idx="556">
                  <c:v>8.1818181818181818E-2</c:v>
                </c:pt>
                <c:pt idx="557">
                  <c:v>0.39106145251396646</c:v>
                </c:pt>
                <c:pt idx="558">
                  <c:v>0.54225352112676062</c:v>
                </c:pt>
                <c:pt idx="559">
                  <c:v>0.39106145251396646</c:v>
                </c:pt>
                <c:pt idx="560">
                  <c:v>0.34259259259259262</c:v>
                </c:pt>
                <c:pt idx="561">
                  <c:v>0.2129032258064516</c:v>
                </c:pt>
                <c:pt idx="562">
                  <c:v>-8.4033613445378158E-2</c:v>
                </c:pt>
                <c:pt idx="563">
                  <c:v>0.256198347107438</c:v>
                </c:pt>
                <c:pt idx="564">
                  <c:v>0.21935483870967742</c:v>
                </c:pt>
                <c:pt idx="565">
                  <c:v>0.2392638036809816</c:v>
                </c:pt>
                <c:pt idx="566">
                  <c:v>0.28888888888888886</c:v>
                </c:pt>
                <c:pt idx="567">
                  <c:v>0.35576923076923078</c:v>
                </c:pt>
                <c:pt idx="568">
                  <c:v>0.44039735099337746</c:v>
                </c:pt>
                <c:pt idx="569">
                  <c:v>0.38135593220338981</c:v>
                </c:pt>
                <c:pt idx="570">
                  <c:v>0.3949579831932773</c:v>
                </c:pt>
                <c:pt idx="571">
                  <c:v>0.20175438596491227</c:v>
                </c:pt>
                <c:pt idx="572">
                  <c:v>0.36097560975609755</c:v>
                </c:pt>
                <c:pt idx="573">
                  <c:v>-0.21428571428571427</c:v>
                </c:pt>
                <c:pt idx="574">
                  <c:v>0.36864406779661019</c:v>
                </c:pt>
                <c:pt idx="575">
                  <c:v>0.19209039548022599</c:v>
                </c:pt>
                <c:pt idx="576">
                  <c:v>7.3913043478260873E-2</c:v>
                </c:pt>
                <c:pt idx="577">
                  <c:v>0.35510204081632651</c:v>
                </c:pt>
                <c:pt idx="578">
                  <c:v>0.31216931216931215</c:v>
                </c:pt>
                <c:pt idx="579">
                  <c:v>0.43793103448275861</c:v>
                </c:pt>
                <c:pt idx="580">
                  <c:v>0.31472081218274112</c:v>
                </c:pt>
                <c:pt idx="581">
                  <c:v>0.35499999999999998</c:v>
                </c:pt>
                <c:pt idx="582">
                  <c:v>0.36326530612244901</c:v>
                </c:pt>
                <c:pt idx="583">
                  <c:v>0.36796536796536794</c:v>
                </c:pt>
                <c:pt idx="584">
                  <c:v>0.23076923076923078</c:v>
                </c:pt>
                <c:pt idx="585">
                  <c:v>0.20652173913043478</c:v>
                </c:pt>
                <c:pt idx="586">
                  <c:v>6.6964285714285712E-2</c:v>
                </c:pt>
                <c:pt idx="587">
                  <c:v>0.35809523809523808</c:v>
                </c:pt>
                <c:pt idx="588">
                  <c:v>0.44039735099337746</c:v>
                </c:pt>
                <c:pt idx="589">
                  <c:v>0.1</c:v>
                </c:pt>
                <c:pt idx="590">
                  <c:v>0.32579185520361992</c:v>
                </c:pt>
                <c:pt idx="591">
                  <c:v>0.38333333333333336</c:v>
                </c:pt>
                <c:pt idx="592">
                  <c:v>0.22131147540983606</c:v>
                </c:pt>
                <c:pt idx="593">
                  <c:v>0.35675675675675678</c:v>
                </c:pt>
                <c:pt idx="594">
                  <c:v>-0.33333333333333331</c:v>
                </c:pt>
                <c:pt idx="595">
                  <c:v>0.37812499999999999</c:v>
                </c:pt>
                <c:pt idx="596">
                  <c:v>0.35981308411214952</c:v>
                </c:pt>
                <c:pt idx="597">
                  <c:v>0.21951219512195122</c:v>
                </c:pt>
                <c:pt idx="598">
                  <c:v>0.08</c:v>
                </c:pt>
                <c:pt idx="599">
                  <c:v>0.40625</c:v>
                </c:pt>
                <c:pt idx="600">
                  <c:v>0.49638989169675091</c:v>
                </c:pt>
                <c:pt idx="601">
                  <c:v>0.61180124223602483</c:v>
                </c:pt>
                <c:pt idx="602">
                  <c:v>0.53174603174603174</c:v>
                </c:pt>
                <c:pt idx="603">
                  <c:v>0.55118110236220474</c:v>
                </c:pt>
                <c:pt idx="604">
                  <c:v>0.28099173553719009</c:v>
                </c:pt>
                <c:pt idx="605">
                  <c:v>0.50458715596330272</c:v>
                </c:pt>
                <c:pt idx="606">
                  <c:v>-0.3</c:v>
                </c:pt>
                <c:pt idx="607">
                  <c:v>0.51394422310756971</c:v>
                </c:pt>
                <c:pt idx="608">
                  <c:v>0.26455026455026454</c:v>
                </c:pt>
                <c:pt idx="609">
                  <c:v>0.10204081632653061</c:v>
                </c:pt>
                <c:pt idx="610">
                  <c:v>0.4942528735632184</c:v>
                </c:pt>
                <c:pt idx="611">
                  <c:v>0.43781094527363185</c:v>
                </c:pt>
                <c:pt idx="612">
                  <c:v>0.60841423948220064</c:v>
                </c:pt>
                <c:pt idx="613">
                  <c:v>0.43809523809523809</c:v>
                </c:pt>
                <c:pt idx="614">
                  <c:v>0.49295774647887325</c:v>
                </c:pt>
                <c:pt idx="615">
                  <c:v>0.50574712643678166</c:v>
                </c:pt>
                <c:pt idx="616">
                  <c:v>0.51219512195121952</c:v>
                </c:pt>
                <c:pt idx="617">
                  <c:v>0.30952380952380953</c:v>
                </c:pt>
                <c:pt idx="618">
                  <c:v>0.2857142857142857</c:v>
                </c:pt>
                <c:pt idx="619">
                  <c:v>9.2050209205020925E-2</c:v>
                </c:pt>
                <c:pt idx="620">
                  <c:v>0.49910554561717352</c:v>
                </c:pt>
                <c:pt idx="621">
                  <c:v>0.61180124223602483</c:v>
                </c:pt>
                <c:pt idx="622">
                  <c:v>0.14035087719298245</c:v>
                </c:pt>
                <c:pt idx="623">
                  <c:v>0.45338983050847459</c:v>
                </c:pt>
                <c:pt idx="624">
                  <c:v>0.53125</c:v>
                </c:pt>
                <c:pt idx="625">
                  <c:v>0.30769230769230771</c:v>
                </c:pt>
                <c:pt idx="626">
                  <c:v>0.49746192893401014</c:v>
                </c:pt>
                <c:pt idx="627">
                  <c:v>-0.45833333333333331</c:v>
                </c:pt>
                <c:pt idx="628">
                  <c:v>0.52785923753665687</c:v>
                </c:pt>
                <c:pt idx="629">
                  <c:v>0.5</c:v>
                </c:pt>
                <c:pt idx="630">
                  <c:v>0.29545454545454547</c:v>
                </c:pt>
                <c:pt idx="631">
                  <c:v>0.11278195488721804</c:v>
                </c:pt>
                <c:pt idx="632">
                  <c:v>0.36741214057507987</c:v>
                </c:pt>
                <c:pt idx="633">
                  <c:v>6.9444444444444441E-3</c:v>
                </c:pt>
                <c:pt idx="634">
                  <c:v>0.37538461538461537</c:v>
                </c:pt>
                <c:pt idx="635">
                  <c:v>0.36332179930795849</c:v>
                </c:pt>
                <c:pt idx="636">
                  <c:v>0.5119760479041916</c:v>
                </c:pt>
                <c:pt idx="637">
                  <c:v>6.5359477124183009E-3</c:v>
                </c:pt>
                <c:pt idx="638">
                  <c:v>0.52312138728323698</c:v>
                </c:pt>
                <c:pt idx="639">
                  <c:v>0.50649350649350644</c:v>
                </c:pt>
                <c:pt idx="640">
                  <c:v>0.34862385321100919</c:v>
                </c:pt>
                <c:pt idx="641">
                  <c:v>0.29702970297029702</c:v>
                </c:pt>
                <c:pt idx="642">
                  <c:v>0.31219512195121951</c:v>
                </c:pt>
                <c:pt idx="643">
                  <c:v>0.73417721518987344</c:v>
                </c:pt>
                <c:pt idx="644">
                  <c:v>0.38</c:v>
                </c:pt>
                <c:pt idx="645">
                  <c:v>7.8260869565217397E-2</c:v>
                </c:pt>
                <c:pt idx="646">
                  <c:v>-2.9275362318840581</c:v>
                </c:pt>
                <c:pt idx="647">
                  <c:v>0.2857142857142857</c:v>
                </c:pt>
                <c:pt idx="648">
                  <c:v>0.56862745098039214</c:v>
                </c:pt>
                <c:pt idx="649">
                  <c:v>0.19607843137254902</c:v>
                </c:pt>
                <c:pt idx="650">
                  <c:v>0.25146198830409355</c:v>
                </c:pt>
                <c:pt idx="651">
                  <c:v>-1.0365853658536586</c:v>
                </c:pt>
                <c:pt idx="652">
                  <c:v>0.43396226415094341</c:v>
                </c:pt>
                <c:pt idx="653">
                  <c:v>0.44370860927152317</c:v>
                </c:pt>
                <c:pt idx="654">
                  <c:v>0.41711229946524064</c:v>
                </c:pt>
                <c:pt idx="655">
                  <c:v>0.36326530612244901</c:v>
                </c:pt>
                <c:pt idx="656">
                  <c:v>0.28333333333333333</c:v>
                </c:pt>
                <c:pt idx="657">
                  <c:v>0.31979695431472083</c:v>
                </c:pt>
                <c:pt idx="658">
                  <c:v>0.71365638766519823</c:v>
                </c:pt>
                <c:pt idx="659">
                  <c:v>0.37881219903691815</c:v>
                </c:pt>
                <c:pt idx="660">
                  <c:v>6.6964285714285712E-2</c:v>
                </c:pt>
                <c:pt idx="661">
                  <c:v>-3.3114754098360657</c:v>
                </c:pt>
                <c:pt idx="662">
                  <c:v>0.2975206611570248</c:v>
                </c:pt>
                <c:pt idx="663">
                  <c:v>0.56444444444444442</c:v>
                </c:pt>
                <c:pt idx="664">
                  <c:v>0.21153846153846154</c:v>
                </c:pt>
                <c:pt idx="665">
                  <c:v>0.35416666666666669</c:v>
                </c:pt>
                <c:pt idx="666">
                  <c:v>-0.97499999999999998</c:v>
                </c:pt>
                <c:pt idx="667">
                  <c:v>0.42424242424242425</c:v>
                </c:pt>
                <c:pt idx="668">
                  <c:v>0.43793103448275861</c:v>
                </c:pt>
                <c:pt idx="669">
                  <c:v>0.38124999999999998</c:v>
                </c:pt>
                <c:pt idx="670">
                  <c:v>0.29743589743589743</c:v>
                </c:pt>
                <c:pt idx="671">
                  <c:v>0.33031674208144796</c:v>
                </c:pt>
                <c:pt idx="672">
                  <c:v>0.76470588235294112</c:v>
                </c:pt>
                <c:pt idx="673">
                  <c:v>0.38769670958512159</c:v>
                </c:pt>
                <c:pt idx="674">
                  <c:v>8.4000000000000005E-2</c:v>
                </c:pt>
                <c:pt idx="675">
                  <c:v>-3.393939393939394</c:v>
                </c:pt>
                <c:pt idx="676">
                  <c:v>0.28431372549019607</c:v>
                </c:pt>
                <c:pt idx="677">
                  <c:v>0.47488584474885842</c:v>
                </c:pt>
                <c:pt idx="678">
                  <c:v>0.41365461847389556</c:v>
                </c:pt>
                <c:pt idx="679">
                  <c:v>-1.277027027027027</c:v>
                </c:pt>
                <c:pt idx="680">
                  <c:v>0.4238095238095238</c:v>
                </c:pt>
                <c:pt idx="681">
                  <c:v>0.44039735099337746</c:v>
                </c:pt>
                <c:pt idx="682">
                  <c:v>0.48706896551724138</c:v>
                </c:pt>
                <c:pt idx="683">
                  <c:v>0.413953488372093</c:v>
                </c:pt>
                <c:pt idx="684">
                  <c:v>0.43577981651376146</c:v>
                </c:pt>
                <c:pt idx="685">
                  <c:v>1.0217821782178218</c:v>
                </c:pt>
                <c:pt idx="686">
                  <c:v>0.5295815295815296</c:v>
                </c:pt>
                <c:pt idx="687">
                  <c:v>0.11020408163265306</c:v>
                </c:pt>
                <c:pt idx="688">
                  <c:v>-4.0540540540540544</c:v>
                </c:pt>
                <c:pt idx="689">
                  <c:v>0.39941690962099125</c:v>
                </c:pt>
                <c:pt idx="690">
                  <c:v>0.79263803680981593</c:v>
                </c:pt>
                <c:pt idx="691">
                  <c:v>0.27777777777777779</c:v>
                </c:pt>
                <c:pt idx="692">
                  <c:v>0.34917733089579522</c:v>
                </c:pt>
                <c:pt idx="693">
                  <c:v>-1.44</c:v>
                </c:pt>
                <c:pt idx="694">
                  <c:v>0.6063829787234043</c:v>
                </c:pt>
                <c:pt idx="695">
                  <c:v>0.61801242236024845</c:v>
                </c:pt>
                <c:pt idx="696">
                  <c:v>0.58291457286432158</c:v>
                </c:pt>
                <c:pt idx="697">
                  <c:v>0.50574712643678166</c:v>
                </c:pt>
                <c:pt idx="698">
                  <c:v>0.39583333333333331</c:v>
                </c:pt>
                <c:pt idx="699">
                  <c:v>0.44285714285714284</c:v>
                </c:pt>
                <c:pt idx="700">
                  <c:v>0.99380165289256195</c:v>
                </c:pt>
                <c:pt idx="701">
                  <c:v>0.52710843373493976</c:v>
                </c:pt>
                <c:pt idx="702">
                  <c:v>9.2050209205020925E-2</c:v>
                </c:pt>
                <c:pt idx="703">
                  <c:v>-4.615384615384615</c:v>
                </c:pt>
                <c:pt idx="704">
                  <c:v>0.41343669250645992</c:v>
                </c:pt>
                <c:pt idx="705">
                  <c:v>0.78581363004172466</c:v>
                </c:pt>
                <c:pt idx="706">
                  <c:v>0.29090909090909089</c:v>
                </c:pt>
                <c:pt idx="707">
                  <c:v>0.49348534201954397</c:v>
                </c:pt>
                <c:pt idx="708">
                  <c:v>-1.3567251461988303</c:v>
                </c:pt>
                <c:pt idx="709">
                  <c:v>0.59241706161137442</c:v>
                </c:pt>
                <c:pt idx="710">
                  <c:v>0.60841423948220064</c:v>
                </c:pt>
                <c:pt idx="711">
                  <c:v>0.53079178885630496</c:v>
                </c:pt>
                <c:pt idx="712">
                  <c:v>0.41346153846153844</c:v>
                </c:pt>
                <c:pt idx="713">
                  <c:v>0.4576271186440678</c:v>
                </c:pt>
                <c:pt idx="714">
                  <c:v>1.0662983425414365</c:v>
                </c:pt>
                <c:pt idx="715">
                  <c:v>0.53959731543624156</c:v>
                </c:pt>
                <c:pt idx="716">
                  <c:v>0.11654135338345864</c:v>
                </c:pt>
                <c:pt idx="717">
                  <c:v>-4.7428571428571429</c:v>
                </c:pt>
                <c:pt idx="718">
                  <c:v>0.39570552147239263</c:v>
                </c:pt>
                <c:pt idx="719">
                  <c:v>0.66142857142857148</c:v>
                </c:pt>
                <c:pt idx="720">
                  <c:v>0.5766331658291457</c:v>
                </c:pt>
                <c:pt idx="721">
                  <c:v>-1.7721518987341771</c:v>
                </c:pt>
                <c:pt idx="722">
                  <c:v>0.5892857142857143</c:v>
                </c:pt>
                <c:pt idx="723">
                  <c:v>0.61180124223602483</c:v>
                </c:pt>
                <c:pt idx="724">
                  <c:v>0.43773584905660379</c:v>
                </c:pt>
                <c:pt idx="725">
                  <c:v>0.38590604026845637</c:v>
                </c:pt>
                <c:pt idx="726">
                  <c:v>0.30769230769230771</c:v>
                </c:pt>
                <c:pt idx="727">
                  <c:v>0.31171548117154813</c:v>
                </c:pt>
                <c:pt idx="728">
                  <c:v>0.1</c:v>
                </c:pt>
                <c:pt idx="729">
                  <c:v>0.44039735099337746</c:v>
                </c:pt>
                <c:pt idx="730">
                  <c:v>0.32697547683923706</c:v>
                </c:pt>
                <c:pt idx="731">
                  <c:v>0.42245989304812837</c:v>
                </c:pt>
                <c:pt idx="732">
                  <c:v>0.37458193979933108</c:v>
                </c:pt>
                <c:pt idx="733">
                  <c:v>0.2857142857142857</c:v>
                </c:pt>
                <c:pt idx="734">
                  <c:v>0.2857142857142857</c:v>
                </c:pt>
                <c:pt idx="735">
                  <c:v>0.44039735099337746</c:v>
                </c:pt>
                <c:pt idx="736">
                  <c:v>0.43773584905660379</c:v>
                </c:pt>
                <c:pt idx="737">
                  <c:v>0.31707317073170732</c:v>
                </c:pt>
                <c:pt idx="738">
                  <c:v>0.34862385321100919</c:v>
                </c:pt>
                <c:pt idx="739">
                  <c:v>0.36097560975609755</c:v>
                </c:pt>
                <c:pt idx="740">
                  <c:v>-8.6956521739130432E-2</c:v>
                </c:pt>
                <c:pt idx="741">
                  <c:v>0.30198019801980197</c:v>
                </c:pt>
                <c:pt idx="742">
                  <c:v>0.19774011299435029</c:v>
                </c:pt>
                <c:pt idx="743">
                  <c:v>7.8260869565217397E-2</c:v>
                </c:pt>
                <c:pt idx="744">
                  <c:v>0.36363636363636365</c:v>
                </c:pt>
                <c:pt idx="745">
                  <c:v>0.27586206896551724</c:v>
                </c:pt>
                <c:pt idx="746">
                  <c:v>0.37458193979933108</c:v>
                </c:pt>
                <c:pt idx="747">
                  <c:v>0.3825503355704698</c:v>
                </c:pt>
                <c:pt idx="748">
                  <c:v>-0.23853211009174313</c:v>
                </c:pt>
                <c:pt idx="749">
                  <c:v>0.31171548117154813</c:v>
                </c:pt>
                <c:pt idx="750">
                  <c:v>0.32275132275132273</c:v>
                </c:pt>
                <c:pt idx="751">
                  <c:v>-0.19642857142857142</c:v>
                </c:pt>
                <c:pt idx="752">
                  <c:v>0.42424242424242425</c:v>
                </c:pt>
                <c:pt idx="753">
                  <c:v>0.38129496402877699</c:v>
                </c:pt>
                <c:pt idx="754">
                  <c:v>0.30687830687830686</c:v>
                </c:pt>
                <c:pt idx="755">
                  <c:v>0.30496453900709219</c:v>
                </c:pt>
                <c:pt idx="756">
                  <c:v>0.44137931034482758</c:v>
                </c:pt>
                <c:pt idx="757">
                  <c:v>0.33737864077669905</c:v>
                </c:pt>
                <c:pt idx="758">
                  <c:v>0.3902439024390244</c:v>
                </c:pt>
                <c:pt idx="759">
                  <c:v>0.36842105263157893</c:v>
                </c:pt>
                <c:pt idx="760">
                  <c:v>0.29476584022038566</c:v>
                </c:pt>
                <c:pt idx="761">
                  <c:v>0.29476584022038566</c:v>
                </c:pt>
                <c:pt idx="762">
                  <c:v>0.43793103448275861</c:v>
                </c:pt>
                <c:pt idx="763">
                  <c:v>0.42424242424242425</c:v>
                </c:pt>
                <c:pt idx="764">
                  <c:v>0.31472081218274112</c:v>
                </c:pt>
                <c:pt idx="765">
                  <c:v>0.31216931216931215</c:v>
                </c:pt>
                <c:pt idx="766">
                  <c:v>0.36326530612244901</c:v>
                </c:pt>
                <c:pt idx="767">
                  <c:v>0.35</c:v>
                </c:pt>
                <c:pt idx="768">
                  <c:v>-0.13043478260869565</c:v>
                </c:pt>
                <c:pt idx="769">
                  <c:v>0.28333333333333333</c:v>
                </c:pt>
                <c:pt idx="770">
                  <c:v>0.20512820512820512</c:v>
                </c:pt>
                <c:pt idx="771">
                  <c:v>0.20652173913043478</c:v>
                </c:pt>
                <c:pt idx="772">
                  <c:v>7.1428571428571425E-2</c:v>
                </c:pt>
                <c:pt idx="773">
                  <c:v>0.38636363636363635</c:v>
                </c:pt>
                <c:pt idx="774">
                  <c:v>0.27439024390243905</c:v>
                </c:pt>
                <c:pt idx="775">
                  <c:v>0.36842105263157893</c:v>
                </c:pt>
                <c:pt idx="776">
                  <c:v>0.38489208633093525</c:v>
                </c:pt>
                <c:pt idx="777">
                  <c:v>0.30496453900709219</c:v>
                </c:pt>
                <c:pt idx="778">
                  <c:v>0.31743119266055048</c:v>
                </c:pt>
                <c:pt idx="779">
                  <c:v>0.41904761904761906</c:v>
                </c:pt>
                <c:pt idx="780">
                  <c:v>0.39102564102564102</c:v>
                </c:pt>
                <c:pt idx="781">
                  <c:v>0.27976190476190477</c:v>
                </c:pt>
                <c:pt idx="782">
                  <c:v>0.31337325349301398</c:v>
                </c:pt>
                <c:pt idx="783">
                  <c:v>0.44370860927152317</c:v>
                </c:pt>
                <c:pt idx="784">
                  <c:v>0.36329588014981273</c:v>
                </c:pt>
                <c:pt idx="785">
                  <c:v>0.39849624060150374</c:v>
                </c:pt>
                <c:pt idx="786">
                  <c:v>0.375</c:v>
                </c:pt>
                <c:pt idx="787">
                  <c:v>0.28431372549019607</c:v>
                </c:pt>
                <c:pt idx="788">
                  <c:v>0.28431372549019607</c:v>
                </c:pt>
                <c:pt idx="789">
                  <c:v>0.44039735099337746</c:v>
                </c:pt>
                <c:pt idx="790">
                  <c:v>0.41904761904761906</c:v>
                </c:pt>
                <c:pt idx="791">
                  <c:v>0.32579185520361992</c:v>
                </c:pt>
                <c:pt idx="792">
                  <c:v>0.37812499999999999</c:v>
                </c:pt>
                <c:pt idx="793">
                  <c:v>0.35675675675675678</c:v>
                </c:pt>
                <c:pt idx="794">
                  <c:v>-4.1666666666666664E-2</c:v>
                </c:pt>
                <c:pt idx="795">
                  <c:v>0.29230769230769232</c:v>
                </c:pt>
                <c:pt idx="796">
                  <c:v>0.16993464052287582</c:v>
                </c:pt>
                <c:pt idx="797">
                  <c:v>0.08</c:v>
                </c:pt>
                <c:pt idx="798">
                  <c:v>0.3902439024390244</c:v>
                </c:pt>
                <c:pt idx="799">
                  <c:v>0.28409090909090912</c:v>
                </c:pt>
                <c:pt idx="800">
                  <c:v>0.375</c:v>
                </c:pt>
                <c:pt idx="801">
                  <c:v>0.39423076923076922</c:v>
                </c:pt>
                <c:pt idx="802">
                  <c:v>0.31137724550898205</c:v>
                </c:pt>
                <c:pt idx="803">
                  <c:v>0.33027522935779818</c:v>
                </c:pt>
                <c:pt idx="804">
                  <c:v>-0.35555555555555557</c:v>
                </c:pt>
                <c:pt idx="805">
                  <c:v>0.60992907801418439</c:v>
                </c:pt>
                <c:pt idx="806">
                  <c:v>0.53773584905660377</c:v>
                </c:pt>
                <c:pt idx="807">
                  <c:v>0.42783505154639173</c:v>
                </c:pt>
                <c:pt idx="808">
                  <c:v>0.43418467583497056</c:v>
                </c:pt>
                <c:pt idx="809">
                  <c:v>0.140625</c:v>
                </c:pt>
                <c:pt idx="810">
                  <c:v>0.61180124223602483</c:v>
                </c:pt>
                <c:pt idx="811">
                  <c:v>0.45524296675191817</c:v>
                </c:pt>
                <c:pt idx="812">
                  <c:v>0.5879396984924623</c:v>
                </c:pt>
                <c:pt idx="813">
                  <c:v>0.52119309262166402</c:v>
                </c:pt>
                <c:pt idx="814">
                  <c:v>0.39941690962099125</c:v>
                </c:pt>
                <c:pt idx="815">
                  <c:v>0.39941690962099125</c:v>
                </c:pt>
                <c:pt idx="816">
                  <c:v>0.61180124223602483</c:v>
                </c:pt>
                <c:pt idx="817">
                  <c:v>0.60992907801418439</c:v>
                </c:pt>
                <c:pt idx="818">
                  <c:v>0.44036697247706424</c:v>
                </c:pt>
                <c:pt idx="819">
                  <c:v>0.48706896551724138</c:v>
                </c:pt>
                <c:pt idx="820">
                  <c:v>0.50458715596330272</c:v>
                </c:pt>
                <c:pt idx="821">
                  <c:v>-0.12</c:v>
                </c:pt>
                <c:pt idx="822">
                  <c:v>0.42325581395348838</c:v>
                </c:pt>
                <c:pt idx="823">
                  <c:v>0.27513227513227512</c:v>
                </c:pt>
                <c:pt idx="824">
                  <c:v>0.11020408163265306</c:v>
                </c:pt>
                <c:pt idx="825">
                  <c:v>0.5</c:v>
                </c:pt>
                <c:pt idx="826">
                  <c:v>0.38378378378378381</c:v>
                </c:pt>
                <c:pt idx="827">
                  <c:v>0.52119309262166402</c:v>
                </c:pt>
                <c:pt idx="828">
                  <c:v>0.53144654088050314</c:v>
                </c:pt>
                <c:pt idx="829">
                  <c:v>-0.33620689655172414</c:v>
                </c:pt>
                <c:pt idx="830">
                  <c:v>0.43418467583497056</c:v>
                </c:pt>
                <c:pt idx="831">
                  <c:v>0.45033112582781459</c:v>
                </c:pt>
                <c:pt idx="832">
                  <c:v>-0.26666666666666666</c:v>
                </c:pt>
                <c:pt idx="833">
                  <c:v>0.59241706161137442</c:v>
                </c:pt>
                <c:pt idx="834">
                  <c:v>0.53040540540540537</c:v>
                </c:pt>
                <c:pt idx="835">
                  <c:v>0.42786069651741293</c:v>
                </c:pt>
                <c:pt idx="836">
                  <c:v>0.42350332594235035</c:v>
                </c:pt>
                <c:pt idx="837">
                  <c:v>0.61488673139158578</c:v>
                </c:pt>
                <c:pt idx="838">
                  <c:v>0.46924829157175396</c:v>
                </c:pt>
                <c:pt idx="839">
                  <c:v>0.5419847328244275</c:v>
                </c:pt>
                <c:pt idx="840">
                  <c:v>0.51322751322751325</c:v>
                </c:pt>
                <c:pt idx="841">
                  <c:v>0.41085271317829458</c:v>
                </c:pt>
                <c:pt idx="842">
                  <c:v>0.41085271317829458</c:v>
                </c:pt>
                <c:pt idx="843">
                  <c:v>0.60841423948220064</c:v>
                </c:pt>
                <c:pt idx="844">
                  <c:v>0.59241706161137442</c:v>
                </c:pt>
                <c:pt idx="845">
                  <c:v>0.43809523809523809</c:v>
                </c:pt>
                <c:pt idx="846">
                  <c:v>0.43781094527363185</c:v>
                </c:pt>
                <c:pt idx="847">
                  <c:v>0.50574712643678166</c:v>
                </c:pt>
                <c:pt idx="848">
                  <c:v>0.48826291079812206</c:v>
                </c:pt>
                <c:pt idx="849">
                  <c:v>-0.16</c:v>
                </c:pt>
                <c:pt idx="850">
                  <c:v>0.39583333333333331</c:v>
                </c:pt>
                <c:pt idx="851">
                  <c:v>0.2857142857142857</c:v>
                </c:pt>
                <c:pt idx="852">
                  <c:v>0.2857142857142857</c:v>
                </c:pt>
                <c:pt idx="853">
                  <c:v>0.100418410041841</c:v>
                </c:pt>
                <c:pt idx="854">
                  <c:v>0.53900709219858156</c:v>
                </c:pt>
                <c:pt idx="855">
                  <c:v>0.38285714285714284</c:v>
                </c:pt>
                <c:pt idx="856">
                  <c:v>0.51322751322751325</c:v>
                </c:pt>
                <c:pt idx="857">
                  <c:v>0.53716216216216217</c:v>
                </c:pt>
                <c:pt idx="858">
                  <c:v>0.42350332594235035</c:v>
                </c:pt>
                <c:pt idx="859">
                  <c:v>0.44234079173838209</c:v>
                </c:pt>
                <c:pt idx="860">
                  <c:v>0.5848214285714286</c:v>
                </c:pt>
                <c:pt idx="861">
                  <c:v>0.54518072289156627</c:v>
                </c:pt>
                <c:pt idx="862">
                  <c:v>0.39106145251396646</c:v>
                </c:pt>
                <c:pt idx="863">
                  <c:v>0.43632958801498128</c:v>
                </c:pt>
                <c:pt idx="864">
                  <c:v>0.61801242236024845</c:v>
                </c:pt>
                <c:pt idx="865">
                  <c:v>0.5061511423550088</c:v>
                </c:pt>
                <c:pt idx="866">
                  <c:v>0.55633802816901412</c:v>
                </c:pt>
                <c:pt idx="867">
                  <c:v>0.5228013029315961</c:v>
                </c:pt>
                <c:pt idx="868">
                  <c:v>0.39570552147239263</c:v>
                </c:pt>
                <c:pt idx="869">
                  <c:v>0.39570552147239263</c:v>
                </c:pt>
                <c:pt idx="870">
                  <c:v>0.61180124223602483</c:v>
                </c:pt>
                <c:pt idx="871">
                  <c:v>0.5848214285714286</c:v>
                </c:pt>
                <c:pt idx="872">
                  <c:v>0.45338983050847459</c:v>
                </c:pt>
                <c:pt idx="873">
                  <c:v>0.52785923753665687</c:v>
                </c:pt>
                <c:pt idx="874">
                  <c:v>0.49746192893401014</c:v>
                </c:pt>
                <c:pt idx="875">
                  <c:v>-3.8461538461538464E-2</c:v>
                </c:pt>
                <c:pt idx="876">
                  <c:v>0.40865384615384615</c:v>
                </c:pt>
                <c:pt idx="877">
                  <c:v>0.2392638036809816</c:v>
                </c:pt>
                <c:pt idx="878">
                  <c:v>0.11278195488721804</c:v>
                </c:pt>
                <c:pt idx="879">
                  <c:v>0.5419847328244275</c:v>
                </c:pt>
                <c:pt idx="880">
                  <c:v>0.39361702127659576</c:v>
                </c:pt>
                <c:pt idx="881">
                  <c:v>0.5228013029315961</c:v>
                </c:pt>
                <c:pt idx="882">
                  <c:v>0.5512048192771084</c:v>
                </c:pt>
                <c:pt idx="883">
                  <c:v>0.43445692883895132</c:v>
                </c:pt>
                <c:pt idx="884">
                  <c:v>0.46054519368723101</c:v>
                </c:pt>
                <c:pt idx="885">
                  <c:v>-0.5</c:v>
                </c:pt>
                <c:pt idx="886">
                  <c:v>-0.9</c:v>
                </c:pt>
                <c:pt idx="887">
                  <c:v>0.37625418060200672</c:v>
                </c:pt>
                <c:pt idx="888">
                  <c:v>-0.67889908256880738</c:v>
                </c:pt>
                <c:pt idx="889">
                  <c:v>0.38</c:v>
                </c:pt>
                <c:pt idx="890">
                  <c:v>0.31171548117154813</c:v>
                </c:pt>
                <c:pt idx="891">
                  <c:v>9.0604026845637578E-2</c:v>
                </c:pt>
                <c:pt idx="892">
                  <c:v>0.43396226415094341</c:v>
                </c:pt>
                <c:pt idx="893">
                  <c:v>0.3576923076923077</c:v>
                </c:pt>
                <c:pt idx="894">
                  <c:v>0.44370860927152317</c:v>
                </c:pt>
                <c:pt idx="895">
                  <c:v>0.27102803738317754</c:v>
                </c:pt>
                <c:pt idx="896">
                  <c:v>0.19209039548022599</c:v>
                </c:pt>
                <c:pt idx="897">
                  <c:v>7.3913043478260873E-2</c:v>
                </c:pt>
                <c:pt idx="898">
                  <c:v>0.28260869565217389</c:v>
                </c:pt>
                <c:pt idx="899">
                  <c:v>0.27586206896551724</c:v>
                </c:pt>
                <c:pt idx="900">
                  <c:v>-4.0983606557377046E-2</c:v>
                </c:pt>
                <c:pt idx="901">
                  <c:v>0.25352112676056338</c:v>
                </c:pt>
                <c:pt idx="902">
                  <c:v>0.14583333333333334</c:v>
                </c:pt>
                <c:pt idx="903">
                  <c:v>0.1981981981981982</c:v>
                </c:pt>
                <c:pt idx="904">
                  <c:v>0.33532934131736525</c:v>
                </c:pt>
                <c:pt idx="905">
                  <c:v>0.19607843137254902</c:v>
                </c:pt>
                <c:pt idx="906">
                  <c:v>0.26923076923076922</c:v>
                </c:pt>
                <c:pt idx="907">
                  <c:v>0.36864406779661019</c:v>
                </c:pt>
                <c:pt idx="908">
                  <c:v>8.7248322147651006E-2</c:v>
                </c:pt>
                <c:pt idx="909">
                  <c:v>0.36741214057507987</c:v>
                </c:pt>
                <c:pt idx="910">
                  <c:v>0.32697547683923706</c:v>
                </c:pt>
                <c:pt idx="911">
                  <c:v>0.35609756097560974</c:v>
                </c:pt>
                <c:pt idx="912">
                  <c:v>0.3825503355704698</c:v>
                </c:pt>
                <c:pt idx="913">
                  <c:v>-0.24770642201834864</c:v>
                </c:pt>
                <c:pt idx="914">
                  <c:v>0.37458193979933108</c:v>
                </c:pt>
                <c:pt idx="915">
                  <c:v>0.30188679245283018</c:v>
                </c:pt>
                <c:pt idx="916">
                  <c:v>0.31171548117154813</c:v>
                </c:pt>
                <c:pt idx="917">
                  <c:v>-17.285714285714285</c:v>
                </c:pt>
                <c:pt idx="918">
                  <c:v>-0.21428571428571427</c:v>
                </c:pt>
                <c:pt idx="919">
                  <c:v>-0.86986301369863017</c:v>
                </c:pt>
                <c:pt idx="920">
                  <c:v>0.37030075187969924</c:v>
                </c:pt>
                <c:pt idx="921">
                  <c:v>-0.48275862068965519</c:v>
                </c:pt>
                <c:pt idx="922">
                  <c:v>0.37720706260032105</c:v>
                </c:pt>
                <c:pt idx="923">
                  <c:v>0.30496453900709219</c:v>
                </c:pt>
                <c:pt idx="924">
                  <c:v>8.9965397923875437E-2</c:v>
                </c:pt>
                <c:pt idx="925">
                  <c:v>0.42424242424242425</c:v>
                </c:pt>
                <c:pt idx="926">
                  <c:v>0.35510204081632651</c:v>
                </c:pt>
                <c:pt idx="927">
                  <c:v>0.44137931034482758</c:v>
                </c:pt>
                <c:pt idx="928">
                  <c:v>0.20652173913043478</c:v>
                </c:pt>
                <c:pt idx="929">
                  <c:v>7.1428571428571425E-2</c:v>
                </c:pt>
                <c:pt idx="930">
                  <c:v>0.2975206611570248</c:v>
                </c:pt>
                <c:pt idx="931">
                  <c:v>0.26</c:v>
                </c:pt>
                <c:pt idx="932">
                  <c:v>0.109375</c:v>
                </c:pt>
                <c:pt idx="933">
                  <c:v>0.32051282051282054</c:v>
                </c:pt>
                <c:pt idx="934">
                  <c:v>0.23076923076923078</c:v>
                </c:pt>
                <c:pt idx="935">
                  <c:v>0.36796536796536794</c:v>
                </c:pt>
                <c:pt idx="936">
                  <c:v>8.9965397923875437E-2</c:v>
                </c:pt>
                <c:pt idx="937">
                  <c:v>0.37538461538461537</c:v>
                </c:pt>
                <c:pt idx="938">
                  <c:v>0.33495145631067963</c:v>
                </c:pt>
                <c:pt idx="939">
                  <c:v>0.35</c:v>
                </c:pt>
                <c:pt idx="940">
                  <c:v>0.38489208633093525</c:v>
                </c:pt>
                <c:pt idx="941">
                  <c:v>0.36842105263157893</c:v>
                </c:pt>
                <c:pt idx="942">
                  <c:v>0.30260047281323876</c:v>
                </c:pt>
                <c:pt idx="943">
                  <c:v>0.31472081218274112</c:v>
                </c:pt>
                <c:pt idx="944">
                  <c:v>-10.625</c:v>
                </c:pt>
                <c:pt idx="945">
                  <c:v>0.36326530612244901</c:v>
                </c:pt>
                <c:pt idx="946">
                  <c:v>-0.77604166666666663</c:v>
                </c:pt>
                <c:pt idx="947">
                  <c:v>0.375</c:v>
                </c:pt>
                <c:pt idx="948">
                  <c:v>-0.86274509803921573</c:v>
                </c:pt>
                <c:pt idx="949">
                  <c:v>0.38769670958512159</c:v>
                </c:pt>
                <c:pt idx="950">
                  <c:v>0.31337325349301398</c:v>
                </c:pt>
                <c:pt idx="951">
                  <c:v>9.627329192546584E-2</c:v>
                </c:pt>
                <c:pt idx="952">
                  <c:v>0.4238095238095238</c:v>
                </c:pt>
                <c:pt idx="953">
                  <c:v>0.35809523809523808</c:v>
                </c:pt>
                <c:pt idx="954">
                  <c:v>0.44370860927152317</c:v>
                </c:pt>
                <c:pt idx="955">
                  <c:v>0.16993464052287582</c:v>
                </c:pt>
                <c:pt idx="956">
                  <c:v>0.08</c:v>
                </c:pt>
                <c:pt idx="957">
                  <c:v>0.28431372549019607</c:v>
                </c:pt>
                <c:pt idx="958">
                  <c:v>0.28977272727272729</c:v>
                </c:pt>
                <c:pt idx="959">
                  <c:v>0.25899280575539568</c:v>
                </c:pt>
                <c:pt idx="960">
                  <c:v>0.32954545454545453</c:v>
                </c:pt>
                <c:pt idx="961">
                  <c:v>0.24390243902439024</c:v>
                </c:pt>
                <c:pt idx="962">
                  <c:v>0.35981308411214952</c:v>
                </c:pt>
                <c:pt idx="963">
                  <c:v>9.9378881987577633E-2</c:v>
                </c:pt>
                <c:pt idx="964">
                  <c:v>0.36332179930795849</c:v>
                </c:pt>
                <c:pt idx="965">
                  <c:v>0.36329588014981273</c:v>
                </c:pt>
                <c:pt idx="966">
                  <c:v>0.35675675675675678</c:v>
                </c:pt>
                <c:pt idx="967">
                  <c:v>0.39102564102564102</c:v>
                </c:pt>
                <c:pt idx="968">
                  <c:v>0.3732638888888889</c:v>
                </c:pt>
                <c:pt idx="969">
                  <c:v>0.31337325349301398</c:v>
                </c:pt>
                <c:pt idx="970">
                  <c:v>0.33031674208144796</c:v>
                </c:pt>
                <c:pt idx="971">
                  <c:v>-13.161290322580646</c:v>
                </c:pt>
                <c:pt idx="972">
                  <c:v>0.37812499999999999</c:v>
                </c:pt>
                <c:pt idx="973">
                  <c:v>-0.33333333333333331</c:v>
                </c:pt>
                <c:pt idx="974">
                  <c:v>-1.2517985611510791</c:v>
                </c:pt>
                <c:pt idx="975">
                  <c:v>0.52433281004709575</c:v>
                </c:pt>
                <c:pt idx="976">
                  <c:v>-0.94827586206896552</c:v>
                </c:pt>
                <c:pt idx="977">
                  <c:v>0.5295815295815296</c:v>
                </c:pt>
                <c:pt idx="978">
                  <c:v>0.43418467583497056</c:v>
                </c:pt>
                <c:pt idx="979">
                  <c:v>0.12578616352201258</c:v>
                </c:pt>
                <c:pt idx="980">
                  <c:v>0.6063829787234043</c:v>
                </c:pt>
                <c:pt idx="981">
                  <c:v>0.49819494584837543</c:v>
                </c:pt>
                <c:pt idx="982">
                  <c:v>0.61801242236024845</c:v>
                </c:pt>
                <c:pt idx="983">
                  <c:v>0.37719298245614036</c:v>
                </c:pt>
                <c:pt idx="984">
                  <c:v>0.26455026455026454</c:v>
                </c:pt>
                <c:pt idx="985">
                  <c:v>0.10204081632653061</c:v>
                </c:pt>
                <c:pt idx="986">
                  <c:v>0.39358600583090381</c:v>
                </c:pt>
                <c:pt idx="987">
                  <c:v>0.38378378378378381</c:v>
                </c:pt>
                <c:pt idx="988">
                  <c:v>-5.3846153846153849E-2</c:v>
                </c:pt>
                <c:pt idx="989">
                  <c:v>0.35099337748344372</c:v>
                </c:pt>
                <c:pt idx="990">
                  <c:v>0.20261437908496732</c:v>
                </c:pt>
                <c:pt idx="991">
                  <c:v>0.27966101694915252</c:v>
                </c:pt>
                <c:pt idx="992">
                  <c:v>0.46629213483146065</c:v>
                </c:pt>
                <c:pt idx="993">
                  <c:v>0.27777777777777779</c:v>
                </c:pt>
                <c:pt idx="994">
                  <c:v>0.38181818181818183</c:v>
                </c:pt>
                <c:pt idx="995">
                  <c:v>0.51394422310756971</c:v>
                </c:pt>
                <c:pt idx="996">
                  <c:v>0.12264150943396226</c:v>
                </c:pt>
                <c:pt idx="997">
                  <c:v>0.5119760479041916</c:v>
                </c:pt>
                <c:pt idx="998">
                  <c:v>0.45524296675191817</c:v>
                </c:pt>
                <c:pt idx="999">
                  <c:v>0.49541284403669728</c:v>
                </c:pt>
                <c:pt idx="1000">
                  <c:v>0.53144654088050314</c:v>
                </c:pt>
                <c:pt idx="1001">
                  <c:v>-0.34482758620689657</c:v>
                </c:pt>
                <c:pt idx="1002">
                  <c:v>0.52119309262166402</c:v>
                </c:pt>
                <c:pt idx="1003">
                  <c:v>0.42857142857142855</c:v>
                </c:pt>
                <c:pt idx="1004">
                  <c:v>0.43418467583497056</c:v>
                </c:pt>
                <c:pt idx="1005">
                  <c:v>-24.5</c:v>
                </c:pt>
                <c:pt idx="1006">
                  <c:v>-0.3</c:v>
                </c:pt>
                <c:pt idx="1007">
                  <c:v>-1.2051282051282051</c:v>
                </c:pt>
                <c:pt idx="1008">
                  <c:v>0.5149911816578483</c:v>
                </c:pt>
                <c:pt idx="1009">
                  <c:v>-0.66935483870967738</c:v>
                </c:pt>
                <c:pt idx="1010">
                  <c:v>0.5256024096385542</c:v>
                </c:pt>
                <c:pt idx="1011">
                  <c:v>0.42350332594235035</c:v>
                </c:pt>
                <c:pt idx="1012">
                  <c:v>0.12662337662337661</c:v>
                </c:pt>
                <c:pt idx="1013">
                  <c:v>0.59241706161137442</c:v>
                </c:pt>
                <c:pt idx="1014">
                  <c:v>0.4942528735632184</c:v>
                </c:pt>
                <c:pt idx="1015">
                  <c:v>0.61488673139158578</c:v>
                </c:pt>
                <c:pt idx="1016">
                  <c:v>0.2857142857142857</c:v>
                </c:pt>
                <c:pt idx="1017">
                  <c:v>0.100418410041841</c:v>
                </c:pt>
                <c:pt idx="1018">
                  <c:v>0.41343669250645992</c:v>
                </c:pt>
                <c:pt idx="1019">
                  <c:v>0.36249999999999999</c:v>
                </c:pt>
                <c:pt idx="1020">
                  <c:v>0.15441176470588236</c:v>
                </c:pt>
                <c:pt idx="1021">
                  <c:v>0.44578313253012047</c:v>
                </c:pt>
                <c:pt idx="1022">
                  <c:v>0.30952380952380953</c:v>
                </c:pt>
                <c:pt idx="1023">
                  <c:v>0.51219512195121952</c:v>
                </c:pt>
                <c:pt idx="1024">
                  <c:v>0.12662337662337661</c:v>
                </c:pt>
                <c:pt idx="1025">
                  <c:v>0.52312138728323698</c:v>
                </c:pt>
                <c:pt idx="1026">
                  <c:v>0.46697038724373574</c:v>
                </c:pt>
                <c:pt idx="1027">
                  <c:v>0.48826291079812206</c:v>
                </c:pt>
                <c:pt idx="1028">
                  <c:v>0.53716216216216217</c:v>
                </c:pt>
                <c:pt idx="1029">
                  <c:v>0.51322751322751325</c:v>
                </c:pt>
                <c:pt idx="1030">
                  <c:v>0.42128603104212858</c:v>
                </c:pt>
                <c:pt idx="1031">
                  <c:v>0.43809523809523809</c:v>
                </c:pt>
                <c:pt idx="1032">
                  <c:v>-14.852941176470589</c:v>
                </c:pt>
                <c:pt idx="1033">
                  <c:v>0.50574712643678166</c:v>
                </c:pt>
                <c:pt idx="1034">
                  <c:v>-1.0780487804878049</c:v>
                </c:pt>
                <c:pt idx="1035">
                  <c:v>0.5228013029315961</c:v>
                </c:pt>
                <c:pt idx="1036">
                  <c:v>-1.201834862385321</c:v>
                </c:pt>
                <c:pt idx="1037">
                  <c:v>0.53959731543624156</c:v>
                </c:pt>
                <c:pt idx="1038">
                  <c:v>0.43632958801498128</c:v>
                </c:pt>
                <c:pt idx="1039">
                  <c:v>0.13411078717201166</c:v>
                </c:pt>
                <c:pt idx="1040">
                  <c:v>0.5892857142857143</c:v>
                </c:pt>
                <c:pt idx="1041">
                  <c:v>0.49910554561717352</c:v>
                </c:pt>
                <c:pt idx="1042">
                  <c:v>0.61801242236024845</c:v>
                </c:pt>
                <c:pt idx="1043">
                  <c:v>0.2392638036809816</c:v>
                </c:pt>
                <c:pt idx="1044">
                  <c:v>0.11278195488721804</c:v>
                </c:pt>
                <c:pt idx="1045">
                  <c:v>0.39570552147239263</c:v>
                </c:pt>
                <c:pt idx="1046">
                  <c:v>0.40425531914893614</c:v>
                </c:pt>
                <c:pt idx="1047">
                  <c:v>0.35810810810810811</c:v>
                </c:pt>
                <c:pt idx="1048">
                  <c:v>0.45744680851063829</c:v>
                </c:pt>
                <c:pt idx="1049">
                  <c:v>0.34090909090909088</c:v>
                </c:pt>
                <c:pt idx="1050">
                  <c:v>0.5</c:v>
                </c:pt>
                <c:pt idx="1051">
                  <c:v>0.13702623906705538</c:v>
                </c:pt>
                <c:pt idx="1052">
                  <c:v>0.50649350649350644</c:v>
                </c:pt>
                <c:pt idx="1053">
                  <c:v>0.5061511423550088</c:v>
                </c:pt>
                <c:pt idx="1054">
                  <c:v>0.49746192893401014</c:v>
                </c:pt>
                <c:pt idx="1055">
                  <c:v>0.54518072289156627</c:v>
                </c:pt>
                <c:pt idx="1056">
                  <c:v>0.51954397394136809</c:v>
                </c:pt>
                <c:pt idx="1057">
                  <c:v>0.43632958801498128</c:v>
                </c:pt>
                <c:pt idx="1058">
                  <c:v>0.4576271186440678</c:v>
                </c:pt>
                <c:pt idx="1059">
                  <c:v>-18.333333333333332</c:v>
                </c:pt>
                <c:pt idx="1060">
                  <c:v>0.52785923753665687</c:v>
                </c:pt>
                <c:pt idx="1061">
                  <c:v>-0.45833333333333331</c:v>
                </c:pt>
              </c:numCache>
            </c:numRef>
          </c:xVal>
          <c:yVal>
            <c:numRef>
              <c:f>'Coffee_Chain_Sales '!$Y$2:$Y$1063</c:f>
              <c:numCache>
                <c:formatCode>General</c:formatCode>
                <c:ptCount val="1062"/>
                <c:pt idx="0">
                  <c:v>0.41803278688524592</c:v>
                </c:pt>
                <c:pt idx="1">
                  <c:v>0.42276422764227645</c:v>
                </c:pt>
                <c:pt idx="2">
                  <c:v>0.40186915887850466</c:v>
                </c:pt>
                <c:pt idx="3">
                  <c:v>0.40425531914893614</c:v>
                </c:pt>
                <c:pt idx="4">
                  <c:v>0.39560439560439559</c:v>
                </c:pt>
                <c:pt idx="5">
                  <c:v>0</c:v>
                </c:pt>
                <c:pt idx="6">
                  <c:v>0.42342342342342343</c:v>
                </c:pt>
                <c:pt idx="7">
                  <c:v>0.40909090909090912</c:v>
                </c:pt>
                <c:pt idx="8">
                  <c:v>0.45588235294117646</c:v>
                </c:pt>
                <c:pt idx="9">
                  <c:v>0.40404040404040403</c:v>
                </c:pt>
                <c:pt idx="10">
                  <c:v>0.40833333333333333</c:v>
                </c:pt>
                <c:pt idx="11">
                  <c:v>0.39473684210526316</c:v>
                </c:pt>
                <c:pt idx="12">
                  <c:v>0.41284403669724773</c:v>
                </c:pt>
                <c:pt idx="13">
                  <c:v>0.41666666666666669</c:v>
                </c:pt>
                <c:pt idx="14">
                  <c:v>0.44155844155844154</c:v>
                </c:pt>
                <c:pt idx="15">
                  <c:v>0.45</c:v>
                </c:pt>
                <c:pt idx="16">
                  <c:v>0.41284403669724773</c:v>
                </c:pt>
                <c:pt idx="17">
                  <c:v>0.40677966101694918</c:v>
                </c:pt>
                <c:pt idx="18">
                  <c:v>0.40833333333333333</c:v>
                </c:pt>
                <c:pt idx="19">
                  <c:v>0.40336134453781514</c:v>
                </c:pt>
                <c:pt idx="20">
                  <c:v>0.40404040404040403</c:v>
                </c:pt>
                <c:pt idx="21">
                  <c:v>0.4</c:v>
                </c:pt>
                <c:pt idx="22">
                  <c:v>0.41743119266055045</c:v>
                </c:pt>
                <c:pt idx="23">
                  <c:v>0.43478260869565216</c:v>
                </c:pt>
                <c:pt idx="24">
                  <c:v>0.4065040650406504</c:v>
                </c:pt>
                <c:pt idx="25">
                  <c:v>0.43478260869565216</c:v>
                </c:pt>
                <c:pt idx="26">
                  <c:v>0.43333333333333335</c:v>
                </c:pt>
                <c:pt idx="27">
                  <c:v>0.45731707317073172</c:v>
                </c:pt>
                <c:pt idx="28">
                  <c:v>0.40350877192982454</c:v>
                </c:pt>
                <c:pt idx="29">
                  <c:v>0.44354838709677419</c:v>
                </c:pt>
                <c:pt idx="30">
                  <c:v>0.4065040650406504</c:v>
                </c:pt>
                <c:pt idx="31">
                  <c:v>0.45600000000000002</c:v>
                </c:pt>
                <c:pt idx="32">
                  <c:v>0.40909090909090912</c:v>
                </c:pt>
                <c:pt idx="33">
                  <c:v>0.40740740740740738</c:v>
                </c:pt>
                <c:pt idx="34">
                  <c:v>0.39743589743589741</c:v>
                </c:pt>
                <c:pt idx="35">
                  <c:v>0.40909090909090912</c:v>
                </c:pt>
                <c:pt idx="36">
                  <c:v>0.40833333333333333</c:v>
                </c:pt>
                <c:pt idx="37">
                  <c:v>0.4462809917355372</c:v>
                </c:pt>
                <c:pt idx="38">
                  <c:v>0.40707964601769914</c:v>
                </c:pt>
                <c:pt idx="39">
                  <c:v>0.39449541284403672</c:v>
                </c:pt>
                <c:pt idx="40">
                  <c:v>0.41509433962264153</c:v>
                </c:pt>
                <c:pt idx="41">
                  <c:v>0.37588652482269502</c:v>
                </c:pt>
                <c:pt idx="42">
                  <c:v>0.4462809917355372</c:v>
                </c:pt>
                <c:pt idx="43">
                  <c:v>0.4462809917355372</c:v>
                </c:pt>
                <c:pt idx="44">
                  <c:v>0.40707964601769914</c:v>
                </c:pt>
                <c:pt idx="45">
                  <c:v>0.39449541284403672</c:v>
                </c:pt>
                <c:pt idx="46">
                  <c:v>0.40869565217391307</c:v>
                </c:pt>
                <c:pt idx="47">
                  <c:v>0.4</c:v>
                </c:pt>
                <c:pt idx="48">
                  <c:v>0.41496598639455784</c:v>
                </c:pt>
                <c:pt idx="49">
                  <c:v>0.43434343434343436</c:v>
                </c:pt>
                <c:pt idx="50">
                  <c:v>0.40601503759398494</c:v>
                </c:pt>
                <c:pt idx="51">
                  <c:v>0.41964285714285715</c:v>
                </c:pt>
                <c:pt idx="52">
                  <c:v>0.42519685039370081</c:v>
                </c:pt>
                <c:pt idx="53">
                  <c:v>0.44827586206896552</c:v>
                </c:pt>
                <c:pt idx="54">
                  <c:v>0.45454545454545453</c:v>
                </c:pt>
                <c:pt idx="55">
                  <c:v>0.42519685039370081</c:v>
                </c:pt>
                <c:pt idx="56">
                  <c:v>0.40594059405940597</c:v>
                </c:pt>
                <c:pt idx="57">
                  <c:v>0.40601503759398494</c:v>
                </c:pt>
                <c:pt idx="58">
                  <c:v>0.40259740259740262</c:v>
                </c:pt>
                <c:pt idx="59">
                  <c:v>0.4</c:v>
                </c:pt>
                <c:pt idx="60">
                  <c:v>0.40243902439024393</c:v>
                </c:pt>
                <c:pt idx="61">
                  <c:v>0.39344262295081966</c:v>
                </c:pt>
                <c:pt idx="62">
                  <c:v>0.41984732824427479</c:v>
                </c:pt>
                <c:pt idx="63">
                  <c:v>0.4152542372881356</c:v>
                </c:pt>
                <c:pt idx="64">
                  <c:v>0.44318181818181818</c:v>
                </c:pt>
                <c:pt idx="65">
                  <c:v>0.4152542372881356</c:v>
                </c:pt>
                <c:pt idx="66">
                  <c:v>0.38317757009345793</c:v>
                </c:pt>
                <c:pt idx="67">
                  <c:v>0.57499999999999996</c:v>
                </c:pt>
                <c:pt idx="68">
                  <c:v>0.44444444444444442</c:v>
                </c:pt>
                <c:pt idx="69">
                  <c:v>0.45323741007194246</c:v>
                </c:pt>
                <c:pt idx="70">
                  <c:v>0.57499999999999996</c:v>
                </c:pt>
                <c:pt idx="71">
                  <c:v>0.41984732824427479</c:v>
                </c:pt>
                <c:pt idx="72">
                  <c:v>0.3923076923076923</c:v>
                </c:pt>
                <c:pt idx="73">
                  <c:v>0.39694656488549618</c:v>
                </c:pt>
                <c:pt idx="74">
                  <c:v>0.37719298245614036</c:v>
                </c:pt>
                <c:pt idx="75">
                  <c:v>0.38</c:v>
                </c:pt>
                <c:pt idx="76">
                  <c:v>0.37113402061855671</c:v>
                </c:pt>
                <c:pt idx="77">
                  <c:v>0</c:v>
                </c:pt>
                <c:pt idx="78">
                  <c:v>0.39830508474576271</c:v>
                </c:pt>
                <c:pt idx="79">
                  <c:v>0.38571428571428573</c:v>
                </c:pt>
                <c:pt idx="80">
                  <c:v>0.43055555555555558</c:v>
                </c:pt>
                <c:pt idx="81">
                  <c:v>0.37735849056603776</c:v>
                </c:pt>
                <c:pt idx="82">
                  <c:v>0.3828125</c:v>
                </c:pt>
                <c:pt idx="83">
                  <c:v>0.37190082644628097</c:v>
                </c:pt>
                <c:pt idx="84">
                  <c:v>0.38793103448275862</c:v>
                </c:pt>
                <c:pt idx="85">
                  <c:v>0.39215686274509803</c:v>
                </c:pt>
                <c:pt idx="86">
                  <c:v>0.41463414634146339</c:v>
                </c:pt>
                <c:pt idx="87">
                  <c:v>0.421875</c:v>
                </c:pt>
                <c:pt idx="88">
                  <c:v>0.38793103448275862</c:v>
                </c:pt>
                <c:pt idx="89">
                  <c:v>0.38095238095238093</c:v>
                </c:pt>
                <c:pt idx="90">
                  <c:v>0.3828125</c:v>
                </c:pt>
                <c:pt idx="91">
                  <c:v>0.37795275590551181</c:v>
                </c:pt>
                <c:pt idx="92">
                  <c:v>0.37735849056603776</c:v>
                </c:pt>
                <c:pt idx="93">
                  <c:v>0.37614678899082571</c:v>
                </c:pt>
                <c:pt idx="94">
                  <c:v>0.39224137931034481</c:v>
                </c:pt>
                <c:pt idx="95">
                  <c:v>0.40816326530612246</c:v>
                </c:pt>
                <c:pt idx="96">
                  <c:v>0.38167938931297712</c:v>
                </c:pt>
                <c:pt idx="97">
                  <c:v>0.40816326530612246</c:v>
                </c:pt>
                <c:pt idx="98">
                  <c:v>0.40625</c:v>
                </c:pt>
                <c:pt idx="99">
                  <c:v>0.42857142857142855</c:v>
                </c:pt>
                <c:pt idx="100">
                  <c:v>0.38016528925619836</c:v>
                </c:pt>
                <c:pt idx="101">
                  <c:v>0.41666666666666669</c:v>
                </c:pt>
                <c:pt idx="102">
                  <c:v>0.38167938931297712</c:v>
                </c:pt>
                <c:pt idx="103">
                  <c:v>0.42857142857142855</c:v>
                </c:pt>
                <c:pt idx="104">
                  <c:v>0.38297872340425532</c:v>
                </c:pt>
                <c:pt idx="105">
                  <c:v>0.38372093023255816</c:v>
                </c:pt>
                <c:pt idx="106">
                  <c:v>0.37349397590361444</c:v>
                </c:pt>
                <c:pt idx="107">
                  <c:v>0.38297872340425532</c:v>
                </c:pt>
                <c:pt idx="108">
                  <c:v>0.3828125</c:v>
                </c:pt>
                <c:pt idx="109">
                  <c:v>0.41860465116279072</c:v>
                </c:pt>
                <c:pt idx="110">
                  <c:v>0.38333333333333336</c:v>
                </c:pt>
                <c:pt idx="111">
                  <c:v>0.37068965517241381</c:v>
                </c:pt>
                <c:pt idx="112">
                  <c:v>0.38938053097345132</c:v>
                </c:pt>
                <c:pt idx="113">
                  <c:v>0.35333333333333333</c:v>
                </c:pt>
                <c:pt idx="114">
                  <c:v>0.41860465116279072</c:v>
                </c:pt>
                <c:pt idx="115">
                  <c:v>0.41860465116279072</c:v>
                </c:pt>
                <c:pt idx="116">
                  <c:v>0.38333333333333336</c:v>
                </c:pt>
                <c:pt idx="117">
                  <c:v>0.37068965517241381</c:v>
                </c:pt>
                <c:pt idx="118">
                  <c:v>0.38211382113821141</c:v>
                </c:pt>
                <c:pt idx="119">
                  <c:v>0.375</c:v>
                </c:pt>
                <c:pt idx="120">
                  <c:v>0.38853503184713378</c:v>
                </c:pt>
                <c:pt idx="121">
                  <c:v>0.40566037735849059</c:v>
                </c:pt>
                <c:pt idx="122">
                  <c:v>0.38028169014084506</c:v>
                </c:pt>
                <c:pt idx="123">
                  <c:v>0.3949579831932773</c:v>
                </c:pt>
                <c:pt idx="124">
                  <c:v>0.4</c:v>
                </c:pt>
                <c:pt idx="125">
                  <c:v>0.41935483870967744</c:v>
                </c:pt>
                <c:pt idx="126">
                  <c:v>0.42553191489361702</c:v>
                </c:pt>
                <c:pt idx="127">
                  <c:v>0.4</c:v>
                </c:pt>
                <c:pt idx="128">
                  <c:v>0.37962962962962965</c:v>
                </c:pt>
                <c:pt idx="129">
                  <c:v>0.38028169014084506</c:v>
                </c:pt>
                <c:pt idx="130">
                  <c:v>0.37804878048780488</c:v>
                </c:pt>
                <c:pt idx="131">
                  <c:v>0.37362637362637363</c:v>
                </c:pt>
                <c:pt idx="132">
                  <c:v>0.37931034482758619</c:v>
                </c:pt>
                <c:pt idx="133">
                  <c:v>0.36923076923076925</c:v>
                </c:pt>
                <c:pt idx="134">
                  <c:v>0.39285714285714285</c:v>
                </c:pt>
                <c:pt idx="135">
                  <c:v>0.3888888888888889</c:v>
                </c:pt>
                <c:pt idx="136">
                  <c:v>0.41489361702127658</c:v>
                </c:pt>
                <c:pt idx="137">
                  <c:v>0.3888888888888889</c:v>
                </c:pt>
                <c:pt idx="138">
                  <c:v>0.35964912280701755</c:v>
                </c:pt>
                <c:pt idx="139">
                  <c:v>0.53801169590643272</c:v>
                </c:pt>
                <c:pt idx="140">
                  <c:v>0.41717791411042943</c:v>
                </c:pt>
                <c:pt idx="141">
                  <c:v>0.42567567567567566</c:v>
                </c:pt>
                <c:pt idx="142">
                  <c:v>0.53801169590643272</c:v>
                </c:pt>
                <c:pt idx="143">
                  <c:v>0.39285714285714285</c:v>
                </c:pt>
                <c:pt idx="144">
                  <c:v>0.43333333333333335</c:v>
                </c:pt>
                <c:pt idx="145">
                  <c:v>0.45977011494252873</c:v>
                </c:pt>
                <c:pt idx="146">
                  <c:v>0.45</c:v>
                </c:pt>
                <c:pt idx="147">
                  <c:v>0.4576271186440678</c:v>
                </c:pt>
                <c:pt idx="148">
                  <c:v>0.40909090909090912</c:v>
                </c:pt>
                <c:pt idx="149">
                  <c:v>0.40641711229946526</c:v>
                </c:pt>
                <c:pt idx="150">
                  <c:v>0.43137254901960786</c:v>
                </c:pt>
                <c:pt idx="151">
                  <c:v>0.39655172413793105</c:v>
                </c:pt>
                <c:pt idx="152">
                  <c:v>0.4463276836158192</c:v>
                </c:pt>
                <c:pt idx="153">
                  <c:v>0.45774647887323944</c:v>
                </c:pt>
                <c:pt idx="154">
                  <c:v>0.40707964601769914</c:v>
                </c:pt>
                <c:pt idx="155">
                  <c:v>0.41666666666666669</c:v>
                </c:pt>
                <c:pt idx="156">
                  <c:v>0.37735849056603776</c:v>
                </c:pt>
                <c:pt idx="157">
                  <c:v>0.43478260869565216</c:v>
                </c:pt>
                <c:pt idx="158">
                  <c:v>0.40909090909090912</c:v>
                </c:pt>
                <c:pt idx="159">
                  <c:v>0.44354838709677419</c:v>
                </c:pt>
                <c:pt idx="160">
                  <c:v>0.43478260869565216</c:v>
                </c:pt>
                <c:pt idx="161">
                  <c:v>0.4</c:v>
                </c:pt>
                <c:pt idx="162">
                  <c:v>0.39743589743589741</c:v>
                </c:pt>
                <c:pt idx="163">
                  <c:v>0.4</c:v>
                </c:pt>
                <c:pt idx="164">
                  <c:v>0.4065040650406504</c:v>
                </c:pt>
                <c:pt idx="165">
                  <c:v>0</c:v>
                </c:pt>
                <c:pt idx="166">
                  <c:v>0.67213114754098358</c:v>
                </c:pt>
                <c:pt idx="167">
                  <c:v>0.39285714285714285</c:v>
                </c:pt>
                <c:pt idx="168">
                  <c:v>0.41509433962264153</c:v>
                </c:pt>
                <c:pt idx="169">
                  <c:v>0.44594594594594594</c:v>
                </c:pt>
                <c:pt idx="170">
                  <c:v>0.41509433962264153</c:v>
                </c:pt>
                <c:pt idx="171">
                  <c:v>0.39743589743589741</c:v>
                </c:pt>
                <c:pt idx="172">
                  <c:v>0.46</c:v>
                </c:pt>
                <c:pt idx="173">
                  <c:v>0.40833333333333333</c:v>
                </c:pt>
                <c:pt idx="174">
                  <c:v>0.40833333333333333</c:v>
                </c:pt>
                <c:pt idx="175">
                  <c:v>0.43434343434343436</c:v>
                </c:pt>
                <c:pt idx="176">
                  <c:v>0.40594059405940597</c:v>
                </c:pt>
                <c:pt idx="177">
                  <c:v>0.47474747474747475</c:v>
                </c:pt>
                <c:pt idx="178">
                  <c:v>0.43434343434343436</c:v>
                </c:pt>
                <c:pt idx="179">
                  <c:v>0.43434343434343436</c:v>
                </c:pt>
                <c:pt idx="180">
                  <c:v>0.44660194174757284</c:v>
                </c:pt>
                <c:pt idx="181">
                  <c:v>0.45689655172413796</c:v>
                </c:pt>
                <c:pt idx="182">
                  <c:v>0.40243902439024393</c:v>
                </c:pt>
                <c:pt idx="183">
                  <c:v>0.4</c:v>
                </c:pt>
                <c:pt idx="184">
                  <c:v>0</c:v>
                </c:pt>
                <c:pt idx="185">
                  <c:v>0.40566037735849059</c:v>
                </c:pt>
                <c:pt idx="186">
                  <c:v>0.44927536231884058</c:v>
                </c:pt>
                <c:pt idx="187">
                  <c:v>0.39655172413793105</c:v>
                </c:pt>
                <c:pt idx="188">
                  <c:v>0.38317757009345793</c:v>
                </c:pt>
                <c:pt idx="189">
                  <c:v>0.44660194174757284</c:v>
                </c:pt>
                <c:pt idx="190">
                  <c:v>0.40566037735849059</c:v>
                </c:pt>
                <c:pt idx="191">
                  <c:v>0.40243902439024393</c:v>
                </c:pt>
                <c:pt idx="192">
                  <c:v>0.4152542372881356</c:v>
                </c:pt>
                <c:pt idx="193">
                  <c:v>0.41984732824427479</c:v>
                </c:pt>
                <c:pt idx="194">
                  <c:v>0.40625</c:v>
                </c:pt>
                <c:pt idx="195">
                  <c:v>0.43243243243243246</c:v>
                </c:pt>
                <c:pt idx="196">
                  <c:v>0.421875</c:v>
                </c:pt>
                <c:pt idx="197">
                  <c:v>0.42857142857142855</c:v>
                </c:pt>
                <c:pt idx="198">
                  <c:v>0.38571428571428573</c:v>
                </c:pt>
                <c:pt idx="199">
                  <c:v>0.38190954773869346</c:v>
                </c:pt>
                <c:pt idx="200">
                  <c:v>0.40740740740740738</c:v>
                </c:pt>
                <c:pt idx="201">
                  <c:v>0.37096774193548387</c:v>
                </c:pt>
                <c:pt idx="202">
                  <c:v>0.41798941798941797</c:v>
                </c:pt>
                <c:pt idx="203">
                  <c:v>0.43046357615894038</c:v>
                </c:pt>
                <c:pt idx="204">
                  <c:v>0.38333333333333336</c:v>
                </c:pt>
                <c:pt idx="205">
                  <c:v>0.39215686274509803</c:v>
                </c:pt>
                <c:pt idx="206">
                  <c:v>0.35502958579881655</c:v>
                </c:pt>
                <c:pt idx="207">
                  <c:v>0.40816326530612246</c:v>
                </c:pt>
                <c:pt idx="208">
                  <c:v>0.38297872340425532</c:v>
                </c:pt>
                <c:pt idx="209">
                  <c:v>0.41666666666666669</c:v>
                </c:pt>
                <c:pt idx="210">
                  <c:v>0.40816326530612246</c:v>
                </c:pt>
                <c:pt idx="211">
                  <c:v>0.37333333333333335</c:v>
                </c:pt>
                <c:pt idx="212">
                  <c:v>0.37349397590361444</c:v>
                </c:pt>
                <c:pt idx="213">
                  <c:v>0.37647058823529411</c:v>
                </c:pt>
                <c:pt idx="214">
                  <c:v>0.38167938931297712</c:v>
                </c:pt>
                <c:pt idx="215">
                  <c:v>0</c:v>
                </c:pt>
                <c:pt idx="216">
                  <c:v>0.63076923076923075</c:v>
                </c:pt>
                <c:pt idx="217">
                  <c:v>0.36666666666666664</c:v>
                </c:pt>
                <c:pt idx="218">
                  <c:v>0.38938053097345132</c:v>
                </c:pt>
                <c:pt idx="219">
                  <c:v>0.41772151898734178</c:v>
                </c:pt>
                <c:pt idx="220">
                  <c:v>0.38938053097345132</c:v>
                </c:pt>
                <c:pt idx="221">
                  <c:v>0.37349397590361444</c:v>
                </c:pt>
                <c:pt idx="222">
                  <c:v>0.43125000000000002</c:v>
                </c:pt>
                <c:pt idx="223">
                  <c:v>0.3828125</c:v>
                </c:pt>
                <c:pt idx="224">
                  <c:v>0.3828125</c:v>
                </c:pt>
                <c:pt idx="225">
                  <c:v>0.40566037735849059</c:v>
                </c:pt>
                <c:pt idx="226">
                  <c:v>0.37962962962962965</c:v>
                </c:pt>
                <c:pt idx="227">
                  <c:v>0.44339622641509435</c:v>
                </c:pt>
                <c:pt idx="228">
                  <c:v>0.40566037735849059</c:v>
                </c:pt>
                <c:pt idx="229">
                  <c:v>0.40566037735849059</c:v>
                </c:pt>
                <c:pt idx="230">
                  <c:v>0.41818181818181815</c:v>
                </c:pt>
                <c:pt idx="231">
                  <c:v>0.42741935483870969</c:v>
                </c:pt>
                <c:pt idx="232">
                  <c:v>0.37931034482758619</c:v>
                </c:pt>
                <c:pt idx="233">
                  <c:v>0.37362637362637363</c:v>
                </c:pt>
                <c:pt idx="234">
                  <c:v>0</c:v>
                </c:pt>
                <c:pt idx="235">
                  <c:v>0.38053097345132741</c:v>
                </c:pt>
                <c:pt idx="236">
                  <c:v>0.41891891891891891</c:v>
                </c:pt>
                <c:pt idx="237">
                  <c:v>0.37096774193548387</c:v>
                </c:pt>
                <c:pt idx="238">
                  <c:v>0.35964912280701755</c:v>
                </c:pt>
                <c:pt idx="239">
                  <c:v>0.41818181818181815</c:v>
                </c:pt>
                <c:pt idx="240">
                  <c:v>0.38053097345132741</c:v>
                </c:pt>
                <c:pt idx="241">
                  <c:v>0.37931034482758619</c:v>
                </c:pt>
                <c:pt idx="242">
                  <c:v>0.3888888888888889</c:v>
                </c:pt>
                <c:pt idx="243">
                  <c:v>0.39285714285714285</c:v>
                </c:pt>
                <c:pt idx="244">
                  <c:v>0.43333333333333335</c:v>
                </c:pt>
                <c:pt idx="245">
                  <c:v>0.43333333333333335</c:v>
                </c:pt>
                <c:pt idx="246">
                  <c:v>0.78899082568807344</c:v>
                </c:pt>
                <c:pt idx="247">
                  <c:v>0.40707964601769914</c:v>
                </c:pt>
                <c:pt idx="248">
                  <c:v>0.45588235294117646</c:v>
                </c:pt>
                <c:pt idx="249">
                  <c:v>0.41284403669724773</c:v>
                </c:pt>
                <c:pt idx="250">
                  <c:v>0.4050632911392405</c:v>
                </c:pt>
                <c:pt idx="251">
                  <c:v>0.45588235294117646</c:v>
                </c:pt>
                <c:pt idx="252">
                  <c:v>0.42391304347826086</c:v>
                </c:pt>
                <c:pt idx="253">
                  <c:v>0.4</c:v>
                </c:pt>
                <c:pt idx="254">
                  <c:v>0</c:v>
                </c:pt>
                <c:pt idx="255">
                  <c:v>0.41284403669724773</c:v>
                </c:pt>
                <c:pt idx="256">
                  <c:v>0.41666666666666669</c:v>
                </c:pt>
                <c:pt idx="257">
                  <c:v>0.4</c:v>
                </c:pt>
                <c:pt idx="258">
                  <c:v>0.4462809917355372</c:v>
                </c:pt>
                <c:pt idx="259">
                  <c:v>0.42307692307692307</c:v>
                </c:pt>
                <c:pt idx="260">
                  <c:v>0.42682926829268292</c:v>
                </c:pt>
                <c:pt idx="261">
                  <c:v>0.453125</c:v>
                </c:pt>
                <c:pt idx="262">
                  <c:v>0.453125</c:v>
                </c:pt>
                <c:pt idx="263">
                  <c:v>0.44736842105263158</c:v>
                </c:pt>
                <c:pt idx="264">
                  <c:v>0.4</c:v>
                </c:pt>
                <c:pt idx="265">
                  <c:v>0</c:v>
                </c:pt>
                <c:pt idx="266">
                  <c:v>0.40740740740740738</c:v>
                </c:pt>
                <c:pt idx="267">
                  <c:v>0.67213114754098358</c:v>
                </c:pt>
                <c:pt idx="268">
                  <c:v>0.67213114754098358</c:v>
                </c:pt>
                <c:pt idx="269">
                  <c:v>0.42682926829268292</c:v>
                </c:pt>
                <c:pt idx="270">
                  <c:v>0.44736842105263158</c:v>
                </c:pt>
                <c:pt idx="271">
                  <c:v>0.44594594594594594</c:v>
                </c:pt>
                <c:pt idx="272">
                  <c:v>0</c:v>
                </c:pt>
                <c:pt idx="273">
                  <c:v>0.41509433962264153</c:v>
                </c:pt>
                <c:pt idx="274">
                  <c:v>0.39726027397260272</c:v>
                </c:pt>
                <c:pt idx="275">
                  <c:v>0.40243902439024393</c:v>
                </c:pt>
                <c:pt idx="276">
                  <c:v>0.44660194174757284</c:v>
                </c:pt>
                <c:pt idx="277">
                  <c:v>0.4</c:v>
                </c:pt>
                <c:pt idx="278">
                  <c:v>0.39726027397260272</c:v>
                </c:pt>
                <c:pt idx="279">
                  <c:v>0.42857142857142855</c:v>
                </c:pt>
                <c:pt idx="280">
                  <c:v>0</c:v>
                </c:pt>
                <c:pt idx="281">
                  <c:v>0.40259740259740262</c:v>
                </c:pt>
                <c:pt idx="282">
                  <c:v>0.4</c:v>
                </c:pt>
                <c:pt idx="283">
                  <c:v>0.44318181818181818</c:v>
                </c:pt>
                <c:pt idx="284">
                  <c:v>0.44927536231884058</c:v>
                </c:pt>
                <c:pt idx="285">
                  <c:v>0.42696629213483145</c:v>
                </c:pt>
                <c:pt idx="286">
                  <c:v>0.44318181818181818</c:v>
                </c:pt>
                <c:pt idx="287">
                  <c:v>0</c:v>
                </c:pt>
                <c:pt idx="288">
                  <c:v>0.38317757009345793</c:v>
                </c:pt>
                <c:pt idx="289">
                  <c:v>0.42696629213483145</c:v>
                </c:pt>
                <c:pt idx="290">
                  <c:v>0.40566037735849059</c:v>
                </c:pt>
                <c:pt idx="291">
                  <c:v>0.40625</c:v>
                </c:pt>
                <c:pt idx="292">
                  <c:v>0.40625</c:v>
                </c:pt>
                <c:pt idx="293">
                  <c:v>0.74137931034482762</c:v>
                </c:pt>
                <c:pt idx="294">
                  <c:v>0.38333333333333336</c:v>
                </c:pt>
                <c:pt idx="295">
                  <c:v>0.43055555555555558</c:v>
                </c:pt>
                <c:pt idx="296">
                  <c:v>0.38793103448275862</c:v>
                </c:pt>
                <c:pt idx="297">
                  <c:v>0.38095238095238093</c:v>
                </c:pt>
                <c:pt idx="298">
                  <c:v>0.43055555555555558</c:v>
                </c:pt>
                <c:pt idx="299">
                  <c:v>0.39795918367346939</c:v>
                </c:pt>
                <c:pt idx="300">
                  <c:v>0.375</c:v>
                </c:pt>
                <c:pt idx="301">
                  <c:v>0</c:v>
                </c:pt>
                <c:pt idx="302">
                  <c:v>0.38793103448275862</c:v>
                </c:pt>
                <c:pt idx="303">
                  <c:v>0.39215686274509803</c:v>
                </c:pt>
                <c:pt idx="304">
                  <c:v>0.37647058823529411</c:v>
                </c:pt>
                <c:pt idx="305">
                  <c:v>0.41860465116279072</c:v>
                </c:pt>
                <c:pt idx="306">
                  <c:v>0.4</c:v>
                </c:pt>
                <c:pt idx="307">
                  <c:v>0.40229885057471265</c:v>
                </c:pt>
                <c:pt idx="308">
                  <c:v>0.4264705882352941</c:v>
                </c:pt>
                <c:pt idx="309">
                  <c:v>0.4264705882352941</c:v>
                </c:pt>
                <c:pt idx="310">
                  <c:v>0.41975308641975306</c:v>
                </c:pt>
                <c:pt idx="311">
                  <c:v>0.37647058823529411</c:v>
                </c:pt>
                <c:pt idx="312">
                  <c:v>0</c:v>
                </c:pt>
                <c:pt idx="313">
                  <c:v>0.38372093023255816</c:v>
                </c:pt>
                <c:pt idx="314">
                  <c:v>0.63076923076923075</c:v>
                </c:pt>
                <c:pt idx="315">
                  <c:v>0.63076923076923075</c:v>
                </c:pt>
                <c:pt idx="316">
                  <c:v>0.40229885057471265</c:v>
                </c:pt>
                <c:pt idx="317">
                  <c:v>0.41975308641975306</c:v>
                </c:pt>
                <c:pt idx="318">
                  <c:v>0.41772151898734178</c:v>
                </c:pt>
                <c:pt idx="319">
                  <c:v>0</c:v>
                </c:pt>
                <c:pt idx="320">
                  <c:v>0.38938053097345132</c:v>
                </c:pt>
                <c:pt idx="321">
                  <c:v>0.37179487179487181</c:v>
                </c:pt>
                <c:pt idx="322">
                  <c:v>0.37931034482758619</c:v>
                </c:pt>
                <c:pt idx="323">
                  <c:v>0.41818181818181815</c:v>
                </c:pt>
                <c:pt idx="324">
                  <c:v>0.375</c:v>
                </c:pt>
                <c:pt idx="325">
                  <c:v>0.37179487179487181</c:v>
                </c:pt>
                <c:pt idx="326">
                  <c:v>0.4</c:v>
                </c:pt>
                <c:pt idx="327">
                  <c:v>0</c:v>
                </c:pt>
                <c:pt idx="328">
                  <c:v>0.37804878048780488</c:v>
                </c:pt>
                <c:pt idx="329">
                  <c:v>0.37362637362637363</c:v>
                </c:pt>
                <c:pt idx="330">
                  <c:v>0.41489361702127658</c:v>
                </c:pt>
                <c:pt idx="331">
                  <c:v>0.41891891891891891</c:v>
                </c:pt>
                <c:pt idx="332">
                  <c:v>0.4</c:v>
                </c:pt>
                <c:pt idx="333">
                  <c:v>0.41489361702127658</c:v>
                </c:pt>
                <c:pt idx="334">
                  <c:v>0</c:v>
                </c:pt>
                <c:pt idx="335">
                  <c:v>0.35964912280701755</c:v>
                </c:pt>
                <c:pt idx="336">
                  <c:v>0.4</c:v>
                </c:pt>
                <c:pt idx="337">
                  <c:v>0.38053097345132741</c:v>
                </c:pt>
                <c:pt idx="338">
                  <c:v>0.41803278688524592</c:v>
                </c:pt>
                <c:pt idx="339">
                  <c:v>0.42276422764227645</c:v>
                </c:pt>
                <c:pt idx="340">
                  <c:v>0.40186915887850466</c:v>
                </c:pt>
                <c:pt idx="341">
                  <c:v>0.43965517241379309</c:v>
                </c:pt>
                <c:pt idx="342">
                  <c:v>0.39560439560439559</c:v>
                </c:pt>
                <c:pt idx="343">
                  <c:v>0.40677966101694918</c:v>
                </c:pt>
                <c:pt idx="344">
                  <c:v>0.37735849056603776</c:v>
                </c:pt>
                <c:pt idx="345">
                  <c:v>0.42276422764227645</c:v>
                </c:pt>
                <c:pt idx="346">
                  <c:v>0.44444444444444442</c:v>
                </c:pt>
                <c:pt idx="347">
                  <c:v>0.44444444444444442</c:v>
                </c:pt>
                <c:pt idx="348">
                  <c:v>0.39473684210526316</c:v>
                </c:pt>
                <c:pt idx="349">
                  <c:v>0.41599999999999998</c:v>
                </c:pt>
                <c:pt idx="350">
                  <c:v>0.40350877192982454</c:v>
                </c:pt>
                <c:pt idx="351">
                  <c:v>0.41599999999999998</c:v>
                </c:pt>
                <c:pt idx="352">
                  <c:v>0.42753623188405798</c:v>
                </c:pt>
                <c:pt idx="353">
                  <c:v>0.42753623188405798</c:v>
                </c:pt>
                <c:pt idx="354">
                  <c:v>0.4065040650406504</c:v>
                </c:pt>
                <c:pt idx="355">
                  <c:v>0.42741935483870969</c:v>
                </c:pt>
                <c:pt idx="356">
                  <c:v>0.40909090909090912</c:v>
                </c:pt>
                <c:pt idx="357">
                  <c:v>0.39449541284403672</c:v>
                </c:pt>
                <c:pt idx="358">
                  <c:v>0.41496598639455784</c:v>
                </c:pt>
                <c:pt idx="359">
                  <c:v>0.44354838709677419</c:v>
                </c:pt>
                <c:pt idx="360">
                  <c:v>0.44565217391304346</c:v>
                </c:pt>
                <c:pt idx="361">
                  <c:v>0.41496598639455784</c:v>
                </c:pt>
                <c:pt idx="362">
                  <c:v>0.37588652482269502</c:v>
                </c:pt>
                <c:pt idx="363">
                  <c:v>0.41964285714285715</c:v>
                </c:pt>
                <c:pt idx="364">
                  <c:v>0.42519685039370081</c:v>
                </c:pt>
                <c:pt idx="365">
                  <c:v>0.39880952380952384</c:v>
                </c:pt>
                <c:pt idx="366">
                  <c:v>0.40601503759398494</c:v>
                </c:pt>
                <c:pt idx="367">
                  <c:v>0.45323741007194246</c:v>
                </c:pt>
                <c:pt idx="368">
                  <c:v>0.42982456140350878</c:v>
                </c:pt>
                <c:pt idx="369">
                  <c:v>0.4065040650406504</c:v>
                </c:pt>
                <c:pt idx="370">
                  <c:v>0.40944881889763779</c:v>
                </c:pt>
                <c:pt idx="371">
                  <c:v>0.41984732824427479</c:v>
                </c:pt>
                <c:pt idx="372">
                  <c:v>0.4152542372881356</c:v>
                </c:pt>
                <c:pt idx="373">
                  <c:v>0.41836734693877553</c:v>
                </c:pt>
                <c:pt idx="374">
                  <c:v>0.42519685039370081</c:v>
                </c:pt>
                <c:pt idx="375">
                  <c:v>0.44827586206896552</c:v>
                </c:pt>
                <c:pt idx="376">
                  <c:v>0.40944881889763779</c:v>
                </c:pt>
                <c:pt idx="377">
                  <c:v>0.39344262295081966</c:v>
                </c:pt>
                <c:pt idx="378">
                  <c:v>0.40833333333333333</c:v>
                </c:pt>
                <c:pt idx="379">
                  <c:v>0.4065040650406504</c:v>
                </c:pt>
                <c:pt idx="380">
                  <c:v>0.3923076923076923</c:v>
                </c:pt>
                <c:pt idx="381">
                  <c:v>0.39694656488549618</c:v>
                </c:pt>
                <c:pt idx="382">
                  <c:v>0.37719298245614036</c:v>
                </c:pt>
                <c:pt idx="383">
                  <c:v>0.41129032258064518</c:v>
                </c:pt>
                <c:pt idx="384">
                  <c:v>0.37113402061855671</c:v>
                </c:pt>
                <c:pt idx="385">
                  <c:v>0.38095238095238093</c:v>
                </c:pt>
                <c:pt idx="386">
                  <c:v>0.35502958579881655</c:v>
                </c:pt>
                <c:pt idx="387">
                  <c:v>0.39694656488549618</c:v>
                </c:pt>
                <c:pt idx="388">
                  <c:v>0.41791044776119401</c:v>
                </c:pt>
                <c:pt idx="389">
                  <c:v>0.41791044776119401</c:v>
                </c:pt>
                <c:pt idx="390">
                  <c:v>0.37190082644628097</c:v>
                </c:pt>
                <c:pt idx="391">
                  <c:v>0.39097744360902253</c:v>
                </c:pt>
                <c:pt idx="392">
                  <c:v>0.38016528925619836</c:v>
                </c:pt>
                <c:pt idx="393">
                  <c:v>0.39097744360902253</c:v>
                </c:pt>
                <c:pt idx="394">
                  <c:v>0.40136054421768708</c:v>
                </c:pt>
                <c:pt idx="395">
                  <c:v>0.40136054421768708</c:v>
                </c:pt>
                <c:pt idx="396">
                  <c:v>0.38167938931297712</c:v>
                </c:pt>
                <c:pt idx="397">
                  <c:v>0.40151515151515149</c:v>
                </c:pt>
                <c:pt idx="398">
                  <c:v>0.38297872340425532</c:v>
                </c:pt>
                <c:pt idx="399">
                  <c:v>0.37068965517241381</c:v>
                </c:pt>
                <c:pt idx="400">
                  <c:v>0.38853503184713378</c:v>
                </c:pt>
                <c:pt idx="401">
                  <c:v>0.41666666666666669</c:v>
                </c:pt>
                <c:pt idx="402">
                  <c:v>0.41836734693877553</c:v>
                </c:pt>
                <c:pt idx="403">
                  <c:v>0.38853503184713378</c:v>
                </c:pt>
                <c:pt idx="404">
                  <c:v>0.35333333333333333</c:v>
                </c:pt>
                <c:pt idx="405">
                  <c:v>0.3949579831932773</c:v>
                </c:pt>
                <c:pt idx="406">
                  <c:v>0.4</c:v>
                </c:pt>
                <c:pt idx="407">
                  <c:v>0.37430167597765363</c:v>
                </c:pt>
                <c:pt idx="408">
                  <c:v>0.38028169014084506</c:v>
                </c:pt>
                <c:pt idx="409">
                  <c:v>0.42567567567567566</c:v>
                </c:pt>
                <c:pt idx="410">
                  <c:v>0.4049586776859504</c:v>
                </c:pt>
                <c:pt idx="411">
                  <c:v>0.38167938931297712</c:v>
                </c:pt>
                <c:pt idx="412">
                  <c:v>0.38518518518518519</c:v>
                </c:pt>
                <c:pt idx="413">
                  <c:v>0.39285714285714285</c:v>
                </c:pt>
                <c:pt idx="414">
                  <c:v>0.3888888888888889</c:v>
                </c:pt>
                <c:pt idx="415">
                  <c:v>0.39423076923076922</c:v>
                </c:pt>
                <c:pt idx="416">
                  <c:v>0.4</c:v>
                </c:pt>
                <c:pt idx="417">
                  <c:v>0.41935483870967744</c:v>
                </c:pt>
                <c:pt idx="418">
                  <c:v>0.38518518518518519</c:v>
                </c:pt>
                <c:pt idx="419">
                  <c:v>0.36923076923076925</c:v>
                </c:pt>
                <c:pt idx="420">
                  <c:v>0.3828125</c:v>
                </c:pt>
                <c:pt idx="421">
                  <c:v>0.38167938931297712</c:v>
                </c:pt>
                <c:pt idx="422">
                  <c:v>0.39622641509433965</c:v>
                </c:pt>
                <c:pt idx="423">
                  <c:v>0.40909090909090912</c:v>
                </c:pt>
                <c:pt idx="424">
                  <c:v>0.44444444444444442</c:v>
                </c:pt>
                <c:pt idx="425">
                  <c:v>0.45</c:v>
                </c:pt>
                <c:pt idx="426">
                  <c:v>0.39622641509433965</c:v>
                </c:pt>
                <c:pt idx="427">
                  <c:v>0.42391304347826086</c:v>
                </c:pt>
                <c:pt idx="428">
                  <c:v>0.39655172413793105</c:v>
                </c:pt>
                <c:pt idx="429">
                  <c:v>0.40384615384615385</c:v>
                </c:pt>
                <c:pt idx="430">
                  <c:v>0.44642857142857145</c:v>
                </c:pt>
                <c:pt idx="431">
                  <c:v>0.39622641509433965</c:v>
                </c:pt>
                <c:pt idx="432">
                  <c:v>0</c:v>
                </c:pt>
                <c:pt idx="433">
                  <c:v>0.44155844155844154</c:v>
                </c:pt>
                <c:pt idx="434">
                  <c:v>0.40384615384615385</c:v>
                </c:pt>
                <c:pt idx="435">
                  <c:v>0.4098360655737705</c:v>
                </c:pt>
                <c:pt idx="436">
                  <c:v>0.44155844155844154</c:v>
                </c:pt>
                <c:pt idx="437">
                  <c:v>0.40384615384615385</c:v>
                </c:pt>
                <c:pt idx="438">
                  <c:v>0.42391304347826086</c:v>
                </c:pt>
                <c:pt idx="439">
                  <c:v>0.40707964601769914</c:v>
                </c:pt>
                <c:pt idx="440">
                  <c:v>0.39285714285714285</c:v>
                </c:pt>
                <c:pt idx="441">
                  <c:v>0.44736842105263158</c:v>
                </c:pt>
                <c:pt idx="442">
                  <c:v>0.42307692307692307</c:v>
                </c:pt>
                <c:pt idx="443">
                  <c:v>0.44594594594594594</c:v>
                </c:pt>
                <c:pt idx="444">
                  <c:v>0.453125</c:v>
                </c:pt>
                <c:pt idx="445">
                  <c:v>0.3968253968253968</c:v>
                </c:pt>
                <c:pt idx="446">
                  <c:v>0.38461538461538464</c:v>
                </c:pt>
                <c:pt idx="447">
                  <c:v>0.4</c:v>
                </c:pt>
                <c:pt idx="448">
                  <c:v>0.42682926829268292</c:v>
                </c:pt>
                <c:pt idx="449">
                  <c:v>0.44736842105263158</c:v>
                </c:pt>
                <c:pt idx="450">
                  <c:v>0.42857142857142855</c:v>
                </c:pt>
                <c:pt idx="451">
                  <c:v>0.42696629213483145</c:v>
                </c:pt>
                <c:pt idx="452">
                  <c:v>0.39655172413793105</c:v>
                </c:pt>
                <c:pt idx="453">
                  <c:v>0.3902439024390244</c:v>
                </c:pt>
                <c:pt idx="454">
                  <c:v>0.44927536231884058</c:v>
                </c:pt>
                <c:pt idx="455">
                  <c:v>0.44444444444444442</c:v>
                </c:pt>
                <c:pt idx="456">
                  <c:v>0.39726027397260272</c:v>
                </c:pt>
                <c:pt idx="457">
                  <c:v>0.42857142857142855</c:v>
                </c:pt>
                <c:pt idx="458">
                  <c:v>0.4</c:v>
                </c:pt>
                <c:pt idx="459">
                  <c:v>0.3902439024390244</c:v>
                </c:pt>
                <c:pt idx="460">
                  <c:v>0.39726027397260272</c:v>
                </c:pt>
                <c:pt idx="461">
                  <c:v>0.375</c:v>
                </c:pt>
                <c:pt idx="462">
                  <c:v>0.38571428571428573</c:v>
                </c:pt>
                <c:pt idx="463">
                  <c:v>0.41791044776119401</c:v>
                </c:pt>
                <c:pt idx="464">
                  <c:v>0.421875</c:v>
                </c:pt>
                <c:pt idx="465">
                  <c:v>0.375</c:v>
                </c:pt>
                <c:pt idx="466">
                  <c:v>0.39795918367346939</c:v>
                </c:pt>
                <c:pt idx="467">
                  <c:v>0.37096774193548387</c:v>
                </c:pt>
                <c:pt idx="468">
                  <c:v>0.38181818181818183</c:v>
                </c:pt>
                <c:pt idx="469">
                  <c:v>0.41666666666666669</c:v>
                </c:pt>
                <c:pt idx="470">
                  <c:v>0.375</c:v>
                </c:pt>
                <c:pt idx="471">
                  <c:v>0</c:v>
                </c:pt>
                <c:pt idx="472">
                  <c:v>0.41463414634146339</c:v>
                </c:pt>
                <c:pt idx="473">
                  <c:v>0.38181818181818183</c:v>
                </c:pt>
                <c:pt idx="474">
                  <c:v>0.38461538461538464</c:v>
                </c:pt>
                <c:pt idx="475">
                  <c:v>0.41463414634146339</c:v>
                </c:pt>
                <c:pt idx="476">
                  <c:v>0.38181818181818183</c:v>
                </c:pt>
                <c:pt idx="477">
                  <c:v>0.39795918367346939</c:v>
                </c:pt>
                <c:pt idx="478">
                  <c:v>0.38333333333333336</c:v>
                </c:pt>
                <c:pt idx="479">
                  <c:v>0.36666666666666664</c:v>
                </c:pt>
                <c:pt idx="480">
                  <c:v>0.41975308641975306</c:v>
                </c:pt>
                <c:pt idx="481">
                  <c:v>0.4</c:v>
                </c:pt>
                <c:pt idx="482">
                  <c:v>0.41772151898734178</c:v>
                </c:pt>
                <c:pt idx="483">
                  <c:v>0.4264705882352941</c:v>
                </c:pt>
                <c:pt idx="484">
                  <c:v>0.37313432835820898</c:v>
                </c:pt>
                <c:pt idx="485">
                  <c:v>0.35714285714285715</c:v>
                </c:pt>
                <c:pt idx="486">
                  <c:v>0.37647058823529411</c:v>
                </c:pt>
                <c:pt idx="487">
                  <c:v>0.40229885057471265</c:v>
                </c:pt>
                <c:pt idx="488">
                  <c:v>0.41975308641975306</c:v>
                </c:pt>
                <c:pt idx="489">
                  <c:v>0.4</c:v>
                </c:pt>
                <c:pt idx="490">
                  <c:v>0.4</c:v>
                </c:pt>
                <c:pt idx="491">
                  <c:v>0.37096774193548387</c:v>
                </c:pt>
                <c:pt idx="492">
                  <c:v>0.36363636363636365</c:v>
                </c:pt>
                <c:pt idx="493">
                  <c:v>0.41891891891891891</c:v>
                </c:pt>
                <c:pt idx="494">
                  <c:v>0.41666666666666669</c:v>
                </c:pt>
                <c:pt idx="495">
                  <c:v>0.37179487179487181</c:v>
                </c:pt>
                <c:pt idx="496">
                  <c:v>0.4</c:v>
                </c:pt>
                <c:pt idx="497">
                  <c:v>0.375</c:v>
                </c:pt>
                <c:pt idx="498">
                  <c:v>0.36363636363636365</c:v>
                </c:pt>
                <c:pt idx="499">
                  <c:v>0.37179487179487181</c:v>
                </c:pt>
                <c:pt idx="500">
                  <c:v>0.40641711229946526</c:v>
                </c:pt>
                <c:pt idx="501">
                  <c:v>0.42276422764227645</c:v>
                </c:pt>
                <c:pt idx="502">
                  <c:v>0.40641711229946526</c:v>
                </c:pt>
                <c:pt idx="503">
                  <c:v>0.39560439560439559</c:v>
                </c:pt>
                <c:pt idx="504">
                  <c:v>0.45774647887323944</c:v>
                </c:pt>
                <c:pt idx="505">
                  <c:v>0.4050632911392405</c:v>
                </c:pt>
                <c:pt idx="506">
                  <c:v>0.4</c:v>
                </c:pt>
                <c:pt idx="507">
                  <c:v>0.44444444444444442</c:v>
                </c:pt>
                <c:pt idx="508">
                  <c:v>0.41743119266055045</c:v>
                </c:pt>
                <c:pt idx="509">
                  <c:v>0.37735849056603776</c:v>
                </c:pt>
                <c:pt idx="510">
                  <c:v>0.44354838709677419</c:v>
                </c:pt>
                <c:pt idx="511">
                  <c:v>0.42753623188405798</c:v>
                </c:pt>
                <c:pt idx="512">
                  <c:v>0.3968253968253968</c:v>
                </c:pt>
                <c:pt idx="513">
                  <c:v>0.46</c:v>
                </c:pt>
                <c:pt idx="514">
                  <c:v>0.40350877192982454</c:v>
                </c:pt>
                <c:pt idx="515">
                  <c:v>0.45731707317073172</c:v>
                </c:pt>
                <c:pt idx="516">
                  <c:v>0.41496598639455784</c:v>
                </c:pt>
                <c:pt idx="517">
                  <c:v>0.40869565217391307</c:v>
                </c:pt>
                <c:pt idx="518">
                  <c:v>0.41599999999999998</c:v>
                </c:pt>
                <c:pt idx="519">
                  <c:v>0.42741935483870969</c:v>
                </c:pt>
                <c:pt idx="520">
                  <c:v>0.42753623188405798</c:v>
                </c:pt>
                <c:pt idx="521">
                  <c:v>0.37588652482269502</c:v>
                </c:pt>
                <c:pt idx="522">
                  <c:v>0.40909090909090912</c:v>
                </c:pt>
                <c:pt idx="523">
                  <c:v>0.44660194174757284</c:v>
                </c:pt>
                <c:pt idx="524">
                  <c:v>0.39880952380952384</c:v>
                </c:pt>
                <c:pt idx="525">
                  <c:v>0.40601503759398494</c:v>
                </c:pt>
                <c:pt idx="526">
                  <c:v>0.39880952380952384</c:v>
                </c:pt>
                <c:pt idx="527">
                  <c:v>0.40594059405940597</c:v>
                </c:pt>
                <c:pt idx="528">
                  <c:v>0.44827586206896552</c:v>
                </c:pt>
                <c:pt idx="529">
                  <c:v>0.41964285714285715</c:v>
                </c:pt>
                <c:pt idx="530">
                  <c:v>0.42982456140350878</c:v>
                </c:pt>
                <c:pt idx="531">
                  <c:v>0.44827586206896552</c:v>
                </c:pt>
                <c:pt idx="532">
                  <c:v>0.44444444444444442</c:v>
                </c:pt>
                <c:pt idx="533">
                  <c:v>0.38190954773869346</c:v>
                </c:pt>
                <c:pt idx="534">
                  <c:v>0.39694656488549618</c:v>
                </c:pt>
                <c:pt idx="535">
                  <c:v>0.38190954773869346</c:v>
                </c:pt>
                <c:pt idx="536">
                  <c:v>0.37113402061855671</c:v>
                </c:pt>
                <c:pt idx="537">
                  <c:v>0.43046357615894038</c:v>
                </c:pt>
                <c:pt idx="538">
                  <c:v>0.38095238095238093</c:v>
                </c:pt>
                <c:pt idx="539">
                  <c:v>0.37614678899082571</c:v>
                </c:pt>
                <c:pt idx="540">
                  <c:v>0.41791044776119401</c:v>
                </c:pt>
                <c:pt idx="541">
                  <c:v>0.39224137931034481</c:v>
                </c:pt>
                <c:pt idx="542">
                  <c:v>0.35502958579881655</c:v>
                </c:pt>
                <c:pt idx="543">
                  <c:v>0.41666666666666669</c:v>
                </c:pt>
                <c:pt idx="544">
                  <c:v>0.40136054421768708</c:v>
                </c:pt>
                <c:pt idx="545">
                  <c:v>0.37313432835820898</c:v>
                </c:pt>
                <c:pt idx="546">
                  <c:v>0.43125000000000002</c:v>
                </c:pt>
                <c:pt idx="547">
                  <c:v>0.38016528925619836</c:v>
                </c:pt>
                <c:pt idx="548">
                  <c:v>0.42857142857142855</c:v>
                </c:pt>
                <c:pt idx="549">
                  <c:v>0.38853503184713378</c:v>
                </c:pt>
                <c:pt idx="550">
                  <c:v>0.38211382113821141</c:v>
                </c:pt>
                <c:pt idx="551">
                  <c:v>0.39097744360902253</c:v>
                </c:pt>
                <c:pt idx="552">
                  <c:v>0.40151515151515149</c:v>
                </c:pt>
                <c:pt idx="553">
                  <c:v>0.40136054421768708</c:v>
                </c:pt>
                <c:pt idx="554">
                  <c:v>0.35333333333333333</c:v>
                </c:pt>
                <c:pt idx="555">
                  <c:v>0.38297872340425532</c:v>
                </c:pt>
                <c:pt idx="556">
                  <c:v>0.41818181818181815</c:v>
                </c:pt>
                <c:pt idx="557">
                  <c:v>0.37430167597765363</c:v>
                </c:pt>
                <c:pt idx="558">
                  <c:v>0.38028169014084506</c:v>
                </c:pt>
                <c:pt idx="559">
                  <c:v>0.37430167597765363</c:v>
                </c:pt>
                <c:pt idx="560">
                  <c:v>0.37962962962962965</c:v>
                </c:pt>
                <c:pt idx="561">
                  <c:v>0.41935483870967744</c:v>
                </c:pt>
                <c:pt idx="562">
                  <c:v>0.3949579831932773</c:v>
                </c:pt>
                <c:pt idx="563">
                  <c:v>0.4049586776859504</c:v>
                </c:pt>
                <c:pt idx="564">
                  <c:v>0.41935483870967744</c:v>
                </c:pt>
                <c:pt idx="565">
                  <c:v>0.41717791411042943</c:v>
                </c:pt>
                <c:pt idx="566">
                  <c:v>0.43333333333333335</c:v>
                </c:pt>
                <c:pt idx="567">
                  <c:v>0.45961538461538459</c:v>
                </c:pt>
                <c:pt idx="568">
                  <c:v>0.40728476821192056</c:v>
                </c:pt>
                <c:pt idx="569">
                  <c:v>0.40677966101694918</c:v>
                </c:pt>
                <c:pt idx="570">
                  <c:v>0.40336134453781514</c:v>
                </c:pt>
                <c:pt idx="571">
                  <c:v>0.39473684210526316</c:v>
                </c:pt>
                <c:pt idx="572">
                  <c:v>0.43902439024390244</c:v>
                </c:pt>
                <c:pt idx="573">
                  <c:v>0.44642857142857145</c:v>
                </c:pt>
                <c:pt idx="574">
                  <c:v>0.4364406779661017</c:v>
                </c:pt>
                <c:pt idx="575">
                  <c:v>0.4463276836158192</c:v>
                </c:pt>
                <c:pt idx="576">
                  <c:v>0.41739130434782606</c:v>
                </c:pt>
                <c:pt idx="577">
                  <c:v>0.45918367346938777</c:v>
                </c:pt>
                <c:pt idx="578">
                  <c:v>0.3968253968253968</c:v>
                </c:pt>
                <c:pt idx="579">
                  <c:v>0.40689655172413791</c:v>
                </c:pt>
                <c:pt idx="580">
                  <c:v>0.39593908629441626</c:v>
                </c:pt>
                <c:pt idx="581">
                  <c:v>0.44</c:v>
                </c:pt>
                <c:pt idx="582">
                  <c:v>0.41632653061224489</c:v>
                </c:pt>
                <c:pt idx="583">
                  <c:v>0.43722943722943725</c:v>
                </c:pt>
                <c:pt idx="584">
                  <c:v>0.38461538461538464</c:v>
                </c:pt>
                <c:pt idx="585">
                  <c:v>0.44565217391304346</c:v>
                </c:pt>
                <c:pt idx="586">
                  <c:v>0.41964285714285715</c:v>
                </c:pt>
                <c:pt idx="587">
                  <c:v>0.45904761904761904</c:v>
                </c:pt>
                <c:pt idx="588">
                  <c:v>0.40728476821192056</c:v>
                </c:pt>
                <c:pt idx="589">
                  <c:v>0.57499999999999996</c:v>
                </c:pt>
                <c:pt idx="590">
                  <c:v>0.39819004524886875</c:v>
                </c:pt>
                <c:pt idx="591">
                  <c:v>0.40833333333333333</c:v>
                </c:pt>
                <c:pt idx="592">
                  <c:v>0.39344262295081966</c:v>
                </c:pt>
                <c:pt idx="593">
                  <c:v>0.43783783783783786</c:v>
                </c:pt>
                <c:pt idx="594">
                  <c:v>0.44444444444444442</c:v>
                </c:pt>
                <c:pt idx="595">
                  <c:v>0.41875000000000001</c:v>
                </c:pt>
                <c:pt idx="596">
                  <c:v>0.43925233644859812</c:v>
                </c:pt>
                <c:pt idx="597">
                  <c:v>0.3902439024390244</c:v>
                </c:pt>
                <c:pt idx="598">
                  <c:v>0.42</c:v>
                </c:pt>
                <c:pt idx="599">
                  <c:v>0.40625</c:v>
                </c:pt>
                <c:pt idx="600">
                  <c:v>0.43140794223826717</c:v>
                </c:pt>
                <c:pt idx="601">
                  <c:v>0.38198757763975155</c:v>
                </c:pt>
                <c:pt idx="602">
                  <c:v>0.38095238095238093</c:v>
                </c:pt>
                <c:pt idx="603">
                  <c:v>0.37795275590551181</c:v>
                </c:pt>
                <c:pt idx="604">
                  <c:v>0.37190082644628097</c:v>
                </c:pt>
                <c:pt idx="605">
                  <c:v>0.41284403669724773</c:v>
                </c:pt>
                <c:pt idx="606">
                  <c:v>0.41666666666666669</c:v>
                </c:pt>
                <c:pt idx="607">
                  <c:v>0.41035856573705182</c:v>
                </c:pt>
                <c:pt idx="608">
                  <c:v>0.41798941798941797</c:v>
                </c:pt>
                <c:pt idx="609">
                  <c:v>0.39183673469387753</c:v>
                </c:pt>
                <c:pt idx="610">
                  <c:v>0.43103448275862066</c:v>
                </c:pt>
                <c:pt idx="611">
                  <c:v>0.37313432835820898</c:v>
                </c:pt>
                <c:pt idx="612">
                  <c:v>0.3818770226537217</c:v>
                </c:pt>
                <c:pt idx="613">
                  <c:v>0.37142857142857144</c:v>
                </c:pt>
                <c:pt idx="614">
                  <c:v>0.41314553990610331</c:v>
                </c:pt>
                <c:pt idx="615">
                  <c:v>0.39080459770114945</c:v>
                </c:pt>
                <c:pt idx="616">
                  <c:v>0.41056910569105692</c:v>
                </c:pt>
                <c:pt idx="617">
                  <c:v>0.35714285714285715</c:v>
                </c:pt>
                <c:pt idx="618">
                  <c:v>0.41836734693877553</c:v>
                </c:pt>
                <c:pt idx="619">
                  <c:v>0.39330543933054396</c:v>
                </c:pt>
                <c:pt idx="620">
                  <c:v>0.43112701252236135</c:v>
                </c:pt>
                <c:pt idx="621">
                  <c:v>0.38198757763975155</c:v>
                </c:pt>
                <c:pt idx="622">
                  <c:v>0.53801169590643272</c:v>
                </c:pt>
                <c:pt idx="623">
                  <c:v>0.3728813559322034</c:v>
                </c:pt>
                <c:pt idx="624">
                  <c:v>0.3828125</c:v>
                </c:pt>
                <c:pt idx="625">
                  <c:v>0.36923076923076925</c:v>
                </c:pt>
                <c:pt idx="626">
                  <c:v>0.41116751269035534</c:v>
                </c:pt>
                <c:pt idx="627">
                  <c:v>0.41666666666666669</c:v>
                </c:pt>
                <c:pt idx="628">
                  <c:v>0.39296187683284456</c:v>
                </c:pt>
                <c:pt idx="629">
                  <c:v>0.41228070175438597</c:v>
                </c:pt>
                <c:pt idx="630">
                  <c:v>0.36363636363636365</c:v>
                </c:pt>
                <c:pt idx="631">
                  <c:v>0.39473684210526316</c:v>
                </c:pt>
                <c:pt idx="632">
                  <c:v>0.39936102236421728</c:v>
                </c:pt>
                <c:pt idx="633">
                  <c:v>0.41666666666666669</c:v>
                </c:pt>
                <c:pt idx="634">
                  <c:v>0.4</c:v>
                </c:pt>
                <c:pt idx="635">
                  <c:v>0.39792387543252594</c:v>
                </c:pt>
                <c:pt idx="636">
                  <c:v>0.37425149700598803</c:v>
                </c:pt>
                <c:pt idx="637">
                  <c:v>0.39215686274509803</c:v>
                </c:pt>
                <c:pt idx="638">
                  <c:v>0.37572254335260113</c:v>
                </c:pt>
                <c:pt idx="639">
                  <c:v>0.37337662337662336</c:v>
                </c:pt>
                <c:pt idx="640">
                  <c:v>0.41743119266055045</c:v>
                </c:pt>
                <c:pt idx="641">
                  <c:v>0.42574257425742573</c:v>
                </c:pt>
                <c:pt idx="642">
                  <c:v>0.4</c:v>
                </c:pt>
                <c:pt idx="643">
                  <c:v>0.15189873417721519</c:v>
                </c:pt>
                <c:pt idx="644">
                  <c:v>0.4</c:v>
                </c:pt>
                <c:pt idx="645">
                  <c:v>0.41739130434782606</c:v>
                </c:pt>
                <c:pt idx="646">
                  <c:v>1.8115942028985508</c:v>
                </c:pt>
                <c:pt idx="647">
                  <c:v>0.5</c:v>
                </c:pt>
                <c:pt idx="648">
                  <c:v>0.31241830065359477</c:v>
                </c:pt>
                <c:pt idx="649">
                  <c:v>0.43137254901960786</c:v>
                </c:pt>
                <c:pt idx="650">
                  <c:v>0.49707602339181284</c:v>
                </c:pt>
                <c:pt idx="651">
                  <c:v>1.4573170731707317</c:v>
                </c:pt>
                <c:pt idx="652">
                  <c:v>0.40754716981132078</c:v>
                </c:pt>
                <c:pt idx="653">
                  <c:v>0.40728476821192056</c:v>
                </c:pt>
                <c:pt idx="654">
                  <c:v>0.40641711229946526</c:v>
                </c:pt>
                <c:pt idx="655">
                  <c:v>0.41632653061224489</c:v>
                </c:pt>
                <c:pt idx="656">
                  <c:v>0.42777777777777776</c:v>
                </c:pt>
                <c:pt idx="657">
                  <c:v>0.39593908629441626</c:v>
                </c:pt>
                <c:pt idx="658">
                  <c:v>0.16519823788546256</c:v>
                </c:pt>
                <c:pt idx="659">
                  <c:v>0.3996789727126806</c:v>
                </c:pt>
                <c:pt idx="660">
                  <c:v>0.41964285714285715</c:v>
                </c:pt>
                <c:pt idx="661">
                  <c:v>1.9836065573770492</c:v>
                </c:pt>
                <c:pt idx="662">
                  <c:v>0.49862258953168043</c:v>
                </c:pt>
                <c:pt idx="663">
                  <c:v>0.31259259259259259</c:v>
                </c:pt>
                <c:pt idx="664">
                  <c:v>0.42307692307692307</c:v>
                </c:pt>
                <c:pt idx="665">
                  <c:v>0.42534722222222221</c:v>
                </c:pt>
                <c:pt idx="666">
                  <c:v>1.40625</c:v>
                </c:pt>
                <c:pt idx="667">
                  <c:v>0.40909090909090912</c:v>
                </c:pt>
                <c:pt idx="668">
                  <c:v>0.40689655172413791</c:v>
                </c:pt>
                <c:pt idx="669">
                  <c:v>0.41875000000000001</c:v>
                </c:pt>
                <c:pt idx="670">
                  <c:v>0.42564102564102563</c:v>
                </c:pt>
                <c:pt idx="671">
                  <c:v>0.39819004524886875</c:v>
                </c:pt>
                <c:pt idx="672">
                  <c:v>0.13137254901960785</c:v>
                </c:pt>
                <c:pt idx="673">
                  <c:v>0.39914163090128757</c:v>
                </c:pt>
                <c:pt idx="674">
                  <c:v>0.42</c:v>
                </c:pt>
                <c:pt idx="675">
                  <c:v>2.0454545454545454</c:v>
                </c:pt>
                <c:pt idx="676">
                  <c:v>0.5</c:v>
                </c:pt>
                <c:pt idx="677">
                  <c:v>0.38051750380517502</c:v>
                </c:pt>
                <c:pt idx="678">
                  <c:v>0.39357429718875503</c:v>
                </c:pt>
                <c:pt idx="679">
                  <c:v>1.6283783783783783</c:v>
                </c:pt>
                <c:pt idx="680">
                  <c:v>0.40952380952380951</c:v>
                </c:pt>
                <c:pt idx="681">
                  <c:v>0.40728476821192056</c:v>
                </c:pt>
                <c:pt idx="682">
                  <c:v>0.39224137931034481</c:v>
                </c:pt>
                <c:pt idx="683">
                  <c:v>0.4</c:v>
                </c:pt>
                <c:pt idx="684">
                  <c:v>0.37614678899082571</c:v>
                </c:pt>
                <c:pt idx="685">
                  <c:v>0.14257425742574256</c:v>
                </c:pt>
                <c:pt idx="686">
                  <c:v>0.37518037518037517</c:v>
                </c:pt>
                <c:pt idx="687">
                  <c:v>0.39183673469387753</c:v>
                </c:pt>
                <c:pt idx="688">
                  <c:v>1.6891891891891893</c:v>
                </c:pt>
                <c:pt idx="689">
                  <c:v>0.46938775510204084</c:v>
                </c:pt>
                <c:pt idx="690">
                  <c:v>0.29325153374233126</c:v>
                </c:pt>
                <c:pt idx="691">
                  <c:v>0.40740740740740738</c:v>
                </c:pt>
                <c:pt idx="692">
                  <c:v>0.46617915904936014</c:v>
                </c:pt>
                <c:pt idx="693">
                  <c:v>1.3657142857142857</c:v>
                </c:pt>
                <c:pt idx="694">
                  <c:v>0.38297872340425532</c:v>
                </c:pt>
                <c:pt idx="695">
                  <c:v>0.38198757763975155</c:v>
                </c:pt>
                <c:pt idx="696">
                  <c:v>0.38190954773869346</c:v>
                </c:pt>
                <c:pt idx="697">
                  <c:v>0.39080459770114945</c:v>
                </c:pt>
                <c:pt idx="698">
                  <c:v>0.40104166666666669</c:v>
                </c:pt>
                <c:pt idx="699">
                  <c:v>0.37142857142857144</c:v>
                </c:pt>
                <c:pt idx="700">
                  <c:v>0.15495867768595042</c:v>
                </c:pt>
                <c:pt idx="701">
                  <c:v>0.375</c:v>
                </c:pt>
                <c:pt idx="702">
                  <c:v>0.39330543933054396</c:v>
                </c:pt>
                <c:pt idx="703">
                  <c:v>1.8615384615384616</c:v>
                </c:pt>
                <c:pt idx="704">
                  <c:v>0.46770025839793283</c:v>
                </c:pt>
                <c:pt idx="705">
                  <c:v>0.29346314325452016</c:v>
                </c:pt>
                <c:pt idx="706">
                  <c:v>0.4</c:v>
                </c:pt>
                <c:pt idx="707">
                  <c:v>0.39902280130293161</c:v>
                </c:pt>
                <c:pt idx="708">
                  <c:v>1.3157894736842106</c:v>
                </c:pt>
                <c:pt idx="709">
                  <c:v>0.38388625592417064</c:v>
                </c:pt>
                <c:pt idx="710">
                  <c:v>0.3818770226537217</c:v>
                </c:pt>
                <c:pt idx="711">
                  <c:v>0.39296187683284456</c:v>
                </c:pt>
                <c:pt idx="712">
                  <c:v>0.39903846153846156</c:v>
                </c:pt>
                <c:pt idx="713">
                  <c:v>0.3728813559322034</c:v>
                </c:pt>
                <c:pt idx="714">
                  <c:v>0.12338858195211787</c:v>
                </c:pt>
                <c:pt idx="715">
                  <c:v>0.37449664429530199</c:v>
                </c:pt>
                <c:pt idx="716">
                  <c:v>0.39473684210526316</c:v>
                </c:pt>
                <c:pt idx="717">
                  <c:v>1.9285714285714286</c:v>
                </c:pt>
                <c:pt idx="718">
                  <c:v>0.46932515337423314</c:v>
                </c:pt>
                <c:pt idx="719">
                  <c:v>0.35714285714285715</c:v>
                </c:pt>
                <c:pt idx="720">
                  <c:v>0.3693467336683417</c:v>
                </c:pt>
                <c:pt idx="721">
                  <c:v>1.5253164556962024</c:v>
                </c:pt>
                <c:pt idx="722">
                  <c:v>0.38392857142857145</c:v>
                </c:pt>
                <c:pt idx="723">
                  <c:v>0.38198757763975155</c:v>
                </c:pt>
                <c:pt idx="724">
                  <c:v>0.40754716981132078</c:v>
                </c:pt>
                <c:pt idx="725">
                  <c:v>0.40939597315436244</c:v>
                </c:pt>
                <c:pt idx="726">
                  <c:v>0.39560439560439559</c:v>
                </c:pt>
                <c:pt idx="727">
                  <c:v>0.5</c:v>
                </c:pt>
                <c:pt idx="728">
                  <c:v>0.45</c:v>
                </c:pt>
                <c:pt idx="729">
                  <c:v>0.40728476821192056</c:v>
                </c:pt>
                <c:pt idx="730">
                  <c:v>0.4196185286103542</c:v>
                </c:pt>
                <c:pt idx="731">
                  <c:v>0.40641711229946526</c:v>
                </c:pt>
                <c:pt idx="732">
                  <c:v>0.42976588628762541</c:v>
                </c:pt>
                <c:pt idx="733">
                  <c:v>0.5</c:v>
                </c:pt>
                <c:pt idx="734">
                  <c:v>0.5</c:v>
                </c:pt>
                <c:pt idx="735">
                  <c:v>0.40728476821192056</c:v>
                </c:pt>
                <c:pt idx="736">
                  <c:v>0.40754716981132078</c:v>
                </c:pt>
                <c:pt idx="737">
                  <c:v>0.4</c:v>
                </c:pt>
                <c:pt idx="738">
                  <c:v>0.41743119266055045</c:v>
                </c:pt>
                <c:pt idx="739">
                  <c:v>0.43902439024390244</c:v>
                </c:pt>
                <c:pt idx="740">
                  <c:v>0.43478260869565216</c:v>
                </c:pt>
                <c:pt idx="741">
                  <c:v>0.42574257425742573</c:v>
                </c:pt>
                <c:pt idx="742">
                  <c:v>0.4463276836158192</c:v>
                </c:pt>
                <c:pt idx="743">
                  <c:v>0.41739130434782606</c:v>
                </c:pt>
                <c:pt idx="744">
                  <c:v>0.40404040404040403</c:v>
                </c:pt>
                <c:pt idx="745">
                  <c:v>0.45977011494252873</c:v>
                </c:pt>
                <c:pt idx="746">
                  <c:v>0.42976588628762541</c:v>
                </c:pt>
                <c:pt idx="747">
                  <c:v>0.40939597315436244</c:v>
                </c:pt>
                <c:pt idx="748">
                  <c:v>0.78899082568807344</c:v>
                </c:pt>
                <c:pt idx="749">
                  <c:v>0.5</c:v>
                </c:pt>
                <c:pt idx="750">
                  <c:v>0.44973544973544971</c:v>
                </c:pt>
                <c:pt idx="751">
                  <c:v>0.44642857142857145</c:v>
                </c:pt>
                <c:pt idx="752">
                  <c:v>0.40909090909090912</c:v>
                </c:pt>
                <c:pt idx="753">
                  <c:v>0.40647482014388492</c:v>
                </c:pt>
                <c:pt idx="754">
                  <c:v>0.3968253968253968</c:v>
                </c:pt>
                <c:pt idx="755">
                  <c:v>0.49881796690307328</c:v>
                </c:pt>
                <c:pt idx="756">
                  <c:v>0.40689655172413791</c:v>
                </c:pt>
                <c:pt idx="757">
                  <c:v>0.4199029126213592</c:v>
                </c:pt>
                <c:pt idx="758">
                  <c:v>0.4065040650406504</c:v>
                </c:pt>
                <c:pt idx="759">
                  <c:v>0.42857142857142855</c:v>
                </c:pt>
                <c:pt idx="760">
                  <c:v>0.49862258953168043</c:v>
                </c:pt>
                <c:pt idx="761">
                  <c:v>0.49862258953168043</c:v>
                </c:pt>
                <c:pt idx="762">
                  <c:v>0.40689655172413791</c:v>
                </c:pt>
                <c:pt idx="763">
                  <c:v>0.40909090909090912</c:v>
                </c:pt>
                <c:pt idx="764">
                  <c:v>0.39593908629441626</c:v>
                </c:pt>
                <c:pt idx="765">
                  <c:v>0.3968253968253968</c:v>
                </c:pt>
                <c:pt idx="766">
                  <c:v>0.41632653061224489</c:v>
                </c:pt>
                <c:pt idx="767">
                  <c:v>0.44</c:v>
                </c:pt>
                <c:pt idx="768">
                  <c:v>0.43478260869565216</c:v>
                </c:pt>
                <c:pt idx="769">
                  <c:v>0.42777777777777776</c:v>
                </c:pt>
                <c:pt idx="770">
                  <c:v>0.38461538461538464</c:v>
                </c:pt>
                <c:pt idx="771">
                  <c:v>0.44565217391304346</c:v>
                </c:pt>
                <c:pt idx="772">
                  <c:v>0.41964285714285715</c:v>
                </c:pt>
                <c:pt idx="773">
                  <c:v>0.40909090909090912</c:v>
                </c:pt>
                <c:pt idx="774">
                  <c:v>0.45731707317073172</c:v>
                </c:pt>
                <c:pt idx="775">
                  <c:v>0.42857142857142855</c:v>
                </c:pt>
                <c:pt idx="776">
                  <c:v>0.40647482014388492</c:v>
                </c:pt>
                <c:pt idx="777">
                  <c:v>0.49881796690307328</c:v>
                </c:pt>
                <c:pt idx="778">
                  <c:v>0.44954128440366975</c:v>
                </c:pt>
                <c:pt idx="779">
                  <c:v>0.40952380952380951</c:v>
                </c:pt>
                <c:pt idx="780">
                  <c:v>0.40705128205128205</c:v>
                </c:pt>
                <c:pt idx="781">
                  <c:v>0.39880952380952384</c:v>
                </c:pt>
                <c:pt idx="782">
                  <c:v>0.49900199600798401</c:v>
                </c:pt>
                <c:pt idx="783">
                  <c:v>0.40728476821192056</c:v>
                </c:pt>
                <c:pt idx="784">
                  <c:v>0.41947565543071164</c:v>
                </c:pt>
                <c:pt idx="785">
                  <c:v>0.40601503759398494</c:v>
                </c:pt>
                <c:pt idx="786">
                  <c:v>0.42881944444444442</c:v>
                </c:pt>
                <c:pt idx="787">
                  <c:v>0.5</c:v>
                </c:pt>
                <c:pt idx="788">
                  <c:v>0.5</c:v>
                </c:pt>
                <c:pt idx="789">
                  <c:v>0.40728476821192056</c:v>
                </c:pt>
                <c:pt idx="790">
                  <c:v>0.40952380952380951</c:v>
                </c:pt>
                <c:pt idx="791">
                  <c:v>0.39819004524886875</c:v>
                </c:pt>
                <c:pt idx="792">
                  <c:v>0.41875000000000001</c:v>
                </c:pt>
                <c:pt idx="793">
                  <c:v>0.43783783783783786</c:v>
                </c:pt>
                <c:pt idx="794">
                  <c:v>0.41666666666666669</c:v>
                </c:pt>
                <c:pt idx="795">
                  <c:v>0.42564102564102563</c:v>
                </c:pt>
                <c:pt idx="796">
                  <c:v>0.44444444444444442</c:v>
                </c:pt>
                <c:pt idx="797">
                  <c:v>0.42</c:v>
                </c:pt>
                <c:pt idx="798">
                  <c:v>0.4065040650406504</c:v>
                </c:pt>
                <c:pt idx="799">
                  <c:v>0.45454545454545453</c:v>
                </c:pt>
                <c:pt idx="800">
                  <c:v>0.42881944444444442</c:v>
                </c:pt>
                <c:pt idx="801">
                  <c:v>0.40705128205128205</c:v>
                </c:pt>
                <c:pt idx="802">
                  <c:v>0.49900199600798401</c:v>
                </c:pt>
                <c:pt idx="803">
                  <c:v>0.44954128440366975</c:v>
                </c:pt>
                <c:pt idx="804">
                  <c:v>0.44444444444444442</c:v>
                </c:pt>
                <c:pt idx="805">
                  <c:v>0.38297872340425532</c:v>
                </c:pt>
                <c:pt idx="806">
                  <c:v>0.38364779874213839</c:v>
                </c:pt>
                <c:pt idx="807">
                  <c:v>0.37113402061855671</c:v>
                </c:pt>
                <c:pt idx="808">
                  <c:v>0.46954813359528486</c:v>
                </c:pt>
                <c:pt idx="809">
                  <c:v>0.421875</c:v>
                </c:pt>
                <c:pt idx="810">
                  <c:v>0.38198757763975155</c:v>
                </c:pt>
                <c:pt idx="811">
                  <c:v>0.39386189258312021</c:v>
                </c:pt>
                <c:pt idx="812">
                  <c:v>0.38190954773869346</c:v>
                </c:pt>
                <c:pt idx="813">
                  <c:v>0.40345368916797486</c:v>
                </c:pt>
                <c:pt idx="814">
                  <c:v>0.46938775510204084</c:v>
                </c:pt>
                <c:pt idx="815">
                  <c:v>0.46938775510204084</c:v>
                </c:pt>
                <c:pt idx="816">
                  <c:v>0.38198757763975155</c:v>
                </c:pt>
                <c:pt idx="817">
                  <c:v>0.38297872340425532</c:v>
                </c:pt>
                <c:pt idx="818">
                  <c:v>0.37614678899082571</c:v>
                </c:pt>
                <c:pt idx="819">
                  <c:v>0.39224137931034481</c:v>
                </c:pt>
                <c:pt idx="820">
                  <c:v>0.41284403669724773</c:v>
                </c:pt>
                <c:pt idx="821">
                  <c:v>0.4</c:v>
                </c:pt>
                <c:pt idx="822">
                  <c:v>0.4</c:v>
                </c:pt>
                <c:pt idx="823">
                  <c:v>0.41798941798941797</c:v>
                </c:pt>
                <c:pt idx="824">
                  <c:v>0.39183673469387753</c:v>
                </c:pt>
                <c:pt idx="825">
                  <c:v>0.37735849056603776</c:v>
                </c:pt>
                <c:pt idx="826">
                  <c:v>0.43243243243243246</c:v>
                </c:pt>
                <c:pt idx="827">
                  <c:v>0.40345368916797486</c:v>
                </c:pt>
                <c:pt idx="828">
                  <c:v>0.38364779874213839</c:v>
                </c:pt>
                <c:pt idx="829">
                  <c:v>0.74137931034482762</c:v>
                </c:pt>
                <c:pt idx="830">
                  <c:v>0.46954813359528486</c:v>
                </c:pt>
                <c:pt idx="831">
                  <c:v>0.42218543046357615</c:v>
                </c:pt>
                <c:pt idx="832">
                  <c:v>0.41666666666666669</c:v>
                </c:pt>
                <c:pt idx="833">
                  <c:v>0.38388625592417064</c:v>
                </c:pt>
                <c:pt idx="834">
                  <c:v>0.38175675675675674</c:v>
                </c:pt>
                <c:pt idx="835">
                  <c:v>0.37313432835820898</c:v>
                </c:pt>
                <c:pt idx="836">
                  <c:v>0.46784922394678491</c:v>
                </c:pt>
                <c:pt idx="837">
                  <c:v>0.3818770226537217</c:v>
                </c:pt>
                <c:pt idx="838">
                  <c:v>0.39407744874715261</c:v>
                </c:pt>
                <c:pt idx="839">
                  <c:v>0.38167938931297712</c:v>
                </c:pt>
                <c:pt idx="840">
                  <c:v>0.40211640211640209</c:v>
                </c:pt>
                <c:pt idx="841">
                  <c:v>0.46770025839793283</c:v>
                </c:pt>
                <c:pt idx="842">
                  <c:v>0.46770025839793283</c:v>
                </c:pt>
                <c:pt idx="843">
                  <c:v>0.3818770226537217</c:v>
                </c:pt>
                <c:pt idx="844">
                  <c:v>0.38388625592417064</c:v>
                </c:pt>
                <c:pt idx="845">
                  <c:v>0.37142857142857144</c:v>
                </c:pt>
                <c:pt idx="846">
                  <c:v>0.37313432835820898</c:v>
                </c:pt>
                <c:pt idx="847">
                  <c:v>0.39080459770114945</c:v>
                </c:pt>
                <c:pt idx="848">
                  <c:v>0.41314553990610331</c:v>
                </c:pt>
                <c:pt idx="849">
                  <c:v>0.4</c:v>
                </c:pt>
                <c:pt idx="850">
                  <c:v>0.40104166666666669</c:v>
                </c:pt>
                <c:pt idx="851">
                  <c:v>0.35714285714285715</c:v>
                </c:pt>
                <c:pt idx="852">
                  <c:v>0.41836734693877553</c:v>
                </c:pt>
                <c:pt idx="853">
                  <c:v>0.39330543933054396</c:v>
                </c:pt>
                <c:pt idx="854">
                  <c:v>0.38297872340425532</c:v>
                </c:pt>
                <c:pt idx="855">
                  <c:v>0.42857142857142855</c:v>
                </c:pt>
                <c:pt idx="856">
                  <c:v>0.40211640211640209</c:v>
                </c:pt>
                <c:pt idx="857">
                  <c:v>0.38175675675675674</c:v>
                </c:pt>
                <c:pt idx="858">
                  <c:v>0.46784922394678491</c:v>
                </c:pt>
                <c:pt idx="859">
                  <c:v>0.42168674698795183</c:v>
                </c:pt>
                <c:pt idx="860">
                  <c:v>0.38392857142857145</c:v>
                </c:pt>
                <c:pt idx="861">
                  <c:v>0.38253012048192769</c:v>
                </c:pt>
                <c:pt idx="862">
                  <c:v>0.37430167597765363</c:v>
                </c:pt>
                <c:pt idx="863">
                  <c:v>0.46816479400749061</c:v>
                </c:pt>
                <c:pt idx="864">
                  <c:v>0.38198757763975155</c:v>
                </c:pt>
                <c:pt idx="865">
                  <c:v>0.39367311072056238</c:v>
                </c:pt>
                <c:pt idx="866">
                  <c:v>0.38028169014084506</c:v>
                </c:pt>
                <c:pt idx="867">
                  <c:v>0.40228013029315962</c:v>
                </c:pt>
                <c:pt idx="868">
                  <c:v>0.46932515337423314</c:v>
                </c:pt>
                <c:pt idx="869">
                  <c:v>0.46932515337423314</c:v>
                </c:pt>
                <c:pt idx="870">
                  <c:v>0.38198757763975155</c:v>
                </c:pt>
                <c:pt idx="871">
                  <c:v>0.38392857142857145</c:v>
                </c:pt>
                <c:pt idx="872">
                  <c:v>0.3728813559322034</c:v>
                </c:pt>
                <c:pt idx="873">
                  <c:v>0.39296187683284456</c:v>
                </c:pt>
                <c:pt idx="874">
                  <c:v>0.41116751269035534</c:v>
                </c:pt>
                <c:pt idx="875">
                  <c:v>0.38461538461538464</c:v>
                </c:pt>
                <c:pt idx="876">
                  <c:v>0.39903846153846156</c:v>
                </c:pt>
                <c:pt idx="877">
                  <c:v>0.41717791411042943</c:v>
                </c:pt>
                <c:pt idx="878">
                  <c:v>0.39473684210526316</c:v>
                </c:pt>
                <c:pt idx="879">
                  <c:v>0.38167938931297712</c:v>
                </c:pt>
                <c:pt idx="880">
                  <c:v>0.42553191489361702</c:v>
                </c:pt>
                <c:pt idx="881">
                  <c:v>0.40228013029315962</c:v>
                </c:pt>
                <c:pt idx="882">
                  <c:v>0.38253012048192769</c:v>
                </c:pt>
                <c:pt idx="883">
                  <c:v>0.46816479400749061</c:v>
                </c:pt>
                <c:pt idx="884">
                  <c:v>0.4218077474892396</c:v>
                </c:pt>
                <c:pt idx="885">
                  <c:v>0.41666666666666669</c:v>
                </c:pt>
                <c:pt idx="886">
                  <c:v>1.1846153846153846</c:v>
                </c:pt>
                <c:pt idx="887">
                  <c:v>0.42976588628762541</c:v>
                </c:pt>
                <c:pt idx="888">
                  <c:v>1.1192660550458715</c:v>
                </c:pt>
                <c:pt idx="889">
                  <c:v>0.4</c:v>
                </c:pt>
                <c:pt idx="890">
                  <c:v>0.5</c:v>
                </c:pt>
                <c:pt idx="891">
                  <c:v>0.41946308724832215</c:v>
                </c:pt>
                <c:pt idx="892">
                  <c:v>0.40754716981132078</c:v>
                </c:pt>
                <c:pt idx="893">
                  <c:v>0.45961538461538459</c:v>
                </c:pt>
                <c:pt idx="894">
                  <c:v>0.40728476821192056</c:v>
                </c:pt>
                <c:pt idx="895">
                  <c:v>0.40186915887850466</c:v>
                </c:pt>
                <c:pt idx="896">
                  <c:v>0.4463276836158192</c:v>
                </c:pt>
                <c:pt idx="897">
                  <c:v>0.41739130434782606</c:v>
                </c:pt>
                <c:pt idx="898">
                  <c:v>0.5</c:v>
                </c:pt>
                <c:pt idx="899">
                  <c:v>0.45977011494252873</c:v>
                </c:pt>
                <c:pt idx="900">
                  <c:v>0.41803278688524592</c:v>
                </c:pt>
                <c:pt idx="901">
                  <c:v>0.45774647887323944</c:v>
                </c:pt>
                <c:pt idx="902">
                  <c:v>0.41666666666666669</c:v>
                </c:pt>
                <c:pt idx="903">
                  <c:v>0.42342342342342343</c:v>
                </c:pt>
                <c:pt idx="904">
                  <c:v>0.40718562874251496</c:v>
                </c:pt>
                <c:pt idx="905">
                  <c:v>0.43137254901960786</c:v>
                </c:pt>
                <c:pt idx="906">
                  <c:v>0.40384615384615385</c:v>
                </c:pt>
                <c:pt idx="907">
                  <c:v>0.4364406779661017</c:v>
                </c:pt>
                <c:pt idx="908">
                  <c:v>0.41946308724832215</c:v>
                </c:pt>
                <c:pt idx="909">
                  <c:v>0.39936102236421728</c:v>
                </c:pt>
                <c:pt idx="910">
                  <c:v>0.4196185286103542</c:v>
                </c:pt>
                <c:pt idx="911">
                  <c:v>0.43902439024390244</c:v>
                </c:pt>
                <c:pt idx="912">
                  <c:v>0.40939597315436244</c:v>
                </c:pt>
                <c:pt idx="913">
                  <c:v>0.78899082568807344</c:v>
                </c:pt>
                <c:pt idx="914">
                  <c:v>0.42976588628762541</c:v>
                </c:pt>
                <c:pt idx="915">
                  <c:v>0.39622641509433965</c:v>
                </c:pt>
                <c:pt idx="916">
                  <c:v>0.5</c:v>
                </c:pt>
                <c:pt idx="917">
                  <c:v>12.142857142857142</c:v>
                </c:pt>
                <c:pt idx="918">
                  <c:v>0.44642857142857145</c:v>
                </c:pt>
                <c:pt idx="919">
                  <c:v>1.1849315068493151</c:v>
                </c:pt>
                <c:pt idx="920">
                  <c:v>0.42857142857142855</c:v>
                </c:pt>
                <c:pt idx="921">
                  <c:v>0.97413793103448276</c:v>
                </c:pt>
                <c:pt idx="922">
                  <c:v>0.3996789727126806</c:v>
                </c:pt>
                <c:pt idx="923">
                  <c:v>0.49881796690307328</c:v>
                </c:pt>
                <c:pt idx="924">
                  <c:v>0.41868512110726641</c:v>
                </c:pt>
                <c:pt idx="925">
                  <c:v>0.40909090909090912</c:v>
                </c:pt>
                <c:pt idx="926">
                  <c:v>0.45918367346938777</c:v>
                </c:pt>
                <c:pt idx="927">
                  <c:v>0.40689655172413791</c:v>
                </c:pt>
                <c:pt idx="928">
                  <c:v>0.44565217391304346</c:v>
                </c:pt>
                <c:pt idx="929">
                  <c:v>0.41964285714285715</c:v>
                </c:pt>
                <c:pt idx="930">
                  <c:v>0.49862258953168043</c:v>
                </c:pt>
                <c:pt idx="931">
                  <c:v>0.46</c:v>
                </c:pt>
                <c:pt idx="932">
                  <c:v>0.4140625</c:v>
                </c:pt>
                <c:pt idx="933">
                  <c:v>0.40384615384615385</c:v>
                </c:pt>
                <c:pt idx="934">
                  <c:v>0.38461538461538464</c:v>
                </c:pt>
                <c:pt idx="935">
                  <c:v>0.43722943722943725</c:v>
                </c:pt>
                <c:pt idx="936">
                  <c:v>0.41868512110726641</c:v>
                </c:pt>
                <c:pt idx="937">
                  <c:v>0.4</c:v>
                </c:pt>
                <c:pt idx="938">
                  <c:v>0.4199029126213592</c:v>
                </c:pt>
                <c:pt idx="939">
                  <c:v>0.44</c:v>
                </c:pt>
                <c:pt idx="940">
                  <c:v>0.40647482014388492</c:v>
                </c:pt>
                <c:pt idx="941">
                  <c:v>0.42857142857142855</c:v>
                </c:pt>
                <c:pt idx="942">
                  <c:v>0.49881796690307328</c:v>
                </c:pt>
                <c:pt idx="943">
                  <c:v>0.39593908629441626</c:v>
                </c:pt>
                <c:pt idx="944">
                  <c:v>7.65625</c:v>
                </c:pt>
                <c:pt idx="945">
                  <c:v>0.41632653061224489</c:v>
                </c:pt>
                <c:pt idx="946">
                  <c:v>1.1666666666666667</c:v>
                </c:pt>
                <c:pt idx="947">
                  <c:v>0.42881944444444442</c:v>
                </c:pt>
                <c:pt idx="948">
                  <c:v>1.2450980392156863</c:v>
                </c:pt>
                <c:pt idx="949">
                  <c:v>0.39914163090128757</c:v>
                </c:pt>
                <c:pt idx="950">
                  <c:v>0.49900199600798401</c:v>
                </c:pt>
                <c:pt idx="951">
                  <c:v>0.41925465838509318</c:v>
                </c:pt>
                <c:pt idx="952">
                  <c:v>0.40952380952380951</c:v>
                </c:pt>
                <c:pt idx="953">
                  <c:v>0.45904761904761904</c:v>
                </c:pt>
                <c:pt idx="954">
                  <c:v>0.40728476821192056</c:v>
                </c:pt>
                <c:pt idx="955">
                  <c:v>0.44444444444444442</c:v>
                </c:pt>
                <c:pt idx="956">
                  <c:v>0.42</c:v>
                </c:pt>
                <c:pt idx="957">
                  <c:v>0.5</c:v>
                </c:pt>
                <c:pt idx="958">
                  <c:v>0.45454545454545453</c:v>
                </c:pt>
                <c:pt idx="959">
                  <c:v>0.45323741007194246</c:v>
                </c:pt>
                <c:pt idx="960">
                  <c:v>0.40909090909090912</c:v>
                </c:pt>
                <c:pt idx="961">
                  <c:v>0.3902439024390244</c:v>
                </c:pt>
                <c:pt idx="962">
                  <c:v>0.43925233644859812</c:v>
                </c:pt>
                <c:pt idx="963">
                  <c:v>0.41925465838509318</c:v>
                </c:pt>
                <c:pt idx="964">
                  <c:v>0.39792387543252594</c:v>
                </c:pt>
                <c:pt idx="965">
                  <c:v>0.41947565543071164</c:v>
                </c:pt>
                <c:pt idx="966">
                  <c:v>0.43783783783783786</c:v>
                </c:pt>
                <c:pt idx="967">
                  <c:v>0.40705128205128205</c:v>
                </c:pt>
                <c:pt idx="968">
                  <c:v>0.42881944444444442</c:v>
                </c:pt>
                <c:pt idx="969">
                  <c:v>0.49900199600798401</c:v>
                </c:pt>
                <c:pt idx="970">
                  <c:v>0.39819004524886875</c:v>
                </c:pt>
                <c:pt idx="971">
                  <c:v>9.4838709677419359</c:v>
                </c:pt>
                <c:pt idx="972">
                  <c:v>0.41875000000000001</c:v>
                </c:pt>
                <c:pt idx="973">
                  <c:v>0.44444444444444442</c:v>
                </c:pt>
                <c:pt idx="974">
                  <c:v>1.1079136690647482</c:v>
                </c:pt>
                <c:pt idx="975">
                  <c:v>0.40345368916797486</c:v>
                </c:pt>
                <c:pt idx="976">
                  <c:v>1.0517241379310345</c:v>
                </c:pt>
                <c:pt idx="977">
                  <c:v>0.37518037518037517</c:v>
                </c:pt>
                <c:pt idx="978">
                  <c:v>0.46954813359528486</c:v>
                </c:pt>
                <c:pt idx="979">
                  <c:v>0.39308176100628933</c:v>
                </c:pt>
                <c:pt idx="980">
                  <c:v>0.38297872340425532</c:v>
                </c:pt>
                <c:pt idx="981">
                  <c:v>0.43140794223826717</c:v>
                </c:pt>
                <c:pt idx="982">
                  <c:v>0.38198757763975155</c:v>
                </c:pt>
                <c:pt idx="983">
                  <c:v>0.37719298245614036</c:v>
                </c:pt>
                <c:pt idx="984">
                  <c:v>0.41798941798941797</c:v>
                </c:pt>
                <c:pt idx="985">
                  <c:v>0.39183673469387753</c:v>
                </c:pt>
                <c:pt idx="986">
                  <c:v>0.46938775510204084</c:v>
                </c:pt>
                <c:pt idx="987">
                  <c:v>0.43243243243243246</c:v>
                </c:pt>
                <c:pt idx="988">
                  <c:v>0.3923076923076923</c:v>
                </c:pt>
                <c:pt idx="989">
                  <c:v>0.43046357615894038</c:v>
                </c:pt>
                <c:pt idx="990">
                  <c:v>0.39215686274509803</c:v>
                </c:pt>
                <c:pt idx="991">
                  <c:v>0.39830508474576271</c:v>
                </c:pt>
                <c:pt idx="992">
                  <c:v>0.38202247191011235</c:v>
                </c:pt>
                <c:pt idx="993">
                  <c:v>0.40740740740740738</c:v>
                </c:pt>
                <c:pt idx="994">
                  <c:v>0.38181818181818183</c:v>
                </c:pt>
                <c:pt idx="995">
                  <c:v>0.41035856573705182</c:v>
                </c:pt>
                <c:pt idx="996">
                  <c:v>0.39308176100628933</c:v>
                </c:pt>
                <c:pt idx="997">
                  <c:v>0.37425149700598803</c:v>
                </c:pt>
                <c:pt idx="998">
                  <c:v>0.39386189258312021</c:v>
                </c:pt>
                <c:pt idx="999">
                  <c:v>0.41284403669724773</c:v>
                </c:pt>
                <c:pt idx="1000">
                  <c:v>0.38364779874213839</c:v>
                </c:pt>
                <c:pt idx="1001">
                  <c:v>0.74137931034482762</c:v>
                </c:pt>
                <c:pt idx="1002">
                  <c:v>0.40345368916797486</c:v>
                </c:pt>
                <c:pt idx="1003">
                  <c:v>0.375</c:v>
                </c:pt>
                <c:pt idx="1004">
                  <c:v>0.46954813359528486</c:v>
                </c:pt>
                <c:pt idx="1005">
                  <c:v>11.590909090909092</c:v>
                </c:pt>
                <c:pt idx="1006">
                  <c:v>0.41666666666666669</c:v>
                </c:pt>
                <c:pt idx="1007">
                  <c:v>1.108974358974359</c:v>
                </c:pt>
                <c:pt idx="1008">
                  <c:v>0.40211640211640209</c:v>
                </c:pt>
                <c:pt idx="1009">
                  <c:v>0.91129032258064513</c:v>
                </c:pt>
                <c:pt idx="1010">
                  <c:v>0.375</c:v>
                </c:pt>
                <c:pt idx="1011">
                  <c:v>0.46784922394678491</c:v>
                </c:pt>
                <c:pt idx="1012">
                  <c:v>0.39285714285714285</c:v>
                </c:pt>
                <c:pt idx="1013">
                  <c:v>0.38388625592417064</c:v>
                </c:pt>
                <c:pt idx="1014">
                  <c:v>0.43103448275862066</c:v>
                </c:pt>
                <c:pt idx="1015">
                  <c:v>0.3818770226537217</c:v>
                </c:pt>
                <c:pt idx="1016">
                  <c:v>0.41836734693877553</c:v>
                </c:pt>
                <c:pt idx="1017">
                  <c:v>0.39330543933054396</c:v>
                </c:pt>
                <c:pt idx="1018">
                  <c:v>0.46770025839793283</c:v>
                </c:pt>
                <c:pt idx="1019">
                  <c:v>0.43125000000000002</c:v>
                </c:pt>
                <c:pt idx="1020">
                  <c:v>0.38970588235294118</c:v>
                </c:pt>
                <c:pt idx="1021">
                  <c:v>0.37951807228915663</c:v>
                </c:pt>
                <c:pt idx="1022">
                  <c:v>0.35714285714285715</c:v>
                </c:pt>
                <c:pt idx="1023">
                  <c:v>0.41056910569105692</c:v>
                </c:pt>
                <c:pt idx="1024">
                  <c:v>0.39285714285714285</c:v>
                </c:pt>
                <c:pt idx="1025">
                  <c:v>0.37572254335260113</c:v>
                </c:pt>
                <c:pt idx="1026">
                  <c:v>0.39407744874715261</c:v>
                </c:pt>
                <c:pt idx="1027">
                  <c:v>0.41314553990610331</c:v>
                </c:pt>
                <c:pt idx="1028">
                  <c:v>0.38175675675675674</c:v>
                </c:pt>
                <c:pt idx="1029">
                  <c:v>0.40211640211640209</c:v>
                </c:pt>
                <c:pt idx="1030">
                  <c:v>0.46784922394678491</c:v>
                </c:pt>
                <c:pt idx="1031">
                  <c:v>0.37142857142857144</c:v>
                </c:pt>
                <c:pt idx="1032">
                  <c:v>7.2058823529411766</c:v>
                </c:pt>
                <c:pt idx="1033">
                  <c:v>0.39080459770114945</c:v>
                </c:pt>
                <c:pt idx="1034">
                  <c:v>1.0926829268292684</c:v>
                </c:pt>
                <c:pt idx="1035">
                  <c:v>0.40228013029315962</c:v>
                </c:pt>
                <c:pt idx="1036">
                  <c:v>1.165137614678899</c:v>
                </c:pt>
                <c:pt idx="1037">
                  <c:v>0.37449664429530199</c:v>
                </c:pt>
                <c:pt idx="1038">
                  <c:v>0.46816479400749061</c:v>
                </c:pt>
                <c:pt idx="1039">
                  <c:v>0.39358600583090381</c:v>
                </c:pt>
                <c:pt idx="1040">
                  <c:v>0.38392857142857145</c:v>
                </c:pt>
                <c:pt idx="1041">
                  <c:v>0.43112701252236135</c:v>
                </c:pt>
                <c:pt idx="1042">
                  <c:v>0.38198757763975155</c:v>
                </c:pt>
                <c:pt idx="1043">
                  <c:v>0.41717791411042943</c:v>
                </c:pt>
                <c:pt idx="1044">
                  <c:v>0.39473684210526316</c:v>
                </c:pt>
                <c:pt idx="1045">
                  <c:v>0.46932515337423314</c:v>
                </c:pt>
                <c:pt idx="1046">
                  <c:v>0.42553191489361702</c:v>
                </c:pt>
                <c:pt idx="1047">
                  <c:v>0.42567567567567566</c:v>
                </c:pt>
                <c:pt idx="1048">
                  <c:v>0.38297872340425532</c:v>
                </c:pt>
                <c:pt idx="1049">
                  <c:v>0.36363636363636365</c:v>
                </c:pt>
                <c:pt idx="1050">
                  <c:v>0.41228070175438597</c:v>
                </c:pt>
                <c:pt idx="1051">
                  <c:v>0.39358600583090381</c:v>
                </c:pt>
                <c:pt idx="1052">
                  <c:v>0.37337662337662336</c:v>
                </c:pt>
                <c:pt idx="1053">
                  <c:v>0.39367311072056238</c:v>
                </c:pt>
                <c:pt idx="1054">
                  <c:v>0.41116751269035534</c:v>
                </c:pt>
                <c:pt idx="1055">
                  <c:v>0.38253012048192769</c:v>
                </c:pt>
                <c:pt idx="1056">
                  <c:v>0.40228013029315962</c:v>
                </c:pt>
                <c:pt idx="1057">
                  <c:v>0.46816479400749061</c:v>
                </c:pt>
                <c:pt idx="1058">
                  <c:v>0.3728813559322034</c:v>
                </c:pt>
                <c:pt idx="1059">
                  <c:v>8.9090909090909083</c:v>
                </c:pt>
                <c:pt idx="1060">
                  <c:v>0.39296187683284456</c:v>
                </c:pt>
                <c:pt idx="1061">
                  <c:v>0.41666666666666669</c:v>
                </c:pt>
              </c:numCache>
            </c:numRef>
          </c:yVal>
          <c:smooth val="0"/>
          <c:extLst>
            <c:ext xmlns:c16="http://schemas.microsoft.com/office/drawing/2014/chart" uri="{C3380CC4-5D6E-409C-BE32-E72D297353CC}">
              <c16:uniqueId val="{00000000-C52A-4F0A-9B22-9E87238130C7}"/>
            </c:ext>
          </c:extLst>
        </c:ser>
        <c:dLbls>
          <c:showLegendKey val="0"/>
          <c:showVal val="0"/>
          <c:showCatName val="0"/>
          <c:showSerName val="0"/>
          <c:showPercent val="0"/>
          <c:showBubbleSize val="0"/>
        </c:dLbls>
        <c:axId val="400181840"/>
        <c:axId val="400167440"/>
      </c:scatterChart>
      <c:valAx>
        <c:axId val="4001818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167440"/>
        <c:crosses val="autoZero"/>
        <c:crossBetween val="midCat"/>
      </c:valAx>
      <c:valAx>
        <c:axId val="400167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1818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[Coffee__Chain___Sales__.xlsx]Sales &amp; Profit Analysis!PivotTable6</c:name>
    <c:fmtId val="6"/>
  </c:pivotSource>
  <c:chart>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w="9525">
              <a:solidFill>
                <a:schemeClr val="accent4">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9525">
              <a:solidFill>
                <a:schemeClr val="accent4">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&amp; Profit Analysis'!$B$3</c:f>
              <c:strCache>
                <c:ptCount val="1"/>
                <c:pt idx="0">
                  <c:v>Sum of Profit</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&amp; Profit Analysis'!$A$4:$A$8</c:f>
              <c:strCache>
                <c:ptCount val="4"/>
                <c:pt idx="0">
                  <c:v>West</c:v>
                </c:pt>
                <c:pt idx="1">
                  <c:v>Central</c:v>
                </c:pt>
                <c:pt idx="2">
                  <c:v>East</c:v>
                </c:pt>
                <c:pt idx="3">
                  <c:v>South</c:v>
                </c:pt>
              </c:strCache>
            </c:strRef>
          </c:cat>
          <c:val>
            <c:numRef>
              <c:f>'Sales &amp; Profit Analysis'!$B$4:$B$8</c:f>
              <c:numCache>
                <c:formatCode>_("$"* #,##0.00_);_("$"* \(#,##0.00\);_("$"* "-"??_);_(@_)</c:formatCode>
                <c:ptCount val="4"/>
                <c:pt idx="0">
                  <c:v>18269</c:v>
                </c:pt>
                <c:pt idx="1">
                  <c:v>22901</c:v>
                </c:pt>
                <c:pt idx="2">
                  <c:v>14745</c:v>
                </c:pt>
                <c:pt idx="3">
                  <c:v>8396</c:v>
                </c:pt>
              </c:numCache>
            </c:numRef>
          </c:val>
          <c:extLst>
            <c:ext xmlns:c16="http://schemas.microsoft.com/office/drawing/2014/chart" uri="{C3380CC4-5D6E-409C-BE32-E72D297353CC}">
              <c16:uniqueId val="{00000000-2C04-4B87-9EA8-773ABF3D8DD9}"/>
            </c:ext>
          </c:extLst>
        </c:ser>
        <c:ser>
          <c:idx val="1"/>
          <c:order val="1"/>
          <c:tx>
            <c:strRef>
              <c:f>'Sales &amp; Profit Analysis'!$C$3</c:f>
              <c:strCache>
                <c:ptCount val="1"/>
                <c:pt idx="0">
                  <c:v>Sum of Sales</c:v>
                </c:pt>
              </c:strCache>
            </c:strRef>
          </c:tx>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&amp; Profit Analysis'!$A$4:$A$8</c:f>
              <c:strCache>
                <c:ptCount val="4"/>
                <c:pt idx="0">
                  <c:v>West</c:v>
                </c:pt>
                <c:pt idx="1">
                  <c:v>Central</c:v>
                </c:pt>
                <c:pt idx="2">
                  <c:v>East</c:v>
                </c:pt>
                <c:pt idx="3">
                  <c:v>South</c:v>
                </c:pt>
              </c:strCache>
            </c:strRef>
          </c:cat>
          <c:val>
            <c:numRef>
              <c:f>'Sales &amp; Profit Analysis'!$C$4:$C$8</c:f>
              <c:numCache>
                <c:formatCode>_("$"* #,##0.00_);_("$"* \(#,##0.00\);_("$"* "-"??_);_(@_)</c:formatCode>
                <c:ptCount val="4"/>
                <c:pt idx="0">
                  <c:v>67418</c:v>
                </c:pt>
                <c:pt idx="1">
                  <c:v>64981</c:v>
                </c:pt>
                <c:pt idx="2">
                  <c:v>44108</c:v>
                </c:pt>
                <c:pt idx="3">
                  <c:v>26388</c:v>
                </c:pt>
              </c:numCache>
            </c:numRef>
          </c:val>
          <c:extLst>
            <c:ext xmlns:c16="http://schemas.microsoft.com/office/drawing/2014/chart" uri="{C3380CC4-5D6E-409C-BE32-E72D297353CC}">
              <c16:uniqueId val="{00000001-2C04-4B87-9EA8-773ABF3D8DD9}"/>
            </c:ext>
          </c:extLst>
        </c:ser>
        <c:dLbls>
          <c:showLegendKey val="0"/>
          <c:showVal val="0"/>
          <c:showCatName val="0"/>
          <c:showSerName val="0"/>
          <c:showPercent val="0"/>
          <c:showBubbleSize val="0"/>
        </c:dLbls>
        <c:gapWidth val="100"/>
        <c:overlap val="-24"/>
        <c:axId val="2050888544"/>
        <c:axId val="2050886144"/>
      </c:barChart>
      <c:catAx>
        <c:axId val="20508885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50886144"/>
        <c:crosses val="autoZero"/>
        <c:auto val="1"/>
        <c:lblAlgn val="ctr"/>
        <c:lblOffset val="100"/>
        <c:noMultiLvlLbl val="0"/>
      </c:catAx>
      <c:valAx>
        <c:axId val="2050886144"/>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5088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[Coffee__Chain___Sales__.xlsx]Sales &amp; Profit Analysis!PivotTable7</c:name>
    <c:fmtId val="5"/>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00652418447693"/>
          <c:y val="0.18300653594771241"/>
          <c:w val="0.41838290213723284"/>
          <c:h val="0.55400957233287018"/>
        </c:manualLayout>
      </c:layout>
      <c:lineChart>
        <c:grouping val="standard"/>
        <c:varyColors val="0"/>
        <c:ser>
          <c:idx val="0"/>
          <c:order val="0"/>
          <c:tx>
            <c:strRef>
              <c:f>'Sales &amp; Profit Analysis'!$B$14</c:f>
              <c:strCache>
                <c:ptCount val="1"/>
                <c:pt idx="0">
                  <c:v>Sum of Sales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'Sales &amp; Profit Analysis'!$A$15:$A$27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&amp; Profit Analysis'!$B$15:$B$27</c:f>
              <c:numCache>
                <c:formatCode>_("$"* #,##0.00_);_("$"* \(#,##0.00\);_("$"* "-"??_);_(@_)</c:formatCode>
                <c:ptCount val="12"/>
                <c:pt idx="0">
                  <c:v>14651</c:v>
                </c:pt>
                <c:pt idx="1">
                  <c:v>15546</c:v>
                </c:pt>
                <c:pt idx="2">
                  <c:v>16321</c:v>
                </c:pt>
                <c:pt idx="3">
                  <c:v>16892</c:v>
                </c:pt>
                <c:pt idx="4">
                  <c:v>18247</c:v>
                </c:pt>
                <c:pt idx="5">
                  <c:v>17924</c:v>
                </c:pt>
                <c:pt idx="6">
                  <c:v>21028</c:v>
                </c:pt>
                <c:pt idx="7">
                  <c:v>21533</c:v>
                </c:pt>
                <c:pt idx="8">
                  <c:v>14283</c:v>
                </c:pt>
                <c:pt idx="9">
                  <c:v>16637</c:v>
                </c:pt>
                <c:pt idx="10">
                  <c:v>15397</c:v>
                </c:pt>
                <c:pt idx="11">
                  <c:v>14436</c:v>
                </c:pt>
              </c:numCache>
            </c:numRef>
          </c:val>
          <c:smooth val="0"/>
          <c:extLst>
            <c:ext xmlns:c16="http://schemas.microsoft.com/office/drawing/2014/chart" uri="{C3380CC4-5D6E-409C-BE32-E72D297353CC}">
              <c16:uniqueId val="{00000000-3E47-4766-AD08-D561E36ACE61}"/>
            </c:ext>
          </c:extLst>
        </c:ser>
        <c:ser>
          <c:idx val="1"/>
          <c:order val="1"/>
          <c:tx>
            <c:strRef>
              <c:f>'Sales &amp; Profit Analysis'!$C$14</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'Sales &amp; Profit Analysis'!$A$15:$A$27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&amp; Profit Analysis'!$C$15:$C$27</c:f>
              <c:numCache>
                <c:formatCode>_("$"* #,##0.00_);_("$"* \(#,##0.00\);_("$"* "-"??_);_(@_)</c:formatCode>
                <c:ptCount val="12"/>
                <c:pt idx="0">
                  <c:v>5529</c:v>
                </c:pt>
                <c:pt idx="1">
                  <c:v>5956</c:v>
                </c:pt>
                <c:pt idx="2">
                  <c:v>4686</c:v>
                </c:pt>
                <c:pt idx="3">
                  <c:v>4525</c:v>
                </c:pt>
                <c:pt idx="4">
                  <c:v>4817</c:v>
                </c:pt>
                <c:pt idx="5">
                  <c:v>6230</c:v>
                </c:pt>
                <c:pt idx="6">
                  <c:v>5683</c:v>
                </c:pt>
                <c:pt idx="7">
                  <c:v>7888</c:v>
                </c:pt>
                <c:pt idx="8">
                  <c:v>4802</c:v>
                </c:pt>
                <c:pt idx="9">
                  <c:v>4768</c:v>
                </c:pt>
                <c:pt idx="10">
                  <c:v>4661</c:v>
                </c:pt>
                <c:pt idx="11">
                  <c:v>4766</c:v>
                </c:pt>
              </c:numCache>
            </c:numRef>
          </c:val>
          <c:smooth val="0"/>
          <c:extLst>
            <c:ext xmlns:c16="http://schemas.microsoft.com/office/drawing/2014/chart" uri="{C3380CC4-5D6E-409C-BE32-E72D297353CC}">
              <c16:uniqueId val="{00000001-3E47-4766-AD08-D561E36ACE61}"/>
            </c:ext>
          </c:extLst>
        </c:ser>
        <c:dLbls>
          <c:showLegendKey val="0"/>
          <c:showVal val="0"/>
          <c:showCatName val="0"/>
          <c:showSerName val="0"/>
          <c:showPercent val="0"/>
          <c:showBubbleSize val="0"/>
        </c:dLbls>
        <c:marker val="1"/>
        <c:smooth val="0"/>
        <c:axId val="2065426288"/>
        <c:axId val="2065425328"/>
      </c:lineChart>
      <c:catAx>
        <c:axId val="206542628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65425328"/>
        <c:crosses val="autoZero"/>
        <c:auto val="1"/>
        <c:lblAlgn val="ctr"/>
        <c:lblOffset val="100"/>
        <c:noMultiLvlLbl val="0"/>
      </c:catAx>
      <c:valAx>
        <c:axId val="2065425328"/>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65426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[Coffee__Chain___Sales__.xlsx]Product Performance Analysis!PivotTable4</c:name>
    <c:fmtId val="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Performance Analysis'!$B$3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Performance Analysis'!$A$4:$A$17</c:f>
              <c:strCache>
                <c:ptCount val="13"/>
                <c:pt idx="0">
                  <c:v>Colombian</c:v>
                </c:pt>
                <c:pt idx="1">
                  <c:v>Lemon</c:v>
                </c:pt>
                <c:pt idx="2">
                  <c:v>Caffe Mocha</c:v>
                </c:pt>
                <c:pt idx="3">
                  <c:v>Chamomile</c:v>
                </c:pt>
                <c:pt idx="4">
                  <c:v>Decaf Espresso</c:v>
                </c:pt>
                <c:pt idx="5">
                  <c:v>Darjeeling</c:v>
                </c:pt>
                <c:pt idx="6">
                  <c:v>Earl Grey</c:v>
                </c:pt>
                <c:pt idx="7">
                  <c:v>Decaf Irish Cream</c:v>
                </c:pt>
                <c:pt idx="8">
                  <c:v>Caffe Latte</c:v>
                </c:pt>
                <c:pt idx="9">
                  <c:v>Green Tea</c:v>
                </c:pt>
                <c:pt idx="10">
                  <c:v>Mint</c:v>
                </c:pt>
                <c:pt idx="11">
                  <c:v>Amaretto</c:v>
                </c:pt>
                <c:pt idx="12">
                  <c:v>Regular Espresso</c:v>
                </c:pt>
              </c:strCache>
            </c:strRef>
          </c:cat>
          <c:val>
            <c:numRef>
              <c:f>'Product Performance Analysis'!$B$4:$B$17</c:f>
              <c:numCache>
                <c:formatCode>_("$"* #,##0.00_);_("$"* \(#,##0.00\);_("$"* "-"??_);_(@_)</c:formatCode>
                <c:ptCount val="13"/>
                <c:pt idx="0">
                  <c:v>30761</c:v>
                </c:pt>
                <c:pt idx="1">
                  <c:v>24048</c:v>
                </c:pt>
                <c:pt idx="2">
                  <c:v>21716</c:v>
                </c:pt>
                <c:pt idx="3">
                  <c:v>19295</c:v>
                </c:pt>
                <c:pt idx="4">
                  <c:v>18888</c:v>
                </c:pt>
                <c:pt idx="5">
                  <c:v>17758</c:v>
                </c:pt>
                <c:pt idx="6">
                  <c:v>16546</c:v>
                </c:pt>
                <c:pt idx="7">
                  <c:v>14831</c:v>
                </c:pt>
                <c:pt idx="8">
                  <c:v>8665</c:v>
                </c:pt>
                <c:pt idx="9">
                  <c:v>8520</c:v>
                </c:pt>
                <c:pt idx="10">
                  <c:v>8342</c:v>
                </c:pt>
                <c:pt idx="11">
                  <c:v>6781</c:v>
                </c:pt>
                <c:pt idx="12">
                  <c:v>6744</c:v>
                </c:pt>
              </c:numCache>
            </c:numRef>
          </c:val>
          <c:extLst>
            <c:ext xmlns:c16="http://schemas.microsoft.com/office/drawing/2014/chart" uri="{C3380CC4-5D6E-409C-BE32-E72D297353CC}">
              <c16:uniqueId val="{00000000-FE93-419E-AF94-615BACCB8F9D}"/>
            </c:ext>
          </c:extLst>
        </c:ser>
        <c:dLbls>
          <c:showLegendKey val="0"/>
          <c:showVal val="0"/>
          <c:showCatName val="0"/>
          <c:showSerName val="0"/>
          <c:showPercent val="0"/>
          <c:showBubbleSize val="0"/>
        </c:dLbls>
        <c:gapWidth val="100"/>
        <c:overlap val="-24"/>
        <c:axId val="1901158160"/>
        <c:axId val="1901157680"/>
      </c:barChart>
      <c:catAx>
        <c:axId val="19011581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01157680"/>
        <c:crosses val="autoZero"/>
        <c:auto val="1"/>
        <c:lblAlgn val="ctr"/>
        <c:lblOffset val="100"/>
        <c:noMultiLvlLbl val="0"/>
      </c:catAx>
      <c:valAx>
        <c:axId val="1901157680"/>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0115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[Coffee__Chain___Sales__.xlsx]Product Performance Analysis!PivotTable5</c:name>
    <c:fmtId val="6"/>
  </c:pivotSource>
  <c:chart>
    <c:autoTitleDeleted val="1"/>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555555555555556"/>
              <c:y val="-5.09259259259259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444444444444443"/>
              <c:y val="-2.77777777777778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11111111111111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833333333333333"/>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555555555555556"/>
              <c:y val="-5.09259259259259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833333333333333"/>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11111111111111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444444444444443"/>
              <c:y val="-2.77777777777778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555555555555556"/>
              <c:y val="-5.09259259259259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833333333333333"/>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11111111111111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444444444444443"/>
              <c:y val="-2.77777777777778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'Product Performance Analysis'!$B$20</c:f>
              <c:strCache>
                <c:ptCount val="1"/>
                <c:pt idx="0">
                  <c:v>Total</c:v>
                </c:pt>
              </c:strCache>
            </c:strRef>
          </c:tx>
          <c:dPt>
            <c:idx val="0"/>
            <c:bubble3D val="0"/>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2DE-4A0A-B1D6-835E66F827E3}"/>
              </c:ext>
            </c:extLst>
          </c:dPt>
          <c:dPt>
            <c:idx val="1"/>
            <c:bubble3D val="0"/>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2DE-4A0A-B1D6-835E66F827E3}"/>
              </c:ext>
            </c:extLst>
          </c:dPt>
          <c:dPt>
            <c:idx val="2"/>
            <c:bubble3D val="0"/>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2DE-4A0A-B1D6-835E66F827E3}"/>
              </c:ext>
            </c:extLst>
          </c:dPt>
          <c:dPt>
            <c:idx val="3"/>
            <c:bubble3D val="0"/>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2DE-4A0A-B1D6-835E66F827E3}"/>
              </c:ext>
            </c:extLst>
          </c:dPt>
          <c:dLbls>
            <c:dLbl>
              <c:idx val="0"/>
              <c:layout>
                <c:manualLayout>
                  <c:x val="0.10555555555555556"/>
                  <c:y val="-5.09259259259259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2DE-4A0A-B1D6-835E66F827E3}"/>
                </c:ext>
              </c:extLst>
            </c:dLbl>
            <c:dLbl>
              <c:idx val="1"/>
              <c:layout>
                <c:manualLayout>
                  <c:x val="0.15833333333333333"/>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2DE-4A0A-B1D6-835E66F827E3}"/>
                </c:ext>
              </c:extLst>
            </c:dLbl>
            <c:dLbl>
              <c:idx val="2"/>
              <c:layout>
                <c:manualLayout>
                  <c:x val="-0.1611111111111111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2DE-4A0A-B1D6-835E66F827E3}"/>
                </c:ext>
              </c:extLst>
            </c:dLbl>
            <c:dLbl>
              <c:idx val="3"/>
              <c:layout>
                <c:manualLayout>
                  <c:x val="-0.14444444444444443"/>
                  <c:y val="-2.77777777777778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2DE-4A0A-B1D6-835E66F827E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'Product Performance Analysis'!$A$21:$A$25</c:f>
              <c:strCache>
                <c:ptCount val="4"/>
                <c:pt idx="0">
                  <c:v>Espresso</c:v>
                </c:pt>
                <c:pt idx="1">
                  <c:v>Coffee</c:v>
                </c:pt>
                <c:pt idx="2">
                  <c:v>Herbal Tea</c:v>
                </c:pt>
                <c:pt idx="3">
                  <c:v>Tea</c:v>
                </c:pt>
              </c:strCache>
            </c:strRef>
          </c:cat>
          <c:val>
            <c:numRef>
              <c:f>'Product Performance Analysis'!$B$21:$B$25</c:f>
              <c:numCache>
                <c:formatCode>_("$"* #,##0.00_);_("$"* \(#,##0.00\);_("$"* "-"??_);_(@_)</c:formatCode>
                <c:ptCount val="4"/>
                <c:pt idx="0">
                  <c:v>56013</c:v>
                </c:pt>
                <c:pt idx="1">
                  <c:v>52373</c:v>
                </c:pt>
                <c:pt idx="2">
                  <c:v>51685</c:v>
                </c:pt>
                <c:pt idx="3">
                  <c:v>42824</c:v>
                </c:pt>
              </c:numCache>
            </c:numRef>
          </c:val>
          <c:extLst>
            <c:ext xmlns:c16="http://schemas.microsoft.com/office/drawing/2014/chart" uri="{C3380CC4-5D6E-409C-BE32-E72D297353CC}">
              <c16:uniqueId val="{00000008-B2DE-4A0A-B1D6-835E66F827E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552450</xdr:colOff>
      <xdr:row>2</xdr:row>
      <xdr:rowOff>19050</xdr:rowOff>
    </xdr:from>
    <xdr:to>
      <xdr:col>9</xdr:col>
      <xdr:colOff>247650</xdr:colOff>
      <xdr:row>16</xdr:row>
      <xdr:rowOff>95250</xdr:rowOff>
    </xdr:to>
    <xdr:graphicFrame macro="">
      <xdr:nvGraphicFramePr>
        <xdr:cNvPr id="2" name="Chart 1">
          <a:extLst>
            <a:ext uri="{FF2B5EF4-FFF2-40B4-BE49-F238E27FC236}">
              <a16:creationId xmlns:a16="http://schemas.microsoft.com/office/drawing/2014/main" id="{83E4B039-4A4A-46AE-BA0B-5CB7C3C4B7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142875</xdr:colOff>
      <xdr:row>0</xdr:row>
      <xdr:rowOff>57150</xdr:rowOff>
    </xdr:from>
    <xdr:to>
      <xdr:col>16</xdr:col>
      <xdr:colOff>247650</xdr:colOff>
      <xdr:row>3</xdr:row>
      <xdr:rowOff>66675</xdr:rowOff>
    </xdr:to>
    <xdr:sp macro="" textlink="">
      <xdr:nvSpPr>
        <xdr:cNvPr id="2" name="Rectangle: Rounded Corners 1">
          <a:extLst>
            <a:ext uri="{FF2B5EF4-FFF2-40B4-BE49-F238E27FC236}">
              <a16:creationId xmlns:a16="http://schemas.microsoft.com/office/drawing/2014/main" id="{92EFEBEF-7C64-5CF4-11CA-7F9F2920A614}"/>
            </a:ext>
          </a:extLst>
        </xdr:cNvPr>
        <xdr:cNvSpPr/>
      </xdr:nvSpPr>
      <xdr:spPr>
        <a:xfrm>
          <a:off x="2581275" y="57150"/>
          <a:ext cx="7419975" cy="58102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US" sz="2400">
              <a:solidFill>
                <a:schemeClr val="accent1"/>
              </a:solidFill>
              <a:latin typeface="Arial Rounded MT Bold" panose="020F0704030504030204" pitchFamily="34" charset="0"/>
            </a:rPr>
            <a:t>Coffee</a:t>
          </a:r>
          <a:r>
            <a:rPr lang="en-US" sz="2400" baseline="0">
              <a:solidFill>
                <a:schemeClr val="accent1"/>
              </a:solidFill>
              <a:latin typeface="Arial Rounded MT Bold" panose="020F0704030504030204" pitchFamily="34" charset="0"/>
            </a:rPr>
            <a:t> Chain Sales Analytics</a:t>
          </a:r>
          <a:endParaRPr lang="en-US" sz="2400">
            <a:solidFill>
              <a:schemeClr val="accent1"/>
            </a:solidFill>
            <a:latin typeface="Arial Rounded MT Bold" panose="020F0704030504030204" pitchFamily="34" charset="0"/>
          </a:endParaRPr>
        </a:p>
      </xdr:txBody>
    </xdr:sp>
    <xdr:clientData/>
  </xdr:twoCellAnchor>
  <xdr:twoCellAnchor>
    <xdr:from>
      <xdr:col>4</xdr:col>
      <xdr:colOff>142875</xdr:colOff>
      <xdr:row>3</xdr:row>
      <xdr:rowOff>123825</xdr:rowOff>
    </xdr:from>
    <xdr:to>
      <xdr:col>8</xdr:col>
      <xdr:colOff>123826</xdr:colOff>
      <xdr:row>6</xdr:row>
      <xdr:rowOff>133350</xdr:rowOff>
    </xdr:to>
    <xdr:sp macro="" textlink="TotalSales">
      <xdr:nvSpPr>
        <xdr:cNvPr id="3" name="Rectangle: Rounded Corners 2">
          <a:extLst>
            <a:ext uri="{FF2B5EF4-FFF2-40B4-BE49-F238E27FC236}">
              <a16:creationId xmlns:a16="http://schemas.microsoft.com/office/drawing/2014/main" id="{9416ECE9-3811-B3D9-D2BD-C5B2334667DC}"/>
            </a:ext>
          </a:extLst>
        </xdr:cNvPr>
        <xdr:cNvSpPr/>
      </xdr:nvSpPr>
      <xdr:spPr>
        <a:xfrm>
          <a:off x="2581275" y="695325"/>
          <a:ext cx="2419351" cy="58102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US" sz="1200" b="0" i="0" u="none" strike="noStrike">
              <a:solidFill>
                <a:schemeClr val="accent1"/>
              </a:solidFill>
              <a:latin typeface="Arial Rounded MT Bold" panose="020F0704030504030204" pitchFamily="34" charset="0"/>
            </a:rPr>
            <a:t>Total Sales</a:t>
          </a:r>
        </a:p>
        <a:p>
          <a:pPr algn="l"/>
          <a:fld id="{25D527C4-C124-41DA-BD5B-E60723F2EE23}" type="TxLink">
            <a:rPr lang="en-US" sz="1200" b="0" i="0" u="none" strike="noStrike">
              <a:solidFill>
                <a:schemeClr val="accent1"/>
              </a:solidFill>
              <a:latin typeface="Arial Rounded MT Bold" panose="020F0704030504030204" pitchFamily="34" charset="0"/>
            </a:rPr>
            <a:pPr algn="l"/>
            <a:t> $202,895.00 </a:t>
          </a:fld>
          <a:endParaRPr lang="en-US" sz="1200">
            <a:solidFill>
              <a:schemeClr val="accent1"/>
            </a:solidFill>
            <a:latin typeface="Arial Rounded MT Bold" panose="020F0704030504030204" pitchFamily="34" charset="0"/>
          </a:endParaRPr>
        </a:p>
      </xdr:txBody>
    </xdr:sp>
    <xdr:clientData/>
  </xdr:twoCellAnchor>
  <xdr:twoCellAnchor>
    <xdr:from>
      <xdr:col>8</xdr:col>
      <xdr:colOff>190500</xdr:colOff>
      <xdr:row>3</xdr:row>
      <xdr:rowOff>123825</xdr:rowOff>
    </xdr:from>
    <xdr:to>
      <xdr:col>12</xdr:col>
      <xdr:colOff>85725</xdr:colOff>
      <xdr:row>6</xdr:row>
      <xdr:rowOff>133350</xdr:rowOff>
    </xdr:to>
    <xdr:sp macro="" textlink="TotalProfit">
      <xdr:nvSpPr>
        <xdr:cNvPr id="4" name="Rectangle: Rounded Corners 3">
          <a:extLst>
            <a:ext uri="{FF2B5EF4-FFF2-40B4-BE49-F238E27FC236}">
              <a16:creationId xmlns:a16="http://schemas.microsoft.com/office/drawing/2014/main" id="{67C1BF0C-AF84-1CBF-DBE3-66685390BF36}"/>
            </a:ext>
          </a:extLst>
        </xdr:cNvPr>
        <xdr:cNvSpPr/>
      </xdr:nvSpPr>
      <xdr:spPr>
        <a:xfrm>
          <a:off x="5067300" y="695325"/>
          <a:ext cx="2333625" cy="58102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US" sz="1200" b="0" i="0" u="none" strike="noStrike">
              <a:solidFill>
                <a:schemeClr val="accent1"/>
              </a:solidFill>
              <a:latin typeface="Arial Rounded MT Bold" panose="020F0704030504030204" pitchFamily="34" charset="0"/>
            </a:rPr>
            <a:t>Total Profit</a:t>
          </a:r>
        </a:p>
        <a:p>
          <a:pPr algn="l"/>
          <a:fld id="{AE9934D4-F3BB-414B-8090-6052618EAB91}" type="TxLink">
            <a:rPr lang="en-US" sz="1200" b="0" i="0" u="none" strike="noStrike">
              <a:solidFill>
                <a:schemeClr val="accent1"/>
              </a:solidFill>
              <a:latin typeface="Arial Rounded MT Bold" panose="020F0704030504030204" pitchFamily="34" charset="0"/>
            </a:rPr>
            <a:pPr algn="l"/>
            <a:t> $64,311.00 </a:t>
          </a:fld>
          <a:endParaRPr lang="en-US" sz="1200">
            <a:solidFill>
              <a:schemeClr val="accent1"/>
            </a:solidFill>
            <a:latin typeface="Arial Rounded MT Bold" panose="020F0704030504030204" pitchFamily="34" charset="0"/>
          </a:endParaRPr>
        </a:p>
      </xdr:txBody>
    </xdr:sp>
    <xdr:clientData/>
  </xdr:twoCellAnchor>
  <xdr:twoCellAnchor>
    <xdr:from>
      <xdr:col>12</xdr:col>
      <xdr:colOff>133350</xdr:colOff>
      <xdr:row>3</xdr:row>
      <xdr:rowOff>123825</xdr:rowOff>
    </xdr:from>
    <xdr:to>
      <xdr:col>16</xdr:col>
      <xdr:colOff>228600</xdr:colOff>
      <xdr:row>6</xdr:row>
      <xdr:rowOff>133350</xdr:rowOff>
    </xdr:to>
    <xdr:sp macro="" textlink="AveragePM">
      <xdr:nvSpPr>
        <xdr:cNvPr id="5" name="Rectangle: Rounded Corners 4">
          <a:extLst>
            <a:ext uri="{FF2B5EF4-FFF2-40B4-BE49-F238E27FC236}">
              <a16:creationId xmlns:a16="http://schemas.microsoft.com/office/drawing/2014/main" id="{9A215F71-5C10-1520-696A-77964D64470F}"/>
            </a:ext>
          </a:extLst>
        </xdr:cNvPr>
        <xdr:cNvSpPr/>
      </xdr:nvSpPr>
      <xdr:spPr>
        <a:xfrm>
          <a:off x="7448550" y="695325"/>
          <a:ext cx="2533650" cy="58102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US" sz="1200" b="0" i="0" u="none" strike="noStrike">
              <a:solidFill>
                <a:schemeClr val="accent1"/>
              </a:solidFill>
              <a:latin typeface="Arial Rounded MT Bold" panose="020F0704030504030204" pitchFamily="34" charset="0"/>
            </a:rPr>
            <a:t>Average Profit Margin</a:t>
          </a:r>
        </a:p>
        <a:p>
          <a:pPr algn="l"/>
          <a:fld id="{8E337BCE-FB21-45B6-8D3F-BDE78BB0B8CD}" type="TxLink">
            <a:rPr lang="en-US" sz="1200" b="0" i="0" u="none" strike="noStrike">
              <a:solidFill>
                <a:schemeClr val="accent1"/>
              </a:solidFill>
              <a:latin typeface="Arial Rounded MT Bold" panose="020F0704030504030204" pitchFamily="34" charset="0"/>
            </a:rPr>
            <a:pPr algn="l"/>
            <a:t>0.159416287</a:t>
          </a:fld>
          <a:endParaRPr lang="en-US" sz="1200">
            <a:solidFill>
              <a:schemeClr val="accent1"/>
            </a:solidFill>
            <a:latin typeface="Arial Rounded MT Bold" panose="020F0704030504030204" pitchFamily="34" charset="0"/>
          </a:endParaRPr>
        </a:p>
      </xdr:txBody>
    </xdr:sp>
    <xdr:clientData/>
  </xdr:twoCellAnchor>
  <xdr:twoCellAnchor>
    <xdr:from>
      <xdr:col>0</xdr:col>
      <xdr:colOff>9525</xdr:colOff>
      <xdr:row>0</xdr:row>
      <xdr:rowOff>66675</xdr:rowOff>
    </xdr:from>
    <xdr:to>
      <xdr:col>4</xdr:col>
      <xdr:colOff>76200</xdr:colOff>
      <xdr:row>26</xdr:row>
      <xdr:rowOff>142875</xdr:rowOff>
    </xdr:to>
    <xdr:sp macro="" textlink="">
      <xdr:nvSpPr>
        <xdr:cNvPr id="6" name="Rectangle: Rounded Corners 5">
          <a:extLst>
            <a:ext uri="{FF2B5EF4-FFF2-40B4-BE49-F238E27FC236}">
              <a16:creationId xmlns:a16="http://schemas.microsoft.com/office/drawing/2014/main" id="{AAAB6662-DA76-9DEA-0D20-0E3D72AB8E66}"/>
            </a:ext>
          </a:extLst>
        </xdr:cNvPr>
        <xdr:cNvSpPr/>
      </xdr:nvSpPr>
      <xdr:spPr>
        <a:xfrm>
          <a:off x="9525" y="66675"/>
          <a:ext cx="2505075" cy="502920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266700</xdr:colOff>
      <xdr:row>0</xdr:row>
      <xdr:rowOff>0</xdr:rowOff>
    </xdr:from>
    <xdr:to>
      <xdr:col>20</xdr:col>
      <xdr:colOff>333375</xdr:colOff>
      <xdr:row>26</xdr:row>
      <xdr:rowOff>104774</xdr:rowOff>
    </xdr:to>
    <xdr:sp macro="" textlink="">
      <xdr:nvSpPr>
        <xdr:cNvPr id="7" name="Rectangle: Rounded Corners 6">
          <a:extLst>
            <a:ext uri="{FF2B5EF4-FFF2-40B4-BE49-F238E27FC236}">
              <a16:creationId xmlns:a16="http://schemas.microsoft.com/office/drawing/2014/main" id="{97F7ECFD-EB0D-4668-5952-424742DBF323}"/>
            </a:ext>
          </a:extLst>
        </xdr:cNvPr>
        <xdr:cNvSpPr/>
      </xdr:nvSpPr>
      <xdr:spPr>
        <a:xfrm>
          <a:off x="10020300" y="0"/>
          <a:ext cx="2505075" cy="5057774"/>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r>
            <a:rPr lang="en-US" sz="1200"/>
            <a:t>The coffee chain generated </a:t>
          </a:r>
          <a:r>
            <a:rPr lang="en-US" sz="1200" b="1"/>
            <a:t>$202.9K in total profit</a:t>
          </a:r>
          <a:r>
            <a:rPr lang="en-US" sz="1200"/>
            <a:t> with an </a:t>
          </a:r>
          <a:r>
            <a:rPr lang="en-US" sz="1200" b="1"/>
            <a:t>average profit margin of 15.9%</a:t>
          </a:r>
          <a:r>
            <a:rPr lang="en-US" sz="1200"/>
            <a:t>. Performance is largely driven by the </a:t>
          </a:r>
          <a:r>
            <a:rPr lang="en-US" sz="1200" b="1"/>
            <a:t>Central and West markets</a:t>
          </a:r>
          <a:r>
            <a:rPr lang="en-US" sz="1200"/>
            <a:t>, while the </a:t>
          </a:r>
          <a:r>
            <a:rPr lang="en-US" sz="1200" b="1"/>
            <a:t>South market underperforms</a:t>
          </a:r>
          <a:r>
            <a:rPr lang="en-US" sz="1200"/>
            <a:t>, indicating room for targeted improvement. Sales peak mid-year and decline toward year-end, suggesting seasonal effects. </a:t>
          </a:r>
          <a:r>
            <a:rPr lang="en-US" sz="1200" b="1"/>
            <a:t>Coffee and Espresso dominate sales</a:t>
          </a:r>
          <a:r>
            <a:rPr lang="en-US" sz="1200"/>
            <a:t>, highlighting opportunities to optimize or reposition lower-performing product lines to improve overall profitability.</a:t>
          </a:r>
          <a:endParaRPr lang="en-US" sz="1200">
            <a:latin typeface="Arial Rounded MT Bold" panose="020F0704030504030204" pitchFamily="34" charset="0"/>
          </a:endParaRPr>
        </a:p>
      </xdr:txBody>
    </xdr:sp>
    <xdr:clientData/>
  </xdr:twoCellAnchor>
  <xdr:twoCellAnchor>
    <xdr:from>
      <xdr:col>4</xdr:col>
      <xdr:colOff>133350</xdr:colOff>
      <xdr:row>7</xdr:row>
      <xdr:rowOff>0</xdr:rowOff>
    </xdr:from>
    <xdr:to>
      <xdr:col>10</xdr:col>
      <xdr:colOff>19049</xdr:colOff>
      <xdr:row>16</xdr:row>
      <xdr:rowOff>123825</xdr:rowOff>
    </xdr:to>
    <xdr:sp macro="" textlink="">
      <xdr:nvSpPr>
        <xdr:cNvPr id="8" name="Rectangle: Rounded Corners 7">
          <a:extLst>
            <a:ext uri="{FF2B5EF4-FFF2-40B4-BE49-F238E27FC236}">
              <a16:creationId xmlns:a16="http://schemas.microsoft.com/office/drawing/2014/main" id="{C60BD9CF-3459-A557-36B0-8419638AC448}"/>
            </a:ext>
          </a:extLst>
        </xdr:cNvPr>
        <xdr:cNvSpPr/>
      </xdr:nvSpPr>
      <xdr:spPr>
        <a:xfrm>
          <a:off x="2571750" y="1333500"/>
          <a:ext cx="3543299" cy="183832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US" sz="1200">
              <a:solidFill>
                <a:schemeClr val="accent1"/>
              </a:solidFill>
              <a:latin typeface="Arial Rounded MT Bold" panose="020F0704030504030204" pitchFamily="34" charset="0"/>
            </a:rPr>
            <a:t>Sales</a:t>
          </a:r>
          <a:r>
            <a:rPr lang="en-US" sz="1200" baseline="0">
              <a:solidFill>
                <a:schemeClr val="accent1"/>
              </a:solidFill>
              <a:latin typeface="Arial Rounded MT Bold" panose="020F0704030504030204" pitchFamily="34" charset="0"/>
            </a:rPr>
            <a:t> and Profit by Market</a:t>
          </a:r>
          <a:endParaRPr lang="en-US" sz="1200">
            <a:solidFill>
              <a:schemeClr val="accent1"/>
            </a:solidFill>
            <a:latin typeface="Arial Rounded MT Bold" panose="020F0704030504030204" pitchFamily="34" charset="0"/>
          </a:endParaRPr>
        </a:p>
      </xdr:txBody>
    </xdr:sp>
    <xdr:clientData/>
  </xdr:twoCellAnchor>
  <xdr:twoCellAnchor>
    <xdr:from>
      <xdr:col>10</xdr:col>
      <xdr:colOff>123826</xdr:colOff>
      <xdr:row>7</xdr:row>
      <xdr:rowOff>19050</xdr:rowOff>
    </xdr:from>
    <xdr:to>
      <xdr:col>16</xdr:col>
      <xdr:colOff>228600</xdr:colOff>
      <xdr:row>16</xdr:row>
      <xdr:rowOff>142875</xdr:rowOff>
    </xdr:to>
    <xdr:sp macro="" textlink="">
      <xdr:nvSpPr>
        <xdr:cNvPr id="9" name="Rectangle: Rounded Corners 8">
          <a:extLst>
            <a:ext uri="{FF2B5EF4-FFF2-40B4-BE49-F238E27FC236}">
              <a16:creationId xmlns:a16="http://schemas.microsoft.com/office/drawing/2014/main" id="{C5DE6F2D-EA14-33B0-2B0A-61796A885FEE}"/>
            </a:ext>
          </a:extLst>
        </xdr:cNvPr>
        <xdr:cNvSpPr/>
      </xdr:nvSpPr>
      <xdr:spPr>
        <a:xfrm>
          <a:off x="6219826" y="1352550"/>
          <a:ext cx="3762374" cy="183832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US" sz="1200">
              <a:solidFill>
                <a:schemeClr val="accent1"/>
              </a:solidFill>
              <a:latin typeface="Arial Rounded MT Bold" panose="020F0704030504030204" pitchFamily="34" charset="0"/>
            </a:rPr>
            <a:t>Sales and Profit</a:t>
          </a:r>
          <a:r>
            <a:rPr lang="en-US" sz="1200" baseline="0">
              <a:solidFill>
                <a:schemeClr val="accent1"/>
              </a:solidFill>
              <a:latin typeface="Arial Rounded MT Bold" panose="020F0704030504030204" pitchFamily="34" charset="0"/>
            </a:rPr>
            <a:t> Overtime (Months)</a:t>
          </a:r>
          <a:endParaRPr lang="en-US" sz="1200">
            <a:solidFill>
              <a:schemeClr val="accent1"/>
            </a:solidFill>
            <a:latin typeface="Arial Rounded MT Bold" panose="020F0704030504030204" pitchFamily="34" charset="0"/>
          </a:endParaRPr>
        </a:p>
      </xdr:txBody>
    </xdr:sp>
    <xdr:clientData/>
  </xdr:twoCellAnchor>
  <xdr:twoCellAnchor>
    <xdr:from>
      <xdr:col>10</xdr:col>
      <xdr:colOff>123826</xdr:colOff>
      <xdr:row>17</xdr:row>
      <xdr:rowOff>0</xdr:rowOff>
    </xdr:from>
    <xdr:to>
      <xdr:col>16</xdr:col>
      <xdr:colOff>228600</xdr:colOff>
      <xdr:row>26</xdr:row>
      <xdr:rowOff>123825</xdr:rowOff>
    </xdr:to>
    <xdr:sp macro="" textlink="">
      <xdr:nvSpPr>
        <xdr:cNvPr id="10" name="Rectangle: Rounded Corners 9">
          <a:extLst>
            <a:ext uri="{FF2B5EF4-FFF2-40B4-BE49-F238E27FC236}">
              <a16:creationId xmlns:a16="http://schemas.microsoft.com/office/drawing/2014/main" id="{048445FD-9353-5F3B-0345-BE8462B44397}"/>
            </a:ext>
          </a:extLst>
        </xdr:cNvPr>
        <xdr:cNvSpPr/>
      </xdr:nvSpPr>
      <xdr:spPr>
        <a:xfrm>
          <a:off x="6219826" y="3238500"/>
          <a:ext cx="3762374" cy="183832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US" sz="1200">
              <a:solidFill>
                <a:schemeClr val="accent1"/>
              </a:solidFill>
              <a:latin typeface="Arial Rounded MT Bold" panose="020F0704030504030204" pitchFamily="34" charset="0"/>
            </a:rPr>
            <a:t>Sales by Product Type</a:t>
          </a:r>
        </a:p>
      </xdr:txBody>
    </xdr:sp>
    <xdr:clientData/>
  </xdr:twoCellAnchor>
  <xdr:twoCellAnchor>
    <xdr:from>
      <xdr:col>4</xdr:col>
      <xdr:colOff>152400</xdr:colOff>
      <xdr:row>17</xdr:row>
      <xdr:rowOff>9525</xdr:rowOff>
    </xdr:from>
    <xdr:to>
      <xdr:col>10</xdr:col>
      <xdr:colOff>38099</xdr:colOff>
      <xdr:row>26</xdr:row>
      <xdr:rowOff>133350</xdr:rowOff>
    </xdr:to>
    <xdr:sp macro="" textlink="">
      <xdr:nvSpPr>
        <xdr:cNvPr id="11" name="Rectangle: Rounded Corners 10">
          <a:extLst>
            <a:ext uri="{FF2B5EF4-FFF2-40B4-BE49-F238E27FC236}">
              <a16:creationId xmlns:a16="http://schemas.microsoft.com/office/drawing/2014/main" id="{316C41DF-F4E1-8A21-7D15-B9237BBE1D1E}"/>
            </a:ext>
          </a:extLst>
        </xdr:cNvPr>
        <xdr:cNvSpPr/>
      </xdr:nvSpPr>
      <xdr:spPr>
        <a:xfrm>
          <a:off x="2590800" y="3248025"/>
          <a:ext cx="3543299" cy="183832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US" sz="1200">
              <a:solidFill>
                <a:schemeClr val="accent1"/>
              </a:solidFill>
              <a:latin typeface="Arial Rounded MT Bold" panose="020F0704030504030204" pitchFamily="34" charset="0"/>
            </a:rPr>
            <a:t>Sales by Product</a:t>
          </a:r>
        </a:p>
      </xdr:txBody>
    </xdr:sp>
    <xdr:clientData/>
  </xdr:twoCellAnchor>
  <xdr:twoCellAnchor editAs="oneCell">
    <xdr:from>
      <xdr:col>1</xdr:col>
      <xdr:colOff>123825</xdr:colOff>
      <xdr:row>0</xdr:row>
      <xdr:rowOff>47625</xdr:rowOff>
    </xdr:from>
    <xdr:to>
      <xdr:col>2</xdr:col>
      <xdr:colOff>428625</xdr:colOff>
      <xdr:row>5</xdr:row>
      <xdr:rowOff>9525</xdr:rowOff>
    </xdr:to>
    <xdr:pic>
      <xdr:nvPicPr>
        <xdr:cNvPr id="13" name="Graphic 12" descr="Coffee with solid fill">
          <a:extLst>
            <a:ext uri="{FF2B5EF4-FFF2-40B4-BE49-F238E27FC236}">
              <a16:creationId xmlns:a16="http://schemas.microsoft.com/office/drawing/2014/main" id="{88B2414D-2478-F829-3688-66E9F1A4BB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33425" y="47625"/>
          <a:ext cx="914400" cy="914400"/>
        </a:xfrm>
        <a:prstGeom prst="rect">
          <a:avLst/>
        </a:prstGeom>
      </xdr:spPr>
    </xdr:pic>
    <xdr:clientData/>
  </xdr:twoCellAnchor>
  <xdr:twoCellAnchor editAs="oneCell">
    <xdr:from>
      <xdr:col>17</xdr:col>
      <xdr:colOff>428625</xdr:colOff>
      <xdr:row>0</xdr:row>
      <xdr:rowOff>0</xdr:rowOff>
    </xdr:from>
    <xdr:to>
      <xdr:col>19</xdr:col>
      <xdr:colOff>123825</xdr:colOff>
      <xdr:row>4</xdr:row>
      <xdr:rowOff>152400</xdr:rowOff>
    </xdr:to>
    <xdr:pic>
      <xdr:nvPicPr>
        <xdr:cNvPr id="14" name="Graphic 13" descr="Coffee with solid fill">
          <a:extLst>
            <a:ext uri="{FF2B5EF4-FFF2-40B4-BE49-F238E27FC236}">
              <a16:creationId xmlns:a16="http://schemas.microsoft.com/office/drawing/2014/main" id="{E3DA3580-690E-686A-4BAA-6B5E5196F9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791825" y="0"/>
          <a:ext cx="914400" cy="914400"/>
        </a:xfrm>
        <a:prstGeom prst="rect">
          <a:avLst/>
        </a:prstGeom>
      </xdr:spPr>
    </xdr:pic>
    <xdr:clientData/>
  </xdr:twoCellAnchor>
  <xdr:twoCellAnchor>
    <xdr:from>
      <xdr:col>4</xdr:col>
      <xdr:colOff>209551</xdr:colOff>
      <xdr:row>8</xdr:row>
      <xdr:rowOff>142875</xdr:rowOff>
    </xdr:from>
    <xdr:to>
      <xdr:col>9</xdr:col>
      <xdr:colOff>238125</xdr:colOff>
      <xdr:row>16</xdr:row>
      <xdr:rowOff>133350</xdr:rowOff>
    </xdr:to>
    <xdr:graphicFrame macro="">
      <xdr:nvGraphicFramePr>
        <xdr:cNvPr id="15" name="Chart 14">
          <a:extLst>
            <a:ext uri="{FF2B5EF4-FFF2-40B4-BE49-F238E27FC236}">
              <a16:creationId xmlns:a16="http://schemas.microsoft.com/office/drawing/2014/main" id="{5C0FFF54-2D75-464B-99EB-0E3B4A7D0B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228600</xdr:colOff>
      <xdr:row>8</xdr:row>
      <xdr:rowOff>85725</xdr:rowOff>
    </xdr:from>
    <xdr:to>
      <xdr:col>16</xdr:col>
      <xdr:colOff>76200</xdr:colOff>
      <xdr:row>16</xdr:row>
      <xdr:rowOff>85725</xdr:rowOff>
    </xdr:to>
    <xdr:graphicFrame macro="">
      <xdr:nvGraphicFramePr>
        <xdr:cNvPr id="16" name="Chart 15">
          <a:extLst>
            <a:ext uri="{FF2B5EF4-FFF2-40B4-BE49-F238E27FC236}">
              <a16:creationId xmlns:a16="http://schemas.microsoft.com/office/drawing/2014/main" id="{C692B311-98A4-4BFF-A9F4-38DCBFBAD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276225</xdr:colOff>
      <xdr:row>18</xdr:row>
      <xdr:rowOff>142876</xdr:rowOff>
    </xdr:from>
    <xdr:to>
      <xdr:col>9</xdr:col>
      <xdr:colOff>209550</xdr:colOff>
      <xdr:row>26</xdr:row>
      <xdr:rowOff>161926</xdr:rowOff>
    </xdr:to>
    <xdr:graphicFrame macro="">
      <xdr:nvGraphicFramePr>
        <xdr:cNvPr id="17" name="Chart 16">
          <a:extLst>
            <a:ext uri="{FF2B5EF4-FFF2-40B4-BE49-F238E27FC236}">
              <a16:creationId xmlns:a16="http://schemas.microsoft.com/office/drawing/2014/main" id="{4D792F77-E6F6-4E5E-AF6D-734C484761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257175</xdr:colOff>
      <xdr:row>18</xdr:row>
      <xdr:rowOff>161924</xdr:rowOff>
    </xdr:from>
    <xdr:to>
      <xdr:col>16</xdr:col>
      <xdr:colOff>0</xdr:colOff>
      <xdr:row>26</xdr:row>
      <xdr:rowOff>76199</xdr:rowOff>
    </xdr:to>
    <xdr:graphicFrame macro="">
      <xdr:nvGraphicFramePr>
        <xdr:cNvPr id="18" name="Chart 17">
          <a:extLst>
            <a:ext uri="{FF2B5EF4-FFF2-40B4-BE49-F238E27FC236}">
              <a16:creationId xmlns:a16="http://schemas.microsoft.com/office/drawing/2014/main" id="{7311490F-4537-4974-ACD1-6E6D3B93FE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47625</xdr:colOff>
      <xdr:row>4</xdr:row>
      <xdr:rowOff>121444</xdr:rowOff>
    </xdr:from>
    <xdr:to>
      <xdr:col>4</xdr:col>
      <xdr:colOff>9525</xdr:colOff>
      <xdr:row>13</xdr:row>
      <xdr:rowOff>83344</xdr:rowOff>
    </xdr:to>
    <mc:AlternateContent xmlns:mc="http://schemas.openxmlformats.org/markup-compatibility/2006" xmlns:a14="http://schemas.microsoft.com/office/drawing/2010/main">
      <mc:Choice Requires="a14">
        <xdr:graphicFrame macro="">
          <xdr:nvGraphicFramePr>
            <xdr:cNvPr id="19" name="Market">
              <a:extLst>
                <a:ext uri="{FF2B5EF4-FFF2-40B4-BE49-F238E27FC236}">
                  <a16:creationId xmlns:a16="http://schemas.microsoft.com/office/drawing/2014/main" id="{2118AFDB-36E8-4394-9F60-3C0CF7F221E2}"/>
                </a:ext>
              </a:extLst>
            </xdr:cNvPr>
            <xdr:cNvGraphicFramePr/>
          </xdr:nvGraphicFramePr>
          <xdr:xfrm>
            <a:off x="0" y="0"/>
            <a:ext cx="0" cy="0"/>
          </xdr:xfrm>
          <a:graphic>
            <a:graphicData uri="http://schemas.microsoft.com/office/drawing/2010/slicer">
              <sle:slicer xmlns:sle="http://schemas.microsoft.com/office/drawing/2010/slicer" name="Market"/>
            </a:graphicData>
          </a:graphic>
        </xdr:graphicFrame>
      </mc:Choice>
      <mc:Fallback xmlns="">
        <xdr:sp macro="" textlink="">
          <xdr:nvSpPr>
            <xdr:cNvPr id="0" name=""/>
            <xdr:cNvSpPr>
              <a:spLocks noTextEdit="1"/>
            </xdr:cNvSpPr>
          </xdr:nvSpPr>
          <xdr:spPr>
            <a:xfrm>
              <a:off x="47625" y="883444"/>
              <a:ext cx="2390775" cy="1676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90487</xdr:colOff>
      <xdr:row>13</xdr:row>
      <xdr:rowOff>173832</xdr:rowOff>
    </xdr:from>
    <xdr:to>
      <xdr:col>3</xdr:col>
      <xdr:colOff>576262</xdr:colOff>
      <xdr:row>19</xdr:row>
      <xdr:rowOff>71437</xdr:rowOff>
    </xdr:to>
    <mc:AlternateContent xmlns:mc="http://schemas.openxmlformats.org/markup-compatibility/2006" xmlns:a14="http://schemas.microsoft.com/office/drawing/2010/main">
      <mc:Choice Requires="a14">
        <xdr:graphicFrame macro="">
          <xdr:nvGraphicFramePr>
            <xdr:cNvPr id="20" name="Product_line">
              <a:extLst>
                <a:ext uri="{FF2B5EF4-FFF2-40B4-BE49-F238E27FC236}">
                  <a16:creationId xmlns:a16="http://schemas.microsoft.com/office/drawing/2014/main" id="{BB0C11C7-7676-737C-3C2C-C6230EDEB80D}"/>
                </a:ext>
              </a:extLst>
            </xdr:cNvPr>
            <xdr:cNvGraphicFramePr/>
          </xdr:nvGraphicFramePr>
          <xdr:xfrm>
            <a:off x="0" y="0"/>
            <a:ext cx="0" cy="0"/>
          </xdr:xfrm>
          <a:graphic>
            <a:graphicData uri="http://schemas.microsoft.com/office/drawing/2010/slicer">
              <sle:slicer xmlns:sle="http://schemas.microsoft.com/office/drawing/2010/slicer" name="Product_line"/>
            </a:graphicData>
          </a:graphic>
        </xdr:graphicFrame>
      </mc:Choice>
      <mc:Fallback xmlns="">
        <xdr:sp macro="" textlink="">
          <xdr:nvSpPr>
            <xdr:cNvPr id="0" name=""/>
            <xdr:cNvSpPr>
              <a:spLocks noTextEdit="1"/>
            </xdr:cNvSpPr>
          </xdr:nvSpPr>
          <xdr:spPr>
            <a:xfrm>
              <a:off x="90487" y="2650332"/>
              <a:ext cx="2307431" cy="10406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83344</xdr:colOff>
      <xdr:row>19</xdr:row>
      <xdr:rowOff>142875</xdr:rowOff>
    </xdr:from>
    <xdr:to>
      <xdr:col>3</xdr:col>
      <xdr:colOff>511969</xdr:colOff>
      <xdr:row>25</xdr:row>
      <xdr:rowOff>154782</xdr:rowOff>
    </xdr:to>
    <mc:AlternateContent xmlns:mc="http://schemas.openxmlformats.org/markup-compatibility/2006" xmlns:tsle="http://schemas.microsoft.com/office/drawing/2012/timeslicer">
      <mc:Choice Requires="tsle">
        <xdr:graphicFrame macro="">
          <xdr:nvGraphicFramePr>
            <xdr:cNvPr id="12" name="Date">
              <a:extLst>
                <a:ext uri="{FF2B5EF4-FFF2-40B4-BE49-F238E27FC236}">
                  <a16:creationId xmlns:a16="http://schemas.microsoft.com/office/drawing/2014/main" id="{848A7CC1-2F04-E3CB-7C1C-C569AE7DABFE}"/>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83344" y="3762375"/>
              <a:ext cx="2250281" cy="115490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46.899294675924" createdVersion="8" refreshedVersion="8" minRefreshableVersion="3" recordCount="1062" xr:uid="{8E5EBE62-4AA0-4D9A-B33A-D8F5C44D734B}">
  <cacheSource type="worksheet">
    <worksheetSource name="Coffee_Chain_Sales"/>
  </cacheSource>
  <cacheFields count="27">
    <cacheField name="Area Code" numFmtId="0">
      <sharedItems/>
    </cacheField>
    <cacheField name="Cogs" numFmtId="0">
      <sharedItems containsSemiMixedTypes="0" containsString="0" containsNumber="1" containsInteger="1" minValue="0" maxValue="294"/>
    </cacheField>
    <cacheField name="DifferenceBetweenActualandTargetProfit" numFmtId="0">
      <sharedItems containsSemiMixedTypes="0" containsString="0" containsNumber="1" containsInteger="1" minValue="-369" maxValue="249"/>
    </cacheField>
    <cacheField name="Date" numFmtId="14">
      <sharedItems containsSemiMixedTypes="0" containsNonDate="0" containsDate="1" containsString="0" minDate="2012-10-01T00:00:00" maxDate="2015-08-28T00:00:00" count="1061">
        <d v="2012-10-01T00:00:00"/>
        <d v="2012-10-02T00:00:00"/>
        <d v="2012-10-03T00:00:00"/>
        <d v="2012-10-04T00:00:00"/>
        <d v="2012-10-05T00:00:00"/>
        <d v="2012-10-06T00:00:00"/>
        <d v="2012-10-07T00:00:00"/>
        <d v="2012-10-08T00:00:00"/>
        <d v="2012-10-09T00:00:00"/>
        <d v="2012-10-10T00:00:00"/>
        <d v="2012-10-11T00:00:00"/>
        <d v="2012-10-12T00:00:00"/>
        <d v="2012-10-13T00:00:00"/>
        <d v="2012-10-14T00:00:00"/>
        <d v="2012-10-15T00:00:00"/>
        <d v="2012-10-16T00:00:00"/>
        <d v="2012-10-17T00:00:00"/>
        <d v="2012-10-18T00:00:00"/>
        <d v="2012-10-19T00:00:00"/>
        <d v="2012-10-20T00:00:00"/>
        <d v="2012-10-21T00:00:00"/>
        <d v="2012-10-22T00:00:00"/>
        <d v="2012-10-23T00:00:00"/>
        <d v="2012-10-24T00:00:00"/>
        <d v="2012-10-25T00:00:00"/>
        <d v="2012-10-26T00:00:00"/>
        <d v="2012-10-27T00:00:00"/>
        <d v="2012-10-28T00:00:00"/>
        <d v="2012-10-29T00:00:00"/>
        <d v="2012-10-30T00:00:00"/>
        <d v="2012-10-31T00:00:00"/>
        <d v="2012-11-01T00:00:00"/>
        <d v="2012-11-02T00:00:00"/>
        <d v="2012-11-03T00:00:00"/>
        <d v="2012-11-04T00:00:00"/>
        <d v="2012-11-05T00:00:00"/>
        <d v="2012-11-06T00:00:00"/>
        <d v="2012-11-07T00:00:00"/>
        <d v="2012-11-08T00:00:00"/>
        <d v="2012-11-09T00:00:00"/>
        <d v="2012-11-10T00:00:00"/>
        <d v="2012-11-11T00:00:00"/>
        <d v="2012-11-12T00:00:00"/>
        <d v="2012-11-13T00:00:00"/>
        <d v="2012-11-14T00:00:00"/>
        <d v="2012-11-15T00:00:00"/>
        <d v="2012-11-16T00:00:00"/>
        <d v="2012-11-17T00:00:00"/>
        <d v="2012-11-18T00:00:00"/>
        <d v="2012-11-19T00:00:00"/>
        <d v="2012-11-20T00:00:00"/>
        <d v="2012-11-21T00:00:00"/>
        <d v="2012-11-22T00:00:00"/>
        <d v="2012-11-23T00:00:00"/>
        <d v="2012-11-24T00:00:00"/>
        <d v="2012-11-25T00:00:00"/>
        <d v="2012-11-26T00:00:00"/>
        <d v="2012-11-27T00:00:00"/>
        <d v="2012-11-28T00:00:00"/>
        <d v="2012-11-29T00:00:00"/>
        <d v="2012-11-30T00:00:00"/>
        <d v="2012-12-01T00:00:00"/>
        <d v="2012-12-02T00:00:00"/>
        <d v="2012-12-03T00:00:00"/>
        <d v="2012-12-04T00:00:00"/>
        <d v="2012-12-05T00:00:00"/>
        <d v="2012-12-06T00:00:00"/>
        <d v="2012-12-07T00:00:00"/>
        <d v="2012-12-08T00:00:00"/>
        <d v="2012-12-09T00:00:00"/>
        <d v="2012-12-10T00:00:00"/>
        <d v="2012-12-11T00:00:00"/>
        <d v="2012-12-12T00:00:00"/>
        <d v="2012-12-13T00:00:00"/>
        <d v="2012-12-14T00:00:00"/>
        <d v="2012-12-15T00:00:00"/>
        <d v="2012-12-16T00:00:00"/>
        <d v="2012-12-17T00:00:00"/>
        <d v="2012-12-18T00:00:00"/>
        <d v="2012-12-19T00:00:00"/>
        <d v="2012-12-20T00:00:00"/>
        <d v="2012-12-21T00:00:00"/>
        <d v="2012-12-22T00:00:00"/>
        <d v="2012-12-23T00:00:00"/>
        <d v="2012-12-24T00:00:00"/>
        <d v="2012-12-25T00:00:00"/>
        <d v="2012-12-26T00:00:00"/>
        <d v="2012-12-27T00:00:00"/>
        <d v="2012-12-28T00:00:00"/>
        <d v="2012-12-29T00:00:00"/>
        <d v="2012-12-30T00:00:00"/>
        <d v="2012-12-31T00:00:00"/>
        <d v="2013-01-01T00:00:00"/>
        <d v="2013-01-02T00:00:00"/>
        <d v="2013-01-03T00:00:00"/>
        <d v="2013-01-04T00:00:00"/>
        <d v="2013-01-05T00:00:00"/>
        <d v="2013-01-06T00:00:00"/>
        <d v="2013-01-07T00:00:00"/>
        <d v="2013-01-08T00:00:00"/>
        <d v="2013-01-09T00:00:00"/>
        <d v="2013-01-10T00:00:00"/>
        <d v="2013-01-11T00:00:00"/>
        <d v="2013-01-12T00:00:00"/>
        <d v="2013-01-13T00:00:00"/>
        <d v="2013-01-14T00:00:00"/>
        <d v="2013-01-15T00:00:00"/>
        <d v="2013-01-16T00:00:00"/>
        <d v="2013-01-17T00:00:00"/>
        <d v="2013-01-18T00:00:00"/>
        <d v="2013-01-19T00:00:00"/>
        <d v="2013-01-20T00:00:00"/>
        <d v="2013-01-21T00:00:00"/>
        <d v="2013-01-22T00:00:00"/>
        <d v="2013-01-23T00:00:00"/>
        <d v="2013-01-24T00:00:00"/>
        <d v="2013-01-25T00:00:00"/>
        <d v="2013-01-26T00:00:00"/>
        <d v="2013-01-27T00:00:00"/>
        <d v="2013-01-28T00:00:00"/>
        <d v="2013-01-29T00:00:00"/>
        <d v="2013-01-30T00:00:00"/>
        <d v="2013-01-31T00:00:00"/>
        <d v="2013-02-01T00:00:00"/>
        <d v="2013-02-02T00:00:00"/>
        <d v="2013-02-03T00:00:00"/>
        <d v="2013-02-04T00:00:00"/>
        <d v="2013-02-05T00:00:00"/>
        <d v="2013-02-06T00:00:00"/>
        <d v="2013-02-07T00:00:00"/>
        <d v="2013-02-08T00:00:00"/>
        <d v="2013-02-09T00:00:00"/>
        <d v="2013-02-10T00:00:00"/>
        <d v="2013-02-11T00:00:00"/>
        <d v="2013-02-12T00:00:00"/>
        <d v="2013-02-13T00:00:00"/>
        <d v="2013-02-14T00:00:00"/>
        <d v="2013-02-15T00:00:00"/>
        <d v="2013-02-16T00:00:00"/>
        <d v="2013-02-17T00:00:00"/>
        <d v="2013-02-18T00:00:00"/>
        <d v="2013-02-19T00:00:00"/>
        <d v="2013-02-20T00:00:00"/>
        <d v="2013-02-21T00:00:00"/>
        <d v="2013-02-22T00:00:00"/>
        <d v="2013-02-23T00:00:00"/>
        <d v="2013-02-24T00:00:00"/>
        <d v="2013-02-25T00:00:00"/>
        <d v="2013-02-26T00:00:00"/>
        <d v="2013-02-27T00:00:00"/>
        <d v="2013-02-28T00:00:00"/>
        <d v="2013-03-01T00:00:00"/>
        <d v="2013-03-02T00:00:00"/>
        <d v="2013-03-03T00:00:00"/>
        <d v="2013-03-04T00:00:00"/>
        <d v="2013-03-05T00:00:00"/>
        <d v="2013-03-06T00:00:00"/>
        <d v="2013-03-07T00:00:00"/>
        <d v="2013-03-08T00:00:00"/>
        <d v="2013-03-09T00:00:00"/>
        <d v="2013-03-10T00:00:00"/>
        <d v="2013-03-11T00:00:00"/>
        <d v="2013-03-12T00:00:00"/>
        <d v="2013-03-13T00:00:00"/>
        <d v="2013-03-14T00:00:00"/>
        <d v="2013-03-15T00:00:00"/>
        <d v="2013-03-16T00:00:00"/>
        <d v="2013-03-17T00:00:00"/>
        <d v="2013-03-18T00:00:00"/>
        <d v="2013-03-19T00:00:00"/>
        <d v="2013-03-20T00:00:00"/>
        <d v="2013-03-21T00:00:00"/>
        <d v="2013-03-22T00:00:00"/>
        <d v="2013-03-23T00:00:00"/>
        <d v="2013-03-24T00:00:00"/>
        <d v="2013-03-25T00:00:00"/>
        <d v="2013-03-26T00:00:00"/>
        <d v="2013-03-27T00:00:00"/>
        <d v="2013-03-28T00:00:00"/>
        <d v="2013-03-29T00:00:00"/>
        <d v="2013-03-30T00:00:00"/>
        <d v="2013-03-31T00:00:00"/>
        <d v="2013-04-01T00:00:00"/>
        <d v="2013-04-02T00:00:00"/>
        <d v="2013-04-03T00:00:00"/>
        <d v="2013-04-04T00:00:00"/>
        <d v="2013-04-05T00:00:00"/>
        <d v="2013-04-06T00:00:00"/>
        <d v="2013-04-07T00:00:00"/>
        <d v="2013-04-08T00:00:00"/>
        <d v="2013-04-09T00:00:00"/>
        <d v="2013-04-10T00:00:00"/>
        <d v="2013-04-11T00:00:00"/>
        <d v="2013-04-12T00:00:00"/>
        <d v="2013-04-13T00:00:00"/>
        <d v="2013-04-14T00:00:00"/>
        <d v="2013-04-15T00:00:00"/>
        <d v="2013-04-16T00:00:00"/>
        <d v="2013-04-17T00:00:00"/>
        <d v="2013-04-18T00:00:00"/>
        <d v="2013-04-19T00:00:00"/>
        <d v="2013-04-20T00:00:00"/>
        <d v="2013-04-21T00:00:00"/>
        <d v="2013-04-22T00:00:00"/>
        <d v="2013-04-23T00:00:00"/>
        <d v="2013-04-24T00:00:00"/>
        <d v="2013-04-25T00:00:00"/>
        <d v="2013-04-26T00:00:00"/>
        <d v="2013-04-27T00:00:00"/>
        <d v="2013-04-28T00:00:00"/>
        <d v="2013-04-29T00:00:00"/>
        <d v="2013-04-30T00:00:00"/>
        <d v="2013-05-01T00:00:00"/>
        <d v="2013-05-02T00:00:00"/>
        <d v="2013-05-03T00:00:00"/>
        <d v="2013-05-04T00:00:00"/>
        <d v="2013-05-05T00:00:00"/>
        <d v="2013-05-06T00:00:00"/>
        <d v="2013-05-07T00:00:00"/>
        <d v="2013-05-08T00:00:00"/>
        <d v="2013-05-09T00:00:00"/>
        <d v="2013-05-10T00:00:00"/>
        <d v="2013-05-11T00:00:00"/>
        <d v="2013-05-12T00:00:00"/>
        <d v="2013-05-13T00:00:00"/>
        <d v="2013-05-14T00:00:00"/>
        <d v="2013-05-15T00:00:00"/>
        <d v="2013-05-16T00:00:00"/>
        <d v="2013-05-17T00:00:00"/>
        <d v="2013-05-18T00:00:00"/>
        <d v="2013-05-19T00:00:00"/>
        <d v="2013-05-20T00:00:00"/>
        <d v="2013-05-21T00:00:00"/>
        <d v="2013-05-22T00:00:00"/>
        <d v="2013-05-23T00:00:00"/>
        <d v="2013-05-24T00:00:00"/>
        <d v="2013-05-25T00:00:00"/>
        <d v="2013-05-26T00:00:00"/>
        <d v="2013-05-27T00:00:00"/>
        <d v="2013-05-28T00:00:00"/>
        <d v="2013-05-29T00:00:00"/>
        <d v="2013-05-30T00:00:00"/>
        <d v="2013-05-31T00:00:00"/>
        <d v="2013-06-01T00:00:00"/>
        <d v="2013-06-02T00:00:00"/>
        <d v="2013-06-03T00:00:00"/>
        <d v="2013-06-04T00:00:00"/>
        <d v="2013-06-05T00:00:00"/>
        <d v="2013-06-06T00:00:00"/>
        <d v="2013-06-07T00:00:00"/>
        <d v="2013-06-08T00:00:00"/>
        <d v="2013-06-09T00:00:00"/>
        <d v="2013-06-10T00:00:00"/>
        <d v="2013-06-11T00:00:00"/>
        <d v="2013-06-12T00:00:00"/>
        <d v="2013-06-13T00:00:00"/>
        <d v="2013-06-14T00:00:00"/>
        <d v="2013-06-15T00:00:00"/>
        <d v="2013-06-16T00:00:00"/>
        <d v="2013-06-17T00:00:00"/>
        <d v="2013-06-18T00:00:00"/>
        <d v="2013-06-19T00:00:00"/>
        <d v="2013-06-20T00:00:00"/>
        <d v="2013-06-21T00:00:00"/>
        <d v="2013-06-22T00:00:00"/>
        <d v="2013-06-23T00:00:00"/>
        <d v="2013-06-24T00:00:00"/>
        <d v="2013-06-25T00:00:00"/>
        <d v="2013-06-26T00:00:00"/>
        <d v="2013-06-27T00:00:00"/>
        <d v="2013-06-28T00:00:00"/>
        <d v="2013-06-29T00:00:00"/>
        <d v="2013-06-30T00:00:00"/>
        <d v="2013-07-01T00:00:00"/>
        <d v="2013-07-02T00:00:00"/>
        <d v="2013-07-03T00:00:00"/>
        <d v="2013-07-04T00:00:00"/>
        <d v="2013-07-05T00:00:00"/>
        <d v="2013-07-06T00:00:00"/>
        <d v="2013-07-07T00:00:00"/>
        <d v="2013-07-08T00:00:00"/>
        <d v="2013-07-09T00:00:00"/>
        <d v="2013-07-10T00:00:00"/>
        <d v="2013-07-11T00:00:00"/>
        <d v="2013-07-12T00:00:00"/>
        <d v="2013-07-13T00:00:00"/>
        <d v="2013-07-14T00:00:00"/>
        <d v="2013-07-15T00:00:00"/>
        <d v="2013-07-16T00:00:00"/>
        <d v="2013-07-17T00:00:00"/>
        <d v="2013-07-18T00:00:00"/>
        <d v="2013-07-19T00:00:00"/>
        <d v="2013-07-20T00:00:00"/>
        <d v="2013-07-21T00:00:00"/>
        <d v="2013-07-22T00:00:00"/>
        <d v="2013-07-23T00:00:00"/>
        <d v="2013-07-24T00:00:00"/>
        <d v="2013-07-25T00:00:00"/>
        <d v="2013-07-26T00:00:00"/>
        <d v="2013-07-27T00:00:00"/>
        <d v="2013-07-28T00:00:00"/>
        <d v="2013-07-29T00:00:00"/>
        <d v="2013-07-30T00:00:00"/>
        <d v="2013-07-31T00:00:00"/>
        <d v="2013-08-01T00:00:00"/>
        <d v="2013-08-02T00:00:00"/>
        <d v="2013-08-03T00:00:00"/>
        <d v="2013-08-04T00:00:00"/>
        <d v="2013-08-05T00:00:00"/>
        <d v="2013-08-06T00:00:00"/>
        <d v="2013-08-07T00:00:00"/>
        <d v="2013-08-08T00:00:00"/>
        <d v="2013-08-09T00:00:00"/>
        <d v="2013-08-10T00:00:00"/>
        <d v="2013-08-11T00:00:00"/>
        <d v="2013-08-12T00:00:00"/>
        <d v="2013-08-13T00:00:00"/>
        <d v="2013-08-14T00:00:00"/>
        <d v="2013-08-15T00:00:00"/>
        <d v="2013-08-16T00:00:00"/>
        <d v="2013-08-17T00:00:00"/>
        <d v="2013-08-18T00:00:00"/>
        <d v="2013-08-19T00:00:00"/>
        <d v="2013-08-20T00:00:00"/>
        <d v="2013-08-21T00:00:00"/>
        <d v="2013-08-22T00:00:00"/>
        <d v="2013-08-23T00:00:00"/>
        <d v="2013-08-24T00:00:00"/>
        <d v="2013-08-25T00:00:00"/>
        <d v="2013-08-26T00:00:00"/>
        <d v="2013-08-27T00:00:00"/>
        <d v="2013-08-28T00:00:00"/>
        <d v="2013-08-29T00:00:00"/>
        <d v="2013-08-30T00:00:00"/>
        <d v="2013-08-31T00:00:00"/>
        <d v="2013-09-01T00:00:00"/>
        <d v="2013-09-02T00:00:00"/>
        <d v="2013-09-03T00:00:00"/>
        <d v="2013-09-04T00:00:00"/>
        <d v="2013-09-05T00:00:00"/>
        <d v="2013-09-06T00:00:00"/>
        <d v="2013-09-07T00:00:00"/>
        <d v="2013-09-08T00:00:00"/>
        <d v="2013-09-09T00:00:00"/>
        <d v="2013-09-10T00:00:00"/>
        <d v="2013-09-11T00:00:00"/>
        <d v="2013-09-12T00:00:00"/>
        <d v="2013-09-13T00:00:00"/>
        <d v="2013-09-14T00:00:00"/>
        <d v="2013-09-15T00:00:00"/>
        <d v="2013-09-16T00:00:00"/>
        <d v="2013-09-17T00:00:00"/>
        <d v="2013-09-18T00:00:00"/>
        <d v="2013-09-19T00:00:00"/>
        <d v="2013-09-20T00:00:00"/>
        <d v="2013-09-21T00:00:00"/>
        <d v="2013-09-22T00:00:00"/>
        <d v="2013-09-23T00:00:00"/>
        <d v="2013-09-24T00:00:00"/>
        <d v="2013-09-25T00:00:00"/>
        <d v="2013-09-26T00:00:00"/>
        <d v="2013-09-27T00:00:00"/>
        <d v="2013-09-28T00:00:00"/>
        <d v="2013-09-29T00:00:00"/>
        <d v="2013-09-30T00:00:00"/>
        <d v="2013-10-01T00:00:00"/>
        <d v="2013-10-02T00:00:00"/>
        <d v="2013-10-03T00:00:00"/>
        <d v="2013-10-04T00:00:00"/>
        <d v="2013-10-05T00:00:00"/>
        <d v="2013-10-06T00:00:00"/>
        <d v="2013-10-07T00:00:00"/>
        <d v="2013-10-08T00:00:00"/>
        <d v="2013-10-09T00:00:00"/>
        <d v="2013-10-10T00:00:00"/>
        <d v="2013-10-11T00:00:00"/>
        <d v="2013-10-12T00:00:00"/>
        <d v="2013-10-13T00:00:00"/>
        <d v="2013-10-14T00:00:00"/>
        <d v="2013-10-15T00:00:00"/>
        <d v="2013-10-16T00:00:00"/>
        <d v="2013-10-17T00:00:00"/>
        <d v="2013-10-18T00:00:00"/>
        <d v="2013-10-19T00:00:00"/>
        <d v="2013-10-20T00:00:00"/>
        <d v="2013-10-21T00:00:00"/>
        <d v="2013-10-22T00:00:00"/>
        <d v="2013-10-23T00:00:00"/>
        <d v="2013-10-24T00:00:00"/>
        <d v="2013-10-25T00:00:00"/>
        <d v="2013-10-26T00:00:00"/>
        <d v="2013-10-27T00:00:00"/>
        <d v="2013-10-28T00:00:00"/>
        <d v="2013-10-29T00:00:00"/>
        <d v="2013-10-30T00:00:00"/>
        <d v="2013-10-31T00:00:00"/>
        <d v="2013-11-01T00:00:00"/>
        <d v="2013-11-02T00:00:00"/>
        <d v="2013-11-03T00:00:00"/>
        <d v="2013-11-04T00:00:00"/>
        <d v="2013-11-05T00:00:00"/>
        <d v="2013-11-06T00:00:00"/>
        <d v="2013-11-07T00:00:00"/>
        <d v="2013-11-08T00:00:00"/>
        <d v="2013-11-09T00:00:00"/>
        <d v="2013-11-10T00:00:00"/>
        <d v="2013-11-11T00:00:00"/>
        <d v="2013-11-12T00:00:00"/>
        <d v="2013-11-13T00:00:00"/>
        <d v="2013-11-14T00:00:00"/>
        <d v="2013-11-15T00:00:00"/>
        <d v="2013-11-16T00:00:00"/>
        <d v="2013-11-17T00:00:00"/>
        <d v="2013-11-18T00:00:00"/>
        <d v="2013-11-19T00:00:00"/>
        <d v="2013-11-20T00:00:00"/>
        <d v="2013-11-21T00:00:00"/>
        <d v="2013-11-22T00:00:00"/>
        <d v="2013-11-23T00:00:00"/>
        <d v="2013-11-24T00:00:00"/>
        <d v="2013-11-25T00:00:00"/>
        <d v="2013-11-26T00:00:00"/>
        <d v="2013-11-27T00:00:00"/>
        <d v="2013-11-28T00:00:00"/>
        <d v="2013-11-29T00:00:00"/>
        <d v="2013-11-30T00:00:00"/>
        <d v="2013-12-01T00:00:00"/>
        <d v="2013-12-02T00:00:00"/>
        <d v="2013-12-03T00:00:00"/>
        <d v="2013-12-04T00:00:00"/>
        <d v="2013-12-05T00:00:00"/>
        <d v="2013-12-06T00:00:00"/>
        <d v="2013-12-07T00:00:00"/>
        <d v="2013-12-08T00:00:00"/>
        <d v="2013-12-09T00:00:00"/>
        <d v="2013-12-10T00:00:00"/>
        <d v="2013-12-11T00:00:00"/>
        <d v="2013-12-12T00:00:00"/>
        <d v="2013-12-13T00:00:00"/>
        <d v="2013-12-14T00:00:00"/>
        <d v="2013-12-15T00:00:00"/>
        <d v="2013-12-16T00:00:00"/>
        <d v="2013-12-17T00:00:00"/>
        <d v="2013-12-18T00:00:00"/>
        <d v="2013-12-19T00:00:00"/>
        <d v="2013-12-20T00:00:00"/>
        <d v="2013-12-21T00:00:00"/>
        <d v="2013-12-22T00:00:00"/>
        <d v="2013-12-23T00:00:00"/>
        <d v="2013-12-24T00:00:00"/>
        <d v="2013-12-25T00:00:00"/>
        <d v="2013-12-26T00:00:00"/>
        <d v="2013-12-27T00:00:00"/>
        <d v="2013-12-28T00:00:00"/>
        <d v="2013-12-29T00:00:00"/>
        <d v="2013-12-30T00:00:00"/>
        <d v="2013-12-31T00:00:00"/>
        <d v="2014-01-01T00:00:00"/>
        <d v="2014-01-02T00:00:00"/>
        <d v="2014-01-03T00:00:00"/>
        <d v="2014-01-04T00:00:00"/>
        <d v="2014-01-05T00:00:00"/>
        <d v="2014-01-06T00:00:00"/>
        <d v="2014-01-07T00:00:00"/>
        <d v="2014-01-08T00:00:00"/>
        <d v="2014-01-09T00:00:00"/>
        <d v="2014-01-10T00:00:00"/>
        <d v="2014-01-11T00:00:00"/>
        <d v="2014-01-12T00:00:00"/>
        <d v="2014-01-13T00:00:00"/>
        <d v="2014-01-14T00:00:00"/>
        <d v="2014-01-15T00:00:00"/>
        <d v="2014-01-16T00:00:00"/>
        <d v="2014-01-17T00:00:00"/>
        <d v="2014-01-18T00:00:00"/>
        <d v="2014-01-19T00:00:00"/>
        <d v="2014-01-20T00:00:00"/>
        <d v="2014-01-21T00:00:00"/>
        <d v="2014-01-22T00:00:00"/>
        <d v="2014-01-23T00:00:00"/>
        <d v="2014-01-24T00:00:00"/>
        <d v="2014-01-25T00:00:00"/>
        <d v="2014-01-26T00:00:00"/>
        <d v="2014-01-27T00:00:00"/>
        <d v="2014-01-28T00:00:00"/>
        <d v="2014-01-29T00:00:00"/>
        <d v="2014-01-30T00:00:00"/>
        <d v="2014-01-31T00:00:00"/>
        <d v="2014-02-01T00:00:00"/>
        <d v="2014-02-02T00:00:00"/>
        <d v="2014-02-03T00:00:00"/>
        <d v="2014-02-04T00:00:00"/>
        <d v="2014-02-05T00:00:00"/>
        <d v="2014-02-06T00:00:00"/>
        <d v="2014-02-07T00:00:00"/>
        <d v="2014-02-08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4T00:00:00"/>
        <d v="2014-02-25T00:00:00"/>
        <d v="2014-02-26T00:00:00"/>
        <d v="2014-02-27T00:00:00"/>
        <d v="2014-02-28T00:00:00"/>
        <d v="2014-03-01T00:00:00"/>
        <d v="2014-03-02T00:00:00"/>
        <d v="2014-03-03T00:00:00"/>
        <d v="2014-03-04T00:00:00"/>
        <d v="2014-03-05T00:00:00"/>
        <d v="2014-03-06T00:00:00"/>
        <d v="2014-03-07T00:00:00"/>
        <d v="2014-03-08T00:00:00"/>
        <d v="2014-03-09T00:00:00"/>
        <d v="2014-03-10T00:00:00"/>
        <d v="2014-03-11T00:00:00"/>
        <d v="2014-03-12T00:00:00"/>
        <d v="2014-03-13T00:00:00"/>
        <d v="2014-03-14T00:00:00"/>
        <d v="2014-03-15T00:00:00"/>
        <d v="2014-03-16T00:00:00"/>
        <d v="2014-03-17T00:00:00"/>
        <d v="2014-03-18T00:00:00"/>
        <d v="2014-03-19T00:00:00"/>
        <d v="2014-03-20T00:00:00"/>
        <d v="2014-03-21T00:00:00"/>
        <d v="2014-03-22T00:00:00"/>
        <d v="2014-03-23T00:00:00"/>
        <d v="2014-03-24T00:00:00"/>
        <d v="2014-03-25T00:00:00"/>
        <d v="2014-03-26T00:00:00"/>
        <d v="2014-03-27T00:00:00"/>
        <d v="2014-03-28T00:00:00"/>
        <d v="2014-03-29T00:00:00"/>
        <d v="2014-03-30T00:00:00"/>
        <d v="2014-03-31T00:00:00"/>
        <d v="2014-04-01T00:00:00"/>
        <d v="2014-04-02T00:00:00"/>
        <d v="2014-04-03T00:00:00"/>
        <d v="2014-04-04T00:00:00"/>
        <d v="2014-04-05T00:00:00"/>
        <d v="2014-04-06T00:00:00"/>
        <d v="2014-04-07T00:00:00"/>
        <d v="2014-04-08T00:00:00"/>
        <d v="2014-04-09T00:00:00"/>
        <d v="2014-04-10T00:00:00"/>
        <d v="2014-04-11T00:00:00"/>
        <d v="2014-04-12T00:00:00"/>
        <d v="2014-04-13T00:00:00"/>
        <d v="2014-04-14T00:00:00"/>
        <d v="2014-04-15T00:00:00"/>
        <d v="2014-04-16T00:00:00"/>
        <d v="2014-04-17T00:00:00"/>
        <d v="2014-04-18T00:00:00"/>
        <d v="2014-04-19T00:00:00"/>
        <d v="2014-04-20T00:00:00"/>
        <d v="2014-04-21T00:00:00"/>
        <d v="2014-04-22T00:00:00"/>
        <d v="2014-04-23T00:00:00"/>
        <d v="2014-04-24T00:00:00"/>
        <d v="2014-04-25T00:00:00"/>
        <d v="2014-04-26T00:00:00"/>
        <d v="2014-04-27T00:00:00"/>
        <d v="2014-04-28T00:00:00"/>
        <d v="2014-04-29T00:00:00"/>
        <d v="2014-04-30T00:00:00"/>
        <d v="2014-05-01T00:00:00"/>
        <d v="2014-05-02T00:00:00"/>
        <d v="2014-05-03T00:00:00"/>
        <d v="2014-05-04T00:00:00"/>
        <d v="2014-05-05T00:00:00"/>
        <d v="2014-05-06T00:00:00"/>
        <d v="2014-05-07T00:00:00"/>
        <d v="2014-05-08T00:00:00"/>
        <d v="2014-05-09T00:00:00"/>
        <d v="2014-05-10T00:00:00"/>
        <d v="2014-05-11T00:00:00"/>
        <d v="2014-05-12T00:00:00"/>
        <d v="2014-05-13T00:00:00"/>
        <d v="2014-05-14T00:00:00"/>
        <d v="2014-05-15T00:00:00"/>
        <d v="2014-05-16T00:00:00"/>
        <d v="2014-05-17T00:00:00"/>
        <d v="2014-05-18T00:00:00"/>
        <d v="2014-05-19T00:00:00"/>
        <d v="2014-05-20T00:00:00"/>
        <d v="2014-05-21T00:00:00"/>
        <d v="2014-05-22T00:00:00"/>
        <d v="2014-05-23T00:00:00"/>
        <d v="2014-05-24T00:00:00"/>
        <d v="2014-05-25T00:00:00"/>
        <d v="2014-05-26T00:00:00"/>
        <d v="2014-05-27T00:00:00"/>
        <d v="2014-05-28T00:00:00"/>
        <d v="2014-05-29T00:00:00"/>
        <d v="2014-05-30T00:00:00"/>
        <d v="2014-05-31T00:00:00"/>
        <d v="2014-06-01T00:00:00"/>
        <d v="2014-06-02T00:00:00"/>
        <d v="2014-06-03T00:00:00"/>
        <d v="2014-06-04T00:00:00"/>
        <d v="2014-06-05T00:00:00"/>
        <d v="2014-06-06T00:00:00"/>
        <d v="2014-06-07T00:00:00"/>
        <d v="2014-06-08T00:00:00"/>
        <d v="2014-06-09T00:00:00"/>
        <d v="2014-06-10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7T00:00:00"/>
        <d v="2014-06-28T00:00:00"/>
        <d v="2014-06-29T00:00:00"/>
        <d v="2014-06-30T00:00:00"/>
        <d v="2014-07-01T00:00:00"/>
        <d v="2014-07-02T00:00:00"/>
        <d v="2014-07-03T00:00:00"/>
        <d v="2014-07-04T00:00:00"/>
        <d v="2014-07-05T00:00:00"/>
        <d v="2014-07-06T00:00:00"/>
        <d v="2014-07-07T00:00:00"/>
        <d v="2014-07-08T00:00:00"/>
        <d v="2014-07-09T00:00:00"/>
        <d v="2014-07-10T00:00:00"/>
        <d v="2014-07-11T00:00:00"/>
        <d v="2014-07-12T00:00:00"/>
        <d v="2014-07-13T00:00:00"/>
        <d v="2014-07-14T00:00:00"/>
        <d v="2014-07-15T00:00:00"/>
        <d v="2014-07-16T00:00:00"/>
        <d v="2014-07-17T00:00:00"/>
        <d v="2014-07-18T00:00:00"/>
        <d v="2014-07-19T00:00:00"/>
        <d v="2014-07-20T00:00:00"/>
        <d v="2014-07-21T00:00:00"/>
        <d v="2014-07-22T00:00:00"/>
        <d v="2014-07-23T00:00:00"/>
        <d v="2014-07-24T00:00:00"/>
        <d v="2014-07-25T00:00:00"/>
        <d v="2014-07-26T00:00:00"/>
        <d v="2014-07-27T00:00:00"/>
        <d v="2014-07-28T00:00:00"/>
        <d v="2014-07-29T00:00:00"/>
        <d v="2014-07-30T00:00:00"/>
        <d v="2014-07-31T00:00:00"/>
        <d v="2014-08-01T00:00:00"/>
        <d v="2014-08-02T00:00:00"/>
        <d v="2014-08-03T00:00:00"/>
        <d v="2014-08-04T00:00:00"/>
        <d v="2014-08-05T00:00:00"/>
        <d v="2014-08-06T00:00:00"/>
        <d v="2014-08-07T00:00:00"/>
        <d v="2014-08-08T00:00:00"/>
        <d v="2014-08-09T00:00:00"/>
        <d v="2014-08-10T00:00:00"/>
        <d v="2014-08-11T00:00:00"/>
        <d v="2014-08-12T00:00:00"/>
        <d v="2014-08-13T00:00:00"/>
        <d v="2014-08-14T00:00:00"/>
        <d v="2014-08-15T00:00:00"/>
        <d v="2014-08-16T00:00:00"/>
        <d v="2014-08-17T00:00:00"/>
        <d v="2014-08-18T00:00:00"/>
        <d v="2014-08-19T00:00:00"/>
        <d v="2014-08-20T00:00:00"/>
        <d v="2014-08-21T00:00:00"/>
        <d v="2014-08-22T00:00:00"/>
        <d v="2014-08-23T00:00:00"/>
        <d v="2014-08-24T00:00:00"/>
        <d v="2014-08-25T00:00:00"/>
        <d v="2014-08-26T00:00:00"/>
        <d v="2014-08-27T00:00:00"/>
        <d v="2014-08-28T00:00:00"/>
        <d v="2014-08-29T00:00:00"/>
        <d v="2014-08-30T00:00:00"/>
        <d v="2014-08-31T00:00:00"/>
        <d v="2014-09-01T00:00:00"/>
        <d v="2014-09-02T00:00:00"/>
        <d v="2014-09-03T00:00:00"/>
        <d v="2014-09-04T00:00:00"/>
        <d v="2014-09-05T00:00:00"/>
        <d v="2014-09-06T00:00:00"/>
        <d v="2014-09-07T00:00:00"/>
        <d v="2014-09-08T00:00:00"/>
        <d v="2014-09-09T00:00:00"/>
        <d v="2014-09-10T00:00:00"/>
        <d v="2014-09-11T00:00:00"/>
        <d v="2014-09-12T00:00:00"/>
        <d v="2014-09-13T00:00:00"/>
        <d v="2014-09-14T00:00:00"/>
        <d v="2014-09-15T00:00:00"/>
        <d v="2014-09-16T00:00:00"/>
        <d v="2014-09-17T00:00:00"/>
        <d v="2014-09-18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3T00:00:00"/>
        <d v="2014-10-24T00:00:00"/>
        <d v="2014-10-25T00:00:00"/>
        <d v="2014-10-26T00:00:00"/>
        <d v="2014-10-27T00:00:00"/>
        <d v="2014-10-28T00:00:00"/>
        <d v="2014-10-29T00:00:00"/>
        <d v="2014-10-30T00:00:00"/>
        <d v="2014-10-31T00:00:00"/>
        <d v="2014-11-01T00:00:00"/>
        <d v="2014-11-02T00:00:00"/>
        <d v="2014-11-03T00:00:00"/>
        <d v="2014-11-04T00:00:00"/>
        <d v="2014-11-05T00:00:00"/>
        <d v="2014-11-06T00:00:00"/>
        <d v="2014-11-07T00:00:00"/>
        <d v="2014-11-08T00:00:00"/>
        <d v="2014-11-09T00:00:00"/>
        <d v="2014-11-10T00:00:00"/>
        <d v="2014-11-11T00:00:00"/>
        <d v="2014-11-12T00:00:00"/>
        <d v="2014-11-13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1T00:00:00"/>
        <d v="2014-12-12T00:00:00"/>
        <d v="2014-12-13T00:00:00"/>
        <d v="2014-12-14T00:00:00"/>
        <d v="2014-12-15T00:00:00"/>
        <d v="2014-12-16T00:00:00"/>
        <d v="2014-12-17T00:00:00"/>
        <d v="2014-12-18T00:00:00"/>
        <d v="2014-12-19T00:00:00"/>
        <d v="2014-12-20T00:00:00"/>
        <d v="2014-12-21T00:00:00"/>
        <d v="2014-12-22T00:00:00"/>
        <d v="2014-12-23T00:00:00"/>
        <d v="2014-12-24T00:00:00"/>
        <d v="2014-12-25T00:00:00"/>
        <d v="2014-12-26T00:00:00"/>
        <d v="2014-12-27T00:00:00"/>
        <d v="2014-12-28T00:00:00"/>
        <d v="2014-12-29T00:00:00"/>
        <d v="2014-12-30T00:00:00"/>
        <d v="2014-12-31T00:00:00"/>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2T00:00:00"/>
        <d v="2015-02-03T00:00:00"/>
        <d v="2015-02-04T00:00:00"/>
        <d v="2015-02-05T00:00:00"/>
        <d v="2015-02-06T00:00:00"/>
        <d v="2015-02-07T00:00:00"/>
        <d v="2015-02-08T00:00:00"/>
        <d v="2015-02-09T00:00:00"/>
        <d v="2015-02-10T00:00:00"/>
        <d v="2015-02-11T00:00:00"/>
        <d v="2015-02-12T00:00:00"/>
        <d v="2015-02-13T00:00:00"/>
        <d v="2015-02-14T00:00:00"/>
        <d v="2015-02-15T00:00:00"/>
        <d v="2015-02-16T00:00:00"/>
        <d v="2015-02-17T00:00:00"/>
        <d v="2015-02-18T00:00:00"/>
        <d v="2015-02-19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5-04-01T00:00:00"/>
        <d v="2015-04-02T00:00:00"/>
        <d v="2015-04-03T00:00:00"/>
        <d v="2015-04-04T00:00:00"/>
        <d v="2015-04-05T00:00:00"/>
        <d v="2015-04-06T00:00:00"/>
        <d v="2015-04-07T00:00:00"/>
        <d v="2015-04-08T00:00:00"/>
        <d v="2015-04-09T00:00:00"/>
        <d v="2015-04-10T00:00:00"/>
        <d v="2015-04-11T00:00:00"/>
        <d v="2015-04-12T00:00:00"/>
        <d v="2015-04-13T00:00:00"/>
        <d v="2015-04-14T00:00:00"/>
        <d v="2015-04-15T00:00:00"/>
        <d v="2015-04-16T00:00:00"/>
        <d v="2015-04-17T00:00:00"/>
        <d v="2015-04-18T00:00:00"/>
        <d v="2015-04-19T00:00:00"/>
        <d v="2015-04-20T00:00:00"/>
        <d v="2015-04-21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5-31T00:00:00"/>
        <d v="2015-06-01T00:00:00"/>
        <d v="2015-06-02T00:00:00"/>
        <d v="2015-06-03T00:00:00"/>
        <d v="2015-06-04T00:00:00"/>
        <d v="2015-06-05T00:00:00"/>
        <d v="2015-06-06T00:00:00"/>
        <d v="2015-06-07T00:00:00"/>
        <d v="2015-06-08T00:00:00"/>
        <d v="2015-06-09T00:00:00"/>
        <d v="2015-06-10T00:00:00"/>
        <d v="2015-06-11T00:00:00"/>
        <d v="2015-06-12T00:00:00"/>
        <d v="2015-06-13T00:00:00"/>
        <d v="2015-06-14T00:00:00"/>
        <d v="2015-06-15T00:00:00"/>
        <d v="2015-06-16T00:00:00"/>
        <d v="2015-06-17T00:00:00"/>
        <d v="2015-06-18T00:00:00"/>
        <d v="2015-06-19T00:00:00"/>
        <d v="2015-06-20T00:00:00"/>
        <d v="2015-06-21T00:00:00"/>
        <d v="2015-06-22T00:00:00"/>
        <d v="2015-06-23T00:00:00"/>
        <d v="2015-06-24T00:00:00"/>
        <d v="2015-06-25T00:00:00"/>
        <d v="2015-06-26T00:00:00"/>
        <d v="2015-06-27T00:00:00"/>
        <d v="2015-06-28T00:00:00"/>
        <d v="2015-06-29T00:00:00"/>
        <d v="2015-06-30T00:00:00"/>
        <d v="2015-07-01T00:00:00"/>
        <d v="2015-07-02T00:00:00"/>
        <d v="2015-07-03T00:00:00"/>
        <d v="2015-07-04T00:00:00"/>
        <d v="2015-07-05T00:00:00"/>
        <d v="2015-07-06T00:00:00"/>
        <d v="2015-07-07T00:00:00"/>
        <d v="2015-07-08T00:00:00"/>
        <d v="2015-07-09T00:00:00"/>
        <d v="2015-07-10T00:00:00"/>
        <d v="2015-07-11T00:00:00"/>
        <d v="2015-07-12T00:00:00"/>
        <d v="2015-07-13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8T00:00:00"/>
        <d v="2015-07-29T00:00:00"/>
        <d v="2015-07-30T00:00:00"/>
        <d v="2015-07-31T00:00:00"/>
        <d v="2015-08-01T00:00:00"/>
        <d v="2015-08-02T00:00:00"/>
        <d v="2015-08-03T00:00:00"/>
        <d v="2015-08-04T00:00:00"/>
        <d v="2015-08-05T00:00:00"/>
        <d v="2015-08-06T00:00:00"/>
        <d v="2015-08-07T00:00:00"/>
        <d v="2015-08-08T00:00:00"/>
        <d v="2015-08-09T00:00:00"/>
        <d v="2015-08-10T00:00:00"/>
        <d v="2015-08-11T00:00:00"/>
        <d v="2015-08-12T00:00:00"/>
        <d v="2015-08-13T00:00:00"/>
        <d v="2015-08-14T00:00:00"/>
        <d v="2015-08-15T00:00:00"/>
        <d v="2015-08-16T00:00:00"/>
        <d v="2015-08-17T00:00:00"/>
        <d v="2015-08-18T00:00:00"/>
        <d v="2015-08-19T00:00:00"/>
        <d v="2015-08-20T00:00:00"/>
        <d v="2015-08-21T00:00:00"/>
        <d v="2015-08-22T00:00:00"/>
        <d v="2015-08-23T00:00:00"/>
        <d v="2015-08-24T00:00:00"/>
        <d v="2015-08-25T00:00:00"/>
        <d v="2015-08-26T00:00:00"/>
        <d v="2015-08-27T00:00:00"/>
      </sharedItems>
      <fieldGroup par="26"/>
    </cacheField>
    <cacheField name="Inventory Margin" numFmtId="0">
      <sharedItems containsSemiMixedTypes="0" containsString="0" containsNumber="1" containsInteger="1" minValue="-3534" maxValue="8252"/>
    </cacheField>
    <cacheField name="Margin" numFmtId="0">
      <sharedItems containsSemiMixedTypes="0" containsString="0" containsNumber="1" containsInteger="1" minValue="-294" maxValue="526"/>
    </cacheField>
    <cacheField name="Market_size" numFmtId="0">
      <sharedItems/>
    </cacheField>
    <cacheField name="Market" numFmtId="0">
      <sharedItems count="4">
        <s v="Central"/>
        <s v="South"/>
        <s v="East"/>
        <s v="West"/>
      </sharedItems>
    </cacheField>
    <cacheField name="Marketing" numFmtId="0">
      <sharedItems containsSemiMixedTypes="0" containsString="0" containsNumber="1" containsInteger="1" minValue="0" maxValue="122"/>
    </cacheField>
    <cacheField name="Product_line" numFmtId="0">
      <sharedItems count="2">
        <s v="Leaves"/>
        <s v="Beans"/>
      </sharedItems>
    </cacheField>
    <cacheField name="Product_type" numFmtId="0">
      <sharedItems count="4">
        <s v="Herbal Tea"/>
        <s v="Tea"/>
        <s v="Espresso"/>
        <s v="Coffee"/>
      </sharedItems>
    </cacheField>
    <cacheField name="Product" numFmtId="0">
      <sharedItems count="13">
        <s v="Lemon"/>
        <s v="Mint"/>
        <s v="Darjeeling"/>
        <s v="Green Tea"/>
        <s v="Decaf Espresso"/>
        <s v="Decaf Irish Cream"/>
        <s v="Amaretto"/>
        <s v="Colombian"/>
        <s v="Caffe Mocha"/>
        <s v="Caffe Latte"/>
        <s v="Chamomile"/>
        <s v="Earl Grey"/>
        <s v="Regular Espresso"/>
      </sharedItems>
    </cacheField>
    <cacheField name="Profit" numFmtId="0">
      <sharedItems containsSemiMixedTypes="0" containsString="0" containsNumber="1" containsInteger="1" minValue="-605" maxValue="646"/>
    </cacheField>
    <cacheField name="Sales" numFmtId="0">
      <sharedItems containsSemiMixedTypes="0" containsString="0" containsNumber="1" containsInteger="1" minValue="21" maxValue="815"/>
    </cacheField>
    <cacheField name="State" numFmtId="0">
      <sharedItems/>
    </cacheField>
    <cacheField name="Target_cogs" numFmtId="0">
      <sharedItems containsSemiMixedTypes="0" containsString="0" containsNumber="1" containsInteger="1" minValue="0" maxValue="380"/>
    </cacheField>
    <cacheField name="Target_margin" numFmtId="0">
      <sharedItems containsSemiMixedTypes="0" containsString="0" containsNumber="1" containsInteger="1" minValue="-210" maxValue="580"/>
    </cacheField>
    <cacheField name="Target_profit" numFmtId="0">
      <sharedItems containsSemiMixedTypes="0" containsString="0" containsNumber="1" containsInteger="1" minValue="-320" maxValue="470"/>
    </cacheField>
    <cacheField name="Target_sales " numFmtId="0">
      <sharedItems containsSemiMixedTypes="0" containsString="0" containsNumber="1" containsInteger="1" minValue="0" maxValue="960"/>
    </cacheField>
    <cacheField name="Total_expenses" numFmtId="0">
      <sharedItems containsSemiMixedTypes="0" containsString="0" containsNumber="1" containsInteger="1" minValue="11" maxValue="156"/>
    </cacheField>
    <cacheField name="Type" numFmtId="0">
      <sharedItems/>
    </cacheField>
    <cacheField name="Profit Margin" numFmtId="0">
      <sharedItems containsSemiMixedTypes="0" containsString="0" containsNumber="1" minValue="-24.5" maxValue="1.0662983425414365"/>
    </cacheField>
    <cacheField name="Actual vs Target Profit Variance" numFmtId="0">
      <sharedItems containsSemiMixedTypes="0" containsString="0" containsNumber="1" containsInteger="1" minValue="-369" maxValue="249"/>
    </cacheField>
    <cacheField name="Actual vs Target Sales Variance" numFmtId="0">
      <sharedItems containsSemiMixedTypes="0" containsString="0" containsNumber="1" containsInteger="1" minValue="-310" maxValue="347"/>
    </cacheField>
    <cacheField name="Months (Date)" numFmtId="0" databaseField="0">
      <fieldGroup base="3">
        <rangePr groupBy="months" startDate="2012-10-01T00:00:00" endDate="2015-08-28T00:00:00"/>
        <groupItems count="14">
          <s v="&lt;10/1/2012"/>
          <s v="Jan"/>
          <s v="Feb"/>
          <s v="Mar"/>
          <s v="Apr"/>
          <s v="May"/>
          <s v="Jun"/>
          <s v="Jul"/>
          <s v="Aug"/>
          <s v="Sep"/>
          <s v="Oct"/>
          <s v="Nov"/>
          <s v="Dec"/>
          <s v="&gt;8/28/2015"/>
        </groupItems>
      </fieldGroup>
    </cacheField>
    <cacheField name="Quarters (Date)" numFmtId="0" databaseField="0">
      <fieldGroup base="3">
        <rangePr groupBy="quarters" startDate="2012-10-01T00:00:00" endDate="2015-08-28T00:00:00"/>
        <groupItems count="6">
          <s v="&lt;10/1/2012"/>
          <s v="Qtr1"/>
          <s v="Qtr2"/>
          <s v="Qtr3"/>
          <s v="Qtr4"/>
          <s v="&gt;8/28/2015"/>
        </groupItems>
      </fieldGroup>
    </cacheField>
    <cacheField name="Years (Date)" numFmtId="0" databaseField="0">
      <fieldGroup base="3">
        <rangePr groupBy="years" startDate="2012-10-01T00:00:00" endDate="2015-08-28T00:00:00"/>
        <groupItems count="6">
          <s v="&lt;10/1/2012"/>
          <s v="2012"/>
          <s v="2013"/>
          <s v="2014"/>
          <s v="2015"/>
          <s v="&gt;8/28/2015"/>
        </groupItems>
      </fieldGroup>
    </cacheField>
  </cacheFields>
  <extLst>
    <ext xmlns:x14="http://schemas.microsoft.com/office/spreadsheetml/2009/9/main" uri="{725AE2AE-9491-48be-B2B4-4EB974FC3084}">
      <x14:pivotCacheDefinition pivotCacheId="14026790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2">
  <r>
    <s v="303"/>
    <n v="51"/>
    <n v="-35"/>
    <x v="0"/>
    <n v="503"/>
    <n v="71"/>
    <s v="Major Market"/>
    <x v="0"/>
    <n v="46"/>
    <x v="0"/>
    <x v="0"/>
    <x v="0"/>
    <n v="-5"/>
    <n v="122"/>
    <s v="Colorado"/>
    <n v="30"/>
    <n v="60"/>
    <n v="30"/>
    <n v="90"/>
    <n v="76"/>
    <s v="Decaf"/>
    <n v="-4.0983606557377046E-2"/>
    <n v="-35"/>
    <n v="32"/>
  </r>
  <r>
    <s v="970"/>
    <n v="52"/>
    <n v="-24"/>
    <x v="0"/>
    <n v="405"/>
    <n v="71"/>
    <s v="Major Market"/>
    <x v="0"/>
    <n v="17"/>
    <x v="0"/>
    <x v="0"/>
    <x v="1"/>
    <n v="26"/>
    <n v="123"/>
    <s v="Colorado"/>
    <n v="30"/>
    <n v="60"/>
    <n v="50"/>
    <n v="90"/>
    <n v="45"/>
    <s v="Decaf"/>
    <n v="0.21138211382113822"/>
    <n v="-24"/>
    <n v="33"/>
  </r>
  <r>
    <s v="409"/>
    <n v="43"/>
    <n v="-22"/>
    <x v="1"/>
    <n v="419"/>
    <n v="64"/>
    <s v="Major Market"/>
    <x v="1"/>
    <n v="13"/>
    <x v="0"/>
    <x v="0"/>
    <x v="0"/>
    <n v="28"/>
    <n v="107"/>
    <s v="Texas"/>
    <n v="30"/>
    <n v="60"/>
    <n v="50"/>
    <n v="90"/>
    <n v="36"/>
    <s v="Decaf"/>
    <n v="0.26168224299065418"/>
    <n v="-22"/>
    <n v="17"/>
  </r>
  <r>
    <s v="850"/>
    <n v="38"/>
    <n v="-15"/>
    <x v="2"/>
    <n v="871"/>
    <n v="56"/>
    <s v="Major Market"/>
    <x v="2"/>
    <n v="10"/>
    <x v="0"/>
    <x v="1"/>
    <x v="2"/>
    <n v="35"/>
    <n v="94"/>
    <s v="Florida"/>
    <n v="40"/>
    <n v="60"/>
    <n v="50"/>
    <n v="100"/>
    <n v="21"/>
    <s v="Regular"/>
    <n v="0.37234042553191488"/>
    <n v="-15"/>
    <n v="-6"/>
  </r>
  <r>
    <s v="562"/>
    <n v="72"/>
    <n v="6"/>
    <x v="3"/>
    <n v="650"/>
    <n v="110"/>
    <s v="Major Market"/>
    <x v="3"/>
    <n v="23"/>
    <x v="0"/>
    <x v="1"/>
    <x v="3"/>
    <n v="56"/>
    <n v="182"/>
    <s v="California"/>
    <n v="20"/>
    <n v="60"/>
    <n v="50"/>
    <n v="80"/>
    <n v="54"/>
    <s v="Regular"/>
    <n v="0.30769230769230771"/>
    <n v="6"/>
    <n v="102"/>
  </r>
  <r>
    <s v="712"/>
    <n v="0"/>
    <n v="-29"/>
    <x v="4"/>
    <n v="430"/>
    <n v="43"/>
    <s v="Small Market"/>
    <x v="0"/>
    <n v="0"/>
    <x v="1"/>
    <x v="2"/>
    <x v="4"/>
    <n v="31"/>
    <n v="43"/>
    <s v="Iowa"/>
    <n v="0"/>
    <n v="60"/>
    <n v="60"/>
    <n v="60"/>
    <n v="12"/>
    <s v="Decaf"/>
    <n v="0.72093023255813948"/>
    <n v="-29"/>
    <n v="-17"/>
  </r>
  <r>
    <s v="860"/>
    <n v="47"/>
    <n v="-29"/>
    <x v="5"/>
    <n v="375"/>
    <n v="64"/>
    <s v="Small Market"/>
    <x v="2"/>
    <n v="15"/>
    <x v="1"/>
    <x v="2"/>
    <x v="4"/>
    <n v="21"/>
    <n v="111"/>
    <s v="Connecticut"/>
    <n v="30"/>
    <n v="60"/>
    <n v="50"/>
    <n v="90"/>
    <n v="43"/>
    <s v="Decaf"/>
    <n v="0.1891891891891892"/>
    <n v="-29"/>
    <n v="21"/>
  </r>
  <r>
    <s v="918"/>
    <n v="27"/>
    <n v="-39"/>
    <x v="6"/>
    <n v="859"/>
    <n v="39"/>
    <s v="Small Market"/>
    <x v="1"/>
    <n v="7"/>
    <x v="1"/>
    <x v="3"/>
    <x v="5"/>
    <n v="21"/>
    <n v="66"/>
    <s v="Oklahoma"/>
    <n v="30"/>
    <n v="60"/>
    <n v="60"/>
    <n v="90"/>
    <n v="18"/>
    <s v="Decaf"/>
    <n v="0.31818181818181818"/>
    <n v="-39"/>
    <n v="-24"/>
  </r>
  <r>
    <s v="775"/>
    <n v="31"/>
    <n v="-43"/>
    <x v="7"/>
    <n v="1000"/>
    <n v="37"/>
    <s v="Small Market"/>
    <x v="3"/>
    <n v="9"/>
    <x v="1"/>
    <x v="3"/>
    <x v="5"/>
    <n v="7"/>
    <n v="68"/>
    <s v="Nevada"/>
    <n v="30"/>
    <n v="60"/>
    <n v="50"/>
    <n v="90"/>
    <n v="30"/>
    <s v="Decaf"/>
    <n v="0.10294117647058823"/>
    <n v="-43"/>
    <n v="-22"/>
  </r>
  <r>
    <s v="435"/>
    <n v="40"/>
    <n v="-23"/>
    <x v="8"/>
    <n v="881"/>
    <n v="59"/>
    <s v="Small Market"/>
    <x v="3"/>
    <n v="11"/>
    <x v="1"/>
    <x v="2"/>
    <x v="4"/>
    <n v="37"/>
    <n v="99"/>
    <s v="Utah"/>
    <n v="20"/>
    <n v="60"/>
    <n v="60"/>
    <n v="80"/>
    <n v="22"/>
    <s v="Decaf"/>
    <n v="0.37373737373737376"/>
    <n v="-23"/>
    <n v="19"/>
  </r>
  <r>
    <s v="603"/>
    <n v="49"/>
    <n v="-27"/>
    <x v="9"/>
    <n v="310"/>
    <n v="71"/>
    <s v="Small Market"/>
    <x v="2"/>
    <n v="15"/>
    <x v="1"/>
    <x v="3"/>
    <x v="6"/>
    <n v="33"/>
    <n v="120"/>
    <s v="New Hampshire"/>
    <n v="30"/>
    <n v="60"/>
    <n v="60"/>
    <n v="90"/>
    <n v="38"/>
    <s v="Regular"/>
    <n v="0.27500000000000002"/>
    <n v="-27"/>
    <n v="30"/>
  </r>
  <r>
    <s v="603"/>
    <n v="45"/>
    <n v="-26"/>
    <x v="10"/>
    <n v="447"/>
    <n v="69"/>
    <s v="Small Market"/>
    <x v="2"/>
    <n v="14"/>
    <x v="1"/>
    <x v="3"/>
    <x v="7"/>
    <n v="24"/>
    <n v="114"/>
    <s v="New Hampshire"/>
    <n v="30"/>
    <n v="60"/>
    <n v="50"/>
    <n v="90"/>
    <n v="45"/>
    <s v="Regular"/>
    <n v="0.21052631578947367"/>
    <n v="-26"/>
    <n v="24"/>
  </r>
  <r>
    <s v="603"/>
    <n v="45"/>
    <n v="-37"/>
    <x v="11"/>
    <n v="320"/>
    <n v="64"/>
    <s v="Small Market"/>
    <x v="2"/>
    <n v="41"/>
    <x v="1"/>
    <x v="2"/>
    <x v="8"/>
    <n v="-7"/>
    <n v="109"/>
    <s v="New Hampshire"/>
    <n v="30"/>
    <n v="60"/>
    <n v="30"/>
    <n v="90"/>
    <n v="71"/>
    <s v="Regular"/>
    <n v="-6.4220183486238536E-2"/>
    <n v="-37"/>
    <n v="19"/>
  </r>
  <r>
    <s v="318"/>
    <n v="60"/>
    <n v="-9"/>
    <x v="12"/>
    <n v="-762"/>
    <n v="84"/>
    <s v="Small Market"/>
    <x v="1"/>
    <n v="54"/>
    <x v="1"/>
    <x v="2"/>
    <x v="9"/>
    <n v="1"/>
    <n v="144"/>
    <s v="Louisiana"/>
    <n v="30"/>
    <n v="60"/>
    <n v="10"/>
    <n v="90"/>
    <n v="83"/>
    <s v="Regular"/>
    <n v="6.9444444444444441E-3"/>
    <n v="-9"/>
    <n v="54"/>
  </r>
  <r>
    <s v="775"/>
    <n v="34"/>
    <n v="-32"/>
    <x v="13"/>
    <n v="240"/>
    <n v="43"/>
    <s v="Small Market"/>
    <x v="3"/>
    <n v="12"/>
    <x v="1"/>
    <x v="3"/>
    <x v="7"/>
    <n v="-2"/>
    <n v="77"/>
    <s v="Nevada"/>
    <n v="40"/>
    <n v="60"/>
    <n v="30"/>
    <n v="100"/>
    <n v="45"/>
    <s v="Regular"/>
    <n v="-2.5974025974025976E-2"/>
    <n v="-32"/>
    <n v="-23"/>
  </r>
  <r>
    <s v="503"/>
    <n v="54"/>
    <n v="-28"/>
    <x v="14"/>
    <n v="404"/>
    <n v="66"/>
    <s v="Small Market"/>
    <x v="3"/>
    <n v="20"/>
    <x v="1"/>
    <x v="2"/>
    <x v="9"/>
    <n v="12"/>
    <n v="120"/>
    <s v="Oregon"/>
    <n v="40"/>
    <n v="60"/>
    <n v="40"/>
    <n v="100"/>
    <n v="54"/>
    <s v="Regular"/>
    <n v="0.1"/>
    <n v="-28"/>
    <n v="20"/>
  </r>
  <r>
    <s v="573"/>
    <n v="45"/>
    <n v="-36"/>
    <x v="15"/>
    <n v="320"/>
    <n v="64"/>
    <s v="Small Market"/>
    <x v="0"/>
    <n v="41"/>
    <x v="0"/>
    <x v="0"/>
    <x v="10"/>
    <n v="-6"/>
    <n v="109"/>
    <s v="Missouri"/>
    <n v="20"/>
    <n v="60"/>
    <n v="30"/>
    <n v="80"/>
    <n v="70"/>
    <s v="Decaf"/>
    <n v="-5.5045871559633031E-2"/>
    <n v="-36"/>
    <n v="29"/>
  </r>
  <r>
    <s v="262"/>
    <n v="48"/>
    <n v="-15"/>
    <x v="16"/>
    <n v="851"/>
    <n v="70"/>
    <s v="Small Market"/>
    <x v="0"/>
    <n v="13"/>
    <x v="0"/>
    <x v="0"/>
    <x v="0"/>
    <n v="45"/>
    <n v="118"/>
    <s v="Wisconsin"/>
    <n v="30"/>
    <n v="60"/>
    <n v="60"/>
    <n v="90"/>
    <n v="25"/>
    <s v="Decaf"/>
    <n v="0.38135593220338981"/>
    <n v="-15"/>
    <n v="28"/>
  </r>
  <r>
    <s v="801"/>
    <n v="49"/>
    <n v="-27"/>
    <x v="17"/>
    <n v="310"/>
    <n v="71"/>
    <s v="Small Market"/>
    <x v="3"/>
    <n v="15"/>
    <x v="0"/>
    <x v="0"/>
    <x v="10"/>
    <n v="33"/>
    <n v="120"/>
    <s v="Utah"/>
    <n v="30"/>
    <n v="60"/>
    <n v="60"/>
    <n v="90"/>
    <n v="38"/>
    <s v="Decaf"/>
    <n v="0.27500000000000002"/>
    <n v="-27"/>
    <n v="30"/>
  </r>
  <r>
    <s v="425"/>
    <n v="48"/>
    <n v="-13"/>
    <x v="18"/>
    <n v="829"/>
    <n v="71"/>
    <s v="Small Market"/>
    <x v="3"/>
    <n v="13"/>
    <x v="0"/>
    <x v="0"/>
    <x v="0"/>
    <n v="47"/>
    <n v="119"/>
    <s v="Washington"/>
    <n v="30"/>
    <n v="60"/>
    <n v="60"/>
    <n v="90"/>
    <n v="24"/>
    <s v="Decaf"/>
    <n v="0.3949579831932773"/>
    <n v="-13"/>
    <n v="29"/>
  </r>
  <r>
    <s v="860"/>
    <n v="40"/>
    <n v="-14"/>
    <x v="19"/>
    <n v="881"/>
    <n v="59"/>
    <s v="Small Market"/>
    <x v="2"/>
    <n v="11"/>
    <x v="0"/>
    <x v="1"/>
    <x v="2"/>
    <n v="36"/>
    <n v="99"/>
    <s v="Connecticut"/>
    <n v="40"/>
    <n v="60"/>
    <n v="50"/>
    <n v="100"/>
    <n v="23"/>
    <s v="Regular"/>
    <n v="0.36363636363636365"/>
    <n v="-14"/>
    <n v="-1"/>
  </r>
  <r>
    <s v="971"/>
    <n v="82"/>
    <n v="14"/>
    <x v="20"/>
    <n v="788"/>
    <n v="123"/>
    <s v="Small Market"/>
    <x v="3"/>
    <n v="27"/>
    <x v="0"/>
    <x v="1"/>
    <x v="11"/>
    <n v="64"/>
    <n v="205"/>
    <s v="Oregon"/>
    <n v="30"/>
    <n v="60"/>
    <n v="50"/>
    <n v="90"/>
    <n v="59"/>
    <s v="Regular"/>
    <n v="0.31219512195121951"/>
    <n v="14"/>
    <n v="115"/>
  </r>
  <r>
    <s v="971"/>
    <n v="91"/>
    <n v="26"/>
    <x v="21"/>
    <n v="656"/>
    <n v="127"/>
    <s v="Small Market"/>
    <x v="3"/>
    <n v="28"/>
    <x v="0"/>
    <x v="1"/>
    <x v="3"/>
    <n v="76"/>
    <n v="218"/>
    <s v="Oregon"/>
    <n v="40"/>
    <n v="60"/>
    <n v="50"/>
    <n v="100"/>
    <n v="51"/>
    <s v="Regular"/>
    <n v="0.34862385321100919"/>
    <n v="26"/>
    <n v="118"/>
  </r>
  <r>
    <s v="915"/>
    <n v="40"/>
    <n v="-14"/>
    <x v="22"/>
    <n v="536"/>
    <n v="52"/>
    <s v="Major Market"/>
    <x v="1"/>
    <n v="13"/>
    <x v="1"/>
    <x v="3"/>
    <x v="5"/>
    <n v="26"/>
    <n v="92"/>
    <s v="Texas"/>
    <n v="40"/>
    <n v="60"/>
    <n v="40"/>
    <n v="100"/>
    <n v="26"/>
    <s v="Decaf"/>
    <n v="0.28260869565217389"/>
    <n v="-14"/>
    <n v="-8"/>
  </r>
  <r>
    <s v="210"/>
    <n v="50"/>
    <n v="8"/>
    <x v="23"/>
    <n v="589"/>
    <n v="73"/>
    <s v="Major Market"/>
    <x v="1"/>
    <n v="14"/>
    <x v="1"/>
    <x v="2"/>
    <x v="4"/>
    <n v="48"/>
    <n v="123"/>
    <s v="Texas"/>
    <n v="30"/>
    <n v="60"/>
    <n v="40"/>
    <n v="90"/>
    <n v="25"/>
    <s v="Decaf"/>
    <n v="0.3902439024390244"/>
    <n v="8"/>
    <n v="33"/>
  </r>
  <r>
    <s v="970"/>
    <n v="40"/>
    <n v="-13"/>
    <x v="24"/>
    <n v="536"/>
    <n v="52"/>
    <s v="Major Market"/>
    <x v="0"/>
    <n v="13"/>
    <x v="1"/>
    <x v="3"/>
    <x v="7"/>
    <n v="27"/>
    <n v="92"/>
    <s v="Colorado"/>
    <n v="30"/>
    <n v="60"/>
    <n v="40"/>
    <n v="90"/>
    <n v="25"/>
    <s v="Regular"/>
    <n v="0.29347826086956524"/>
    <n v="-13"/>
    <n v="2"/>
  </r>
  <r>
    <s v="774"/>
    <n v="52"/>
    <n v="-8"/>
    <x v="25"/>
    <n v="554"/>
    <n v="68"/>
    <s v="Major Market"/>
    <x v="2"/>
    <n v="47"/>
    <x v="1"/>
    <x v="2"/>
    <x v="8"/>
    <n v="-8"/>
    <n v="120"/>
    <s v="Massachusetts"/>
    <n v="50"/>
    <n v="60"/>
    <n v="0"/>
    <n v="110"/>
    <n v="76"/>
    <s v="Regular"/>
    <n v="-6.6666666666666666E-2"/>
    <n v="-8"/>
    <n v="10"/>
  </r>
  <r>
    <s v="954"/>
    <n v="75"/>
    <n v="14"/>
    <x v="26"/>
    <n v="1063"/>
    <n v="89"/>
    <s v="Major Market"/>
    <x v="2"/>
    <n v="23"/>
    <x v="0"/>
    <x v="0"/>
    <x v="1"/>
    <n v="44"/>
    <n v="164"/>
    <s v="Florida"/>
    <n v="50"/>
    <n v="60"/>
    <n v="30"/>
    <n v="110"/>
    <n v="45"/>
    <s v="Decaf"/>
    <n v="0.26829268292682928"/>
    <n v="14"/>
    <n v="54"/>
  </r>
  <r>
    <s v="936"/>
    <n v="46"/>
    <n v="1"/>
    <x v="27"/>
    <n v="424"/>
    <n v="68"/>
    <s v="Major Market"/>
    <x v="1"/>
    <n v="14"/>
    <x v="0"/>
    <x v="0"/>
    <x v="0"/>
    <n v="31"/>
    <n v="114"/>
    <s v="Texas"/>
    <n v="40"/>
    <n v="60"/>
    <n v="30"/>
    <n v="100"/>
    <n v="37"/>
    <s v="Decaf"/>
    <n v="0.27192982456140352"/>
    <n v="1"/>
    <n v="14"/>
  </r>
  <r>
    <s v="719"/>
    <n v="55"/>
    <n v="-5"/>
    <x v="28"/>
    <n v="410"/>
    <n v="69"/>
    <s v="Major Market"/>
    <x v="0"/>
    <n v="20"/>
    <x v="0"/>
    <x v="1"/>
    <x v="2"/>
    <n v="15"/>
    <n v="124"/>
    <s v="Colorado"/>
    <n v="40"/>
    <n v="60"/>
    <n v="20"/>
    <n v="100"/>
    <n v="54"/>
    <s v="Regular"/>
    <n v="0.12096774193548387"/>
    <n v="-5"/>
    <n v="24"/>
  </r>
  <r>
    <s v="847"/>
    <n v="50"/>
    <n v="8"/>
    <x v="29"/>
    <n v="589"/>
    <n v="73"/>
    <s v="Major Market"/>
    <x v="0"/>
    <n v="14"/>
    <x v="0"/>
    <x v="1"/>
    <x v="2"/>
    <n v="48"/>
    <n v="123"/>
    <s v="Illinois"/>
    <n v="40"/>
    <n v="60"/>
    <n v="40"/>
    <n v="100"/>
    <n v="25"/>
    <s v="Regular"/>
    <n v="0.3902439024390244"/>
    <n v="8"/>
    <n v="23"/>
  </r>
  <r>
    <s v="719"/>
    <n v="57"/>
    <n v="-1"/>
    <x v="30"/>
    <n v="1042"/>
    <n v="68"/>
    <s v="Major Market"/>
    <x v="0"/>
    <n v="17"/>
    <x v="0"/>
    <x v="1"/>
    <x v="11"/>
    <n v="29"/>
    <n v="125"/>
    <s v="Colorado"/>
    <n v="40"/>
    <n v="60"/>
    <n v="30"/>
    <n v="100"/>
    <n v="39"/>
    <s v="Regular"/>
    <n v="0.23200000000000001"/>
    <n v="-1"/>
    <n v="25"/>
  </r>
  <r>
    <s v="339"/>
    <n v="36"/>
    <n v="-9"/>
    <x v="31"/>
    <n v="862"/>
    <n v="52"/>
    <s v="Major Market"/>
    <x v="2"/>
    <n v="10"/>
    <x v="0"/>
    <x v="1"/>
    <x v="2"/>
    <n v="31"/>
    <n v="88"/>
    <s v="Massachusetts"/>
    <n v="30"/>
    <n v="60"/>
    <n v="40"/>
    <n v="90"/>
    <n v="21"/>
    <s v="Regular"/>
    <n v="0.35227272727272729"/>
    <n v="-9"/>
    <n v="-2"/>
  </r>
  <r>
    <s v="314"/>
    <n v="33"/>
    <n v="-23"/>
    <x v="32"/>
    <n v="836"/>
    <n v="48"/>
    <s v="Small Market"/>
    <x v="0"/>
    <n v="9"/>
    <x v="1"/>
    <x v="2"/>
    <x v="4"/>
    <n v="27"/>
    <n v="81"/>
    <s v="Missouri"/>
    <n v="40"/>
    <n v="60"/>
    <n v="50"/>
    <n v="100"/>
    <n v="21"/>
    <s v="Decaf"/>
    <n v="0.33333333333333331"/>
    <n v="-23"/>
    <n v="-19"/>
  </r>
  <r>
    <s v="504"/>
    <n v="31"/>
    <n v="-22"/>
    <x v="33"/>
    <n v="856"/>
    <n v="47"/>
    <s v="Small Market"/>
    <x v="1"/>
    <n v="8"/>
    <x v="1"/>
    <x v="3"/>
    <x v="5"/>
    <n v="28"/>
    <n v="78"/>
    <s v="Louisiana"/>
    <n v="30"/>
    <n v="60"/>
    <n v="50"/>
    <n v="90"/>
    <n v="19"/>
    <s v="Decaf"/>
    <n v="0.35897435897435898"/>
    <n v="-22"/>
    <n v="-12"/>
  </r>
  <r>
    <s v="580"/>
    <n v="36"/>
    <n v="-10"/>
    <x v="34"/>
    <n v="862"/>
    <n v="52"/>
    <s v="Small Market"/>
    <x v="1"/>
    <n v="10"/>
    <x v="1"/>
    <x v="3"/>
    <x v="5"/>
    <n v="30"/>
    <n v="88"/>
    <s v="Oklahoma"/>
    <n v="40"/>
    <n v="60"/>
    <n v="40"/>
    <n v="100"/>
    <n v="22"/>
    <s v="Decaf"/>
    <n v="0.34090909090909088"/>
    <n v="-10"/>
    <n v="-12"/>
  </r>
  <r>
    <s v="225"/>
    <n v="49"/>
    <n v="4"/>
    <x v="35"/>
    <n v="454"/>
    <n v="71"/>
    <s v="Small Market"/>
    <x v="1"/>
    <n v="15"/>
    <x v="1"/>
    <x v="2"/>
    <x v="4"/>
    <n v="34"/>
    <n v="120"/>
    <s v="Louisiana"/>
    <n v="30"/>
    <n v="60"/>
    <n v="30"/>
    <n v="90"/>
    <n v="37"/>
    <s v="Decaf"/>
    <n v="0.28333333333333333"/>
    <n v="4"/>
    <n v="30"/>
  </r>
  <r>
    <s v="262"/>
    <n v="54"/>
    <n v="-6"/>
    <x v="36"/>
    <n v="391"/>
    <n v="67"/>
    <s v="Small Market"/>
    <x v="0"/>
    <n v="20"/>
    <x v="1"/>
    <x v="3"/>
    <x v="6"/>
    <n v="14"/>
    <n v="121"/>
    <s v="Wisconsin"/>
    <n v="50"/>
    <n v="60"/>
    <n v="20"/>
    <n v="110"/>
    <n v="53"/>
    <s v="Regular"/>
    <n v="0.11570247933884298"/>
    <n v="-6"/>
    <n v="11"/>
  </r>
  <r>
    <s v="603"/>
    <n v="46"/>
    <n v="-10"/>
    <x v="37"/>
    <n v="316"/>
    <n v="67"/>
    <s v="Small Market"/>
    <x v="2"/>
    <n v="14"/>
    <x v="1"/>
    <x v="3"/>
    <x v="6"/>
    <n v="30"/>
    <n v="113"/>
    <s v="New Hampshire"/>
    <n v="40"/>
    <n v="60"/>
    <n v="40"/>
    <n v="100"/>
    <n v="37"/>
    <s v="Regular"/>
    <n v="0.26548672566371684"/>
    <n v="-10"/>
    <n v="13"/>
  </r>
  <r>
    <s v="603"/>
    <n v="43"/>
    <n v="-10"/>
    <x v="38"/>
    <n v="452"/>
    <n v="66"/>
    <s v="Small Market"/>
    <x v="2"/>
    <n v="14"/>
    <x v="1"/>
    <x v="3"/>
    <x v="7"/>
    <n v="20"/>
    <n v="109"/>
    <s v="New Hampshire"/>
    <n v="30"/>
    <n v="60"/>
    <n v="30"/>
    <n v="90"/>
    <n v="46"/>
    <s v="Regular"/>
    <n v="0.1834862385321101"/>
    <n v="-10"/>
    <n v="19"/>
  </r>
  <r>
    <s v="603"/>
    <n v="44"/>
    <n v="-18"/>
    <x v="39"/>
    <n v="325"/>
    <n v="62"/>
    <s v="Small Market"/>
    <x v="2"/>
    <n v="40"/>
    <x v="1"/>
    <x v="2"/>
    <x v="8"/>
    <n v="-8"/>
    <n v="106"/>
    <s v="New Hampshire"/>
    <n v="40"/>
    <n v="60"/>
    <n v="10"/>
    <n v="100"/>
    <n v="70"/>
    <s v="Regular"/>
    <n v="-7.5471698113207544E-2"/>
    <n v="-18"/>
    <n v="6"/>
  </r>
  <r>
    <s v="225"/>
    <n v="53"/>
    <n v="19"/>
    <x v="40"/>
    <n v="321"/>
    <n v="88"/>
    <s v="Small Market"/>
    <x v="1"/>
    <n v="16"/>
    <x v="1"/>
    <x v="2"/>
    <x v="8"/>
    <n v="49"/>
    <n v="141"/>
    <s v="Louisiana"/>
    <n v="40"/>
    <n v="60"/>
    <n v="30"/>
    <n v="100"/>
    <n v="39"/>
    <s v="Regular"/>
    <n v="0.3475177304964539"/>
    <n v="19"/>
    <n v="41"/>
  </r>
  <r>
    <s v="425"/>
    <n v="54"/>
    <n v="-7"/>
    <x v="41"/>
    <n v="391"/>
    <n v="67"/>
    <s v="Small Market"/>
    <x v="3"/>
    <n v="20"/>
    <x v="1"/>
    <x v="2"/>
    <x v="8"/>
    <n v="13"/>
    <n v="121"/>
    <s v="Washington"/>
    <n v="50"/>
    <n v="60"/>
    <n v="20"/>
    <n v="110"/>
    <n v="54"/>
    <s v="Regular"/>
    <n v="0.10743801652892562"/>
    <n v="-7"/>
    <n v="11"/>
  </r>
  <r>
    <s v="918"/>
    <n v="54"/>
    <n v="-7"/>
    <x v="42"/>
    <n v="391"/>
    <n v="67"/>
    <s v="Small Market"/>
    <x v="1"/>
    <n v="20"/>
    <x v="0"/>
    <x v="0"/>
    <x v="10"/>
    <n v="13"/>
    <n v="121"/>
    <s v="Oklahoma"/>
    <n v="50"/>
    <n v="60"/>
    <n v="20"/>
    <n v="110"/>
    <n v="54"/>
    <s v="Decaf"/>
    <n v="0.10743801652892562"/>
    <n v="-7"/>
    <n v="11"/>
  </r>
  <r>
    <s v="801"/>
    <n v="46"/>
    <n v="0"/>
    <x v="43"/>
    <n v="316"/>
    <n v="67"/>
    <s v="Small Market"/>
    <x v="3"/>
    <n v="14"/>
    <x v="0"/>
    <x v="0"/>
    <x v="10"/>
    <n v="30"/>
    <n v="113"/>
    <s v="Utah"/>
    <n v="40"/>
    <n v="60"/>
    <n v="30"/>
    <n v="100"/>
    <n v="37"/>
    <s v="Decaf"/>
    <n v="0.26548672566371684"/>
    <n v="0"/>
    <n v="13"/>
  </r>
  <r>
    <s v="435"/>
    <n v="43"/>
    <n v="-10"/>
    <x v="44"/>
    <n v="452"/>
    <n v="66"/>
    <s v="Small Market"/>
    <x v="3"/>
    <n v="14"/>
    <x v="0"/>
    <x v="0"/>
    <x v="0"/>
    <n v="20"/>
    <n v="109"/>
    <s v="Utah"/>
    <n v="40"/>
    <n v="60"/>
    <n v="30"/>
    <n v="100"/>
    <n v="46"/>
    <s v="Decaf"/>
    <n v="0.1834862385321101"/>
    <n v="-10"/>
    <n v="9"/>
  </r>
  <r>
    <s v="509"/>
    <n v="47"/>
    <n v="4"/>
    <x v="45"/>
    <n v="834"/>
    <n v="68"/>
    <s v="Small Market"/>
    <x v="3"/>
    <n v="13"/>
    <x v="0"/>
    <x v="0"/>
    <x v="0"/>
    <n v="44"/>
    <n v="115"/>
    <s v="Washington"/>
    <n v="40"/>
    <n v="60"/>
    <n v="40"/>
    <n v="100"/>
    <n v="24"/>
    <s v="Decaf"/>
    <n v="0.38260869565217392"/>
    <n v="4"/>
    <n v="15"/>
  </r>
  <r>
    <s v="203"/>
    <n v="36"/>
    <n v="-7"/>
    <x v="46"/>
    <n v="809"/>
    <n v="54"/>
    <s v="Small Market"/>
    <x v="2"/>
    <n v="10"/>
    <x v="0"/>
    <x v="1"/>
    <x v="3"/>
    <n v="33"/>
    <n v="90"/>
    <s v="Connecticut"/>
    <n v="30"/>
    <n v="60"/>
    <n v="40"/>
    <n v="90"/>
    <n v="21"/>
    <s v="Regular"/>
    <n v="0.36666666666666664"/>
    <n v="-7"/>
    <n v="0"/>
  </r>
  <r>
    <s v="206"/>
    <n v="61"/>
    <n v="1"/>
    <x v="47"/>
    <n v="613"/>
    <n v="86"/>
    <s v="Small Market"/>
    <x v="3"/>
    <n v="55"/>
    <x v="0"/>
    <x v="1"/>
    <x v="3"/>
    <n v="1"/>
    <n v="147"/>
    <s v="Washington"/>
    <n v="40"/>
    <n v="60"/>
    <n v="0"/>
    <n v="100"/>
    <n v="85"/>
    <s v="Regular"/>
    <n v="6.8027210884353739E-3"/>
    <n v="1"/>
    <n v="47"/>
  </r>
  <r>
    <s v="682"/>
    <n v="43"/>
    <n v="-10"/>
    <x v="48"/>
    <n v="531"/>
    <n v="56"/>
    <s v="Major Market"/>
    <x v="1"/>
    <n v="14"/>
    <x v="1"/>
    <x v="3"/>
    <x v="5"/>
    <n v="30"/>
    <n v="99"/>
    <s v="Texas"/>
    <n v="50"/>
    <n v="60"/>
    <n v="40"/>
    <n v="110"/>
    <n v="26"/>
    <s v="Decaf"/>
    <n v="0.30303030303030304"/>
    <n v="-10"/>
    <n v="-11"/>
  </r>
  <r>
    <s v="214"/>
    <n v="54"/>
    <n v="12"/>
    <x v="49"/>
    <n v="601"/>
    <n v="79"/>
    <s v="Major Market"/>
    <x v="1"/>
    <n v="15"/>
    <x v="1"/>
    <x v="2"/>
    <x v="4"/>
    <n v="52"/>
    <n v="133"/>
    <s v="Texas"/>
    <n v="40"/>
    <n v="60"/>
    <n v="40"/>
    <n v="100"/>
    <n v="27"/>
    <s v="Decaf"/>
    <n v="0.39097744360902253"/>
    <n v="12"/>
    <n v="33"/>
  </r>
  <r>
    <s v="970"/>
    <n v="47"/>
    <n v="-6"/>
    <x v="50"/>
    <n v="521"/>
    <n v="65"/>
    <s v="Major Market"/>
    <x v="0"/>
    <n v="42"/>
    <x v="0"/>
    <x v="0"/>
    <x v="0"/>
    <n v="-6"/>
    <n v="112"/>
    <s v="Colorado"/>
    <n v="40"/>
    <n v="60"/>
    <n v="0"/>
    <n v="100"/>
    <n v="71"/>
    <s v="Decaf"/>
    <n v="-5.3571428571428568E-2"/>
    <n v="-6"/>
    <n v="12"/>
  </r>
  <r>
    <s v="303"/>
    <n v="54"/>
    <n v="-1"/>
    <x v="51"/>
    <n v="424"/>
    <n v="73"/>
    <s v="Major Market"/>
    <x v="0"/>
    <n v="17"/>
    <x v="0"/>
    <x v="0"/>
    <x v="1"/>
    <n v="29"/>
    <n v="127"/>
    <s v="Colorado"/>
    <n v="50"/>
    <n v="60"/>
    <n v="30"/>
    <n v="110"/>
    <n v="44"/>
    <s v="Decaf"/>
    <n v="0.2283464566929134"/>
    <n v="-1"/>
    <n v="17"/>
  </r>
  <r>
    <s v="954"/>
    <n v="65"/>
    <n v="3"/>
    <x v="52"/>
    <n v="403"/>
    <n v="80"/>
    <s v="Major Market"/>
    <x v="2"/>
    <n v="24"/>
    <x v="0"/>
    <x v="0"/>
    <x v="0"/>
    <n v="23"/>
    <n v="145"/>
    <s v="Florida"/>
    <n v="40"/>
    <n v="60"/>
    <n v="20"/>
    <n v="100"/>
    <n v="57"/>
    <s v="Decaf"/>
    <n v="0.15862068965517243"/>
    <n v="3"/>
    <n v="45"/>
  </r>
  <r>
    <s v="561"/>
    <n v="80"/>
    <n v="20"/>
    <x v="53"/>
    <n v="1079"/>
    <n v="96"/>
    <s v="Major Market"/>
    <x v="2"/>
    <n v="24"/>
    <x v="0"/>
    <x v="0"/>
    <x v="1"/>
    <n v="50"/>
    <n v="176"/>
    <s v="Florida"/>
    <n v="60"/>
    <n v="60"/>
    <n v="30"/>
    <n v="120"/>
    <n v="46"/>
    <s v="Decaf"/>
    <n v="0.28409090909090912"/>
    <n v="20"/>
    <n v="56"/>
  </r>
  <r>
    <s v="469"/>
    <n v="54"/>
    <n v="-2"/>
    <x v="54"/>
    <n v="424"/>
    <n v="73"/>
    <s v="Major Market"/>
    <x v="1"/>
    <n v="17"/>
    <x v="0"/>
    <x v="0"/>
    <x v="10"/>
    <n v="28"/>
    <n v="127"/>
    <s v="Texas"/>
    <n v="50"/>
    <n v="60"/>
    <n v="30"/>
    <n v="110"/>
    <n v="45"/>
    <s v="Decaf"/>
    <n v="0.22047244094488189"/>
    <n v="-2"/>
    <n v="17"/>
  </r>
  <r>
    <s v="214"/>
    <n v="41"/>
    <n v="-6"/>
    <x v="55"/>
    <n v="435"/>
    <n v="60"/>
    <s v="Major Market"/>
    <x v="1"/>
    <n v="13"/>
    <x v="0"/>
    <x v="0"/>
    <x v="0"/>
    <n v="24"/>
    <n v="101"/>
    <s v="Texas"/>
    <n v="30"/>
    <n v="60"/>
    <n v="30"/>
    <n v="90"/>
    <n v="36"/>
    <s v="Decaf"/>
    <n v="0.23762376237623761"/>
    <n v="-6"/>
    <n v="11"/>
  </r>
  <r>
    <s v="619"/>
    <n v="54"/>
    <n v="3"/>
    <x v="56"/>
    <n v="601"/>
    <n v="79"/>
    <s v="Major Market"/>
    <x v="3"/>
    <n v="15"/>
    <x v="0"/>
    <x v="1"/>
    <x v="11"/>
    <n v="53"/>
    <n v="133"/>
    <s v="California"/>
    <n v="30"/>
    <n v="60"/>
    <n v="50"/>
    <n v="90"/>
    <n v="26"/>
    <s v="Regular"/>
    <n v="0.39849624060150374"/>
    <n v="3"/>
    <n v="43"/>
  </r>
  <r>
    <s v="314"/>
    <n v="31"/>
    <n v="-23"/>
    <x v="57"/>
    <n v="844"/>
    <n v="46"/>
    <s v="Small Market"/>
    <x v="0"/>
    <n v="8"/>
    <x v="1"/>
    <x v="2"/>
    <x v="4"/>
    <n v="27"/>
    <n v="77"/>
    <s v="Missouri"/>
    <n v="30"/>
    <n v="60"/>
    <n v="50"/>
    <n v="90"/>
    <n v="19"/>
    <s v="Decaf"/>
    <n v="0.35064935064935066"/>
    <n v="-23"/>
    <n v="-13"/>
  </r>
  <r>
    <s v="225"/>
    <n v="34"/>
    <n v="-19"/>
    <x v="58"/>
    <n v="863"/>
    <n v="51"/>
    <s v="Small Market"/>
    <x v="1"/>
    <n v="9"/>
    <x v="1"/>
    <x v="3"/>
    <x v="5"/>
    <n v="31"/>
    <n v="85"/>
    <s v="Louisiana"/>
    <n v="40"/>
    <n v="60"/>
    <n v="50"/>
    <n v="100"/>
    <n v="20"/>
    <s v="Decaf"/>
    <n v="0.36470588235294116"/>
    <n v="-19"/>
    <n v="-15"/>
  </r>
  <r>
    <s v="580"/>
    <n v="33"/>
    <n v="-22"/>
    <x v="59"/>
    <n v="870"/>
    <n v="49"/>
    <s v="Small Market"/>
    <x v="1"/>
    <n v="9"/>
    <x v="1"/>
    <x v="3"/>
    <x v="5"/>
    <n v="28"/>
    <n v="82"/>
    <s v="Oklahoma"/>
    <n v="30"/>
    <n v="60"/>
    <n v="50"/>
    <n v="90"/>
    <n v="21"/>
    <s v="Decaf"/>
    <n v="0.34146341463414637"/>
    <n v="-22"/>
    <n v="-8"/>
  </r>
  <r>
    <s v="603"/>
    <n v="48"/>
    <n v="-2"/>
    <x v="60"/>
    <n v="462"/>
    <n v="74"/>
    <s v="Small Market"/>
    <x v="2"/>
    <n v="15"/>
    <x v="1"/>
    <x v="3"/>
    <x v="7"/>
    <n v="28"/>
    <n v="122"/>
    <s v="New Hampshire"/>
    <n v="40"/>
    <n v="60"/>
    <n v="30"/>
    <n v="100"/>
    <n v="46"/>
    <s v="Regular"/>
    <n v="0.22950819672131148"/>
    <n v="-2"/>
    <n v="22"/>
  </r>
  <r>
    <s v="985"/>
    <n v="55"/>
    <n v="-3"/>
    <x v="61"/>
    <n v="-1053"/>
    <n v="76"/>
    <s v="Small Market"/>
    <x v="1"/>
    <n v="49"/>
    <x v="1"/>
    <x v="2"/>
    <x v="9"/>
    <n v="-3"/>
    <n v="131"/>
    <s v="Louisiana"/>
    <n v="40"/>
    <n v="60"/>
    <n v="0"/>
    <n v="100"/>
    <n v="79"/>
    <s v="Regular"/>
    <n v="-2.2900763358778626E-2"/>
    <n v="-3"/>
    <n v="31"/>
  </r>
  <r>
    <s v="505"/>
    <n v="49"/>
    <n v="-15"/>
    <x v="62"/>
    <n v="335"/>
    <n v="69"/>
    <s v="Small Market"/>
    <x v="1"/>
    <n v="44"/>
    <x v="1"/>
    <x v="2"/>
    <x v="8"/>
    <n v="-5"/>
    <n v="118"/>
    <s v="New Mexico"/>
    <n v="30"/>
    <n v="60"/>
    <n v="10"/>
    <n v="90"/>
    <n v="74"/>
    <s v="Regular"/>
    <n v="-4.2372881355932202E-2"/>
    <n v="-15"/>
    <n v="28"/>
  </r>
  <r>
    <s v="775"/>
    <n v="39"/>
    <n v="-19"/>
    <x v="63"/>
    <n v="250"/>
    <n v="49"/>
    <s v="Small Market"/>
    <x v="3"/>
    <n v="14"/>
    <x v="1"/>
    <x v="3"/>
    <x v="7"/>
    <n v="1"/>
    <n v="88"/>
    <s v="Nevada"/>
    <n v="40"/>
    <n v="60"/>
    <n v="20"/>
    <n v="100"/>
    <n v="48"/>
    <s v="Regular"/>
    <n v="1.1363636363636364E-2"/>
    <n v="-19"/>
    <n v="-12"/>
  </r>
  <r>
    <s v="417"/>
    <n v="49"/>
    <n v="-5"/>
    <x v="64"/>
    <n v="335"/>
    <n v="69"/>
    <s v="Small Market"/>
    <x v="0"/>
    <n v="44"/>
    <x v="0"/>
    <x v="0"/>
    <x v="10"/>
    <n v="-5"/>
    <n v="118"/>
    <s v="Missouri"/>
    <n v="40"/>
    <n v="60"/>
    <n v="0"/>
    <n v="100"/>
    <n v="74"/>
    <s v="Decaf"/>
    <n v="-4.2372881355932202E-2"/>
    <n v="-5"/>
    <n v="18"/>
  </r>
  <r>
    <s v="920"/>
    <n v="41"/>
    <n v="0"/>
    <x v="65"/>
    <n v="320"/>
    <n v="66"/>
    <s v="Small Market"/>
    <x v="0"/>
    <n v="12"/>
    <x v="0"/>
    <x v="0"/>
    <x v="10"/>
    <n v="30"/>
    <n v="107"/>
    <s v="Wisconsin"/>
    <n v="30"/>
    <n v="60"/>
    <n v="30"/>
    <n v="90"/>
    <n v="36"/>
    <s v="Decaf"/>
    <n v="0.28037383177570091"/>
    <n v="0"/>
    <n v="17"/>
  </r>
  <r>
    <s v="573"/>
    <n v="92"/>
    <n v="-4"/>
    <x v="66"/>
    <n v="1898"/>
    <n v="68"/>
    <s v="Small Market"/>
    <x v="0"/>
    <n v="28"/>
    <x v="0"/>
    <x v="0"/>
    <x v="0"/>
    <n v="16"/>
    <n v="160"/>
    <s v="Missouri"/>
    <n v="80"/>
    <n v="60"/>
    <n v="20"/>
    <n v="140"/>
    <n v="52"/>
    <s v="Decaf"/>
    <n v="0.1"/>
    <n v="-4"/>
    <n v="20"/>
  </r>
  <r>
    <s v="475"/>
    <n v="68"/>
    <n v="7"/>
    <x v="67"/>
    <n v="619"/>
    <n v="85"/>
    <s v="Small Market"/>
    <x v="2"/>
    <n v="25"/>
    <x v="0"/>
    <x v="0"/>
    <x v="0"/>
    <n v="27"/>
    <n v="153"/>
    <s v="Connecticut"/>
    <n v="50"/>
    <n v="60"/>
    <n v="20"/>
    <n v="110"/>
    <n v="58"/>
    <s v="Decaf"/>
    <n v="0.17647058823529413"/>
    <n v="7"/>
    <n v="43"/>
  </r>
  <r>
    <s v="475"/>
    <n v="63"/>
    <n v="-4"/>
    <x v="68"/>
    <n v="1075"/>
    <n v="76"/>
    <s v="Small Market"/>
    <x v="2"/>
    <n v="19"/>
    <x v="0"/>
    <x v="0"/>
    <x v="1"/>
    <n v="36"/>
    <n v="139"/>
    <s v="Connecticut"/>
    <n v="40"/>
    <n v="60"/>
    <n v="40"/>
    <n v="100"/>
    <n v="40"/>
    <s v="Decaf"/>
    <n v="0.25899280575539568"/>
    <n v="-4"/>
    <n v="39"/>
  </r>
  <r>
    <s v="435"/>
    <n v="92"/>
    <n v="-3"/>
    <x v="69"/>
    <n v="1898"/>
    <n v="68"/>
    <s v="Small Market"/>
    <x v="3"/>
    <n v="28"/>
    <x v="0"/>
    <x v="0"/>
    <x v="1"/>
    <n v="17"/>
    <n v="160"/>
    <s v="Utah"/>
    <n v="80"/>
    <n v="60"/>
    <n v="20"/>
    <n v="140"/>
    <n v="51"/>
    <s v="Decaf"/>
    <n v="0.10625"/>
    <n v="-3"/>
    <n v="20"/>
  </r>
  <r>
    <s v="920"/>
    <n v="55"/>
    <n v="-3"/>
    <x v="70"/>
    <n v="627"/>
    <n v="76"/>
    <s v="Small Market"/>
    <x v="0"/>
    <n v="49"/>
    <x v="0"/>
    <x v="1"/>
    <x v="11"/>
    <n v="-3"/>
    <n v="131"/>
    <s v="Wisconsin"/>
    <n v="40"/>
    <n v="60"/>
    <n v="0"/>
    <n v="100"/>
    <n v="79"/>
    <s v="Regular"/>
    <n v="-2.2900763358778626E-2"/>
    <n v="-3"/>
    <n v="31"/>
  </r>
  <r>
    <s v="720"/>
    <n v="51"/>
    <n v="-37"/>
    <x v="71"/>
    <n v="503"/>
    <n v="71"/>
    <s v="Major Market"/>
    <x v="0"/>
    <n v="46"/>
    <x v="0"/>
    <x v="0"/>
    <x v="0"/>
    <n v="-7"/>
    <n v="130"/>
    <s v="Colorado"/>
    <n v="30"/>
    <n v="60"/>
    <n v="30"/>
    <n v="90"/>
    <n v="76"/>
    <s v="Decaf"/>
    <n v="-5.3846153846153849E-2"/>
    <n v="-37"/>
    <n v="40"/>
  </r>
  <r>
    <s v="970"/>
    <n v="52"/>
    <n v="-11"/>
    <x v="72"/>
    <n v="405"/>
    <n v="71"/>
    <s v="Major Market"/>
    <x v="0"/>
    <n v="17"/>
    <x v="0"/>
    <x v="0"/>
    <x v="1"/>
    <n v="39"/>
    <n v="131"/>
    <s v="Colorado"/>
    <n v="30"/>
    <n v="60"/>
    <n v="50"/>
    <n v="90"/>
    <n v="45"/>
    <s v="Decaf"/>
    <n v="0.29770992366412213"/>
    <n v="-11"/>
    <n v="41"/>
  </r>
  <r>
    <s v="430"/>
    <n v="43"/>
    <n v="-8"/>
    <x v="73"/>
    <n v="419"/>
    <n v="64"/>
    <s v="Major Market"/>
    <x v="1"/>
    <n v="13"/>
    <x v="0"/>
    <x v="0"/>
    <x v="0"/>
    <n v="42"/>
    <n v="114"/>
    <s v="Texas"/>
    <n v="30"/>
    <n v="60"/>
    <n v="50"/>
    <n v="90"/>
    <n v="36"/>
    <s v="Decaf"/>
    <n v="0.36842105263157893"/>
    <n v="-8"/>
    <n v="24"/>
  </r>
  <r>
    <s v="561"/>
    <n v="38"/>
    <n v="2"/>
    <x v="74"/>
    <n v="871"/>
    <n v="56"/>
    <s v="Major Market"/>
    <x v="2"/>
    <n v="10"/>
    <x v="0"/>
    <x v="1"/>
    <x v="2"/>
    <n v="52"/>
    <n v="100"/>
    <s v="Florida"/>
    <n v="40"/>
    <n v="60"/>
    <n v="50"/>
    <n v="100"/>
    <n v="21"/>
    <s v="Regular"/>
    <n v="0.52"/>
    <n v="2"/>
    <n v="0"/>
  </r>
  <r>
    <s v="510"/>
    <n v="72"/>
    <n v="33"/>
    <x v="75"/>
    <n v="650"/>
    <n v="110"/>
    <s v="Major Market"/>
    <x v="3"/>
    <n v="23"/>
    <x v="0"/>
    <x v="1"/>
    <x v="3"/>
    <n v="83"/>
    <n v="194"/>
    <s v="California"/>
    <n v="20"/>
    <n v="60"/>
    <n v="50"/>
    <n v="80"/>
    <n v="54"/>
    <s v="Regular"/>
    <n v="0.42783505154639173"/>
    <n v="33"/>
    <n v="114"/>
  </r>
  <r>
    <s v="563"/>
    <n v="0"/>
    <n v="-14"/>
    <x v="76"/>
    <n v="430"/>
    <n v="43"/>
    <s v="Small Market"/>
    <x v="0"/>
    <n v="0"/>
    <x v="1"/>
    <x v="2"/>
    <x v="4"/>
    <n v="46"/>
    <n v="46"/>
    <s v="Iowa"/>
    <n v="0"/>
    <n v="60"/>
    <n v="60"/>
    <n v="60"/>
    <n v="12"/>
    <s v="Decaf"/>
    <n v="1"/>
    <n v="-14"/>
    <n v="-14"/>
  </r>
  <r>
    <s v="203"/>
    <n v="47"/>
    <n v="-19"/>
    <x v="77"/>
    <n v="375"/>
    <n v="64"/>
    <s v="Small Market"/>
    <x v="2"/>
    <n v="15"/>
    <x v="1"/>
    <x v="2"/>
    <x v="4"/>
    <n v="31"/>
    <n v="118"/>
    <s v="Connecticut"/>
    <n v="30"/>
    <n v="60"/>
    <n v="50"/>
    <n v="90"/>
    <n v="43"/>
    <s v="Decaf"/>
    <n v="0.26271186440677968"/>
    <n v="-19"/>
    <n v="28"/>
  </r>
  <r>
    <s v="405"/>
    <n v="27"/>
    <n v="-29"/>
    <x v="78"/>
    <n v="859"/>
    <n v="39"/>
    <s v="Small Market"/>
    <x v="1"/>
    <n v="7"/>
    <x v="1"/>
    <x v="3"/>
    <x v="5"/>
    <n v="31"/>
    <n v="70"/>
    <s v="Oklahoma"/>
    <n v="30"/>
    <n v="60"/>
    <n v="60"/>
    <n v="90"/>
    <n v="18"/>
    <s v="Decaf"/>
    <n v="0.44285714285714284"/>
    <n v="-29"/>
    <n v="-20"/>
  </r>
  <r>
    <s v="775"/>
    <n v="31"/>
    <n v="-40"/>
    <x v="79"/>
    <n v="1000"/>
    <n v="37"/>
    <s v="Small Market"/>
    <x v="3"/>
    <n v="9"/>
    <x v="1"/>
    <x v="3"/>
    <x v="5"/>
    <n v="10"/>
    <n v="72"/>
    <s v="Nevada"/>
    <n v="30"/>
    <n v="60"/>
    <n v="50"/>
    <n v="90"/>
    <n v="30"/>
    <s v="Decaf"/>
    <n v="0.1388888888888889"/>
    <n v="-40"/>
    <n v="-18"/>
  </r>
  <r>
    <s v="435"/>
    <n v="40"/>
    <n v="-5"/>
    <x v="80"/>
    <n v="881"/>
    <n v="59"/>
    <s v="Small Market"/>
    <x v="3"/>
    <n v="11"/>
    <x v="1"/>
    <x v="2"/>
    <x v="4"/>
    <n v="55"/>
    <n v="106"/>
    <s v="Utah"/>
    <n v="20"/>
    <n v="60"/>
    <n v="60"/>
    <n v="80"/>
    <n v="22"/>
    <s v="Decaf"/>
    <n v="0.51886792452830188"/>
    <n v="-5"/>
    <n v="26"/>
  </r>
  <r>
    <s v="603"/>
    <n v="49"/>
    <n v="-11"/>
    <x v="81"/>
    <n v="310"/>
    <n v="71"/>
    <s v="Small Market"/>
    <x v="2"/>
    <n v="15"/>
    <x v="1"/>
    <x v="3"/>
    <x v="6"/>
    <n v="49"/>
    <n v="128"/>
    <s v="New Hampshire"/>
    <n v="30"/>
    <n v="60"/>
    <n v="60"/>
    <n v="90"/>
    <n v="38"/>
    <s v="Regular"/>
    <n v="0.3828125"/>
    <n v="-11"/>
    <n v="38"/>
  </r>
  <r>
    <s v="603"/>
    <n v="45"/>
    <n v="-14"/>
    <x v="82"/>
    <n v="447"/>
    <n v="69"/>
    <s v="Small Market"/>
    <x v="2"/>
    <n v="14"/>
    <x v="1"/>
    <x v="3"/>
    <x v="7"/>
    <n v="36"/>
    <n v="121"/>
    <s v="New Hampshire"/>
    <n v="30"/>
    <n v="60"/>
    <n v="50"/>
    <n v="90"/>
    <n v="45"/>
    <s v="Regular"/>
    <n v="0.2975206611570248"/>
    <n v="-14"/>
    <n v="31"/>
  </r>
  <r>
    <s v="603"/>
    <n v="45"/>
    <n v="-40"/>
    <x v="83"/>
    <n v="320"/>
    <n v="64"/>
    <s v="Small Market"/>
    <x v="2"/>
    <n v="41"/>
    <x v="1"/>
    <x v="2"/>
    <x v="8"/>
    <n v="-10"/>
    <n v="116"/>
    <s v="New Hampshire"/>
    <n v="30"/>
    <n v="60"/>
    <n v="30"/>
    <n v="90"/>
    <n v="71"/>
    <s v="Regular"/>
    <n v="-8.6206896551724144E-2"/>
    <n v="-40"/>
    <n v="26"/>
  </r>
  <r>
    <s v="504"/>
    <n v="60"/>
    <n v="-9"/>
    <x v="84"/>
    <n v="-762"/>
    <n v="84"/>
    <s v="Small Market"/>
    <x v="1"/>
    <n v="54"/>
    <x v="1"/>
    <x v="2"/>
    <x v="9"/>
    <n v="1"/>
    <n v="153"/>
    <s v="Louisiana"/>
    <n v="30"/>
    <n v="60"/>
    <n v="10"/>
    <n v="90"/>
    <n v="83"/>
    <s v="Regular"/>
    <n v="6.5359477124183009E-3"/>
    <n v="-9"/>
    <n v="63"/>
  </r>
  <r>
    <s v="702"/>
    <n v="34"/>
    <n v="-33"/>
    <x v="85"/>
    <n v="240"/>
    <n v="43"/>
    <s v="Small Market"/>
    <x v="3"/>
    <n v="12"/>
    <x v="1"/>
    <x v="3"/>
    <x v="7"/>
    <n v="-3"/>
    <n v="82"/>
    <s v="Nevada"/>
    <n v="40"/>
    <n v="60"/>
    <n v="30"/>
    <n v="100"/>
    <n v="45"/>
    <s v="Regular"/>
    <n v="-3.6585365853658534E-2"/>
    <n v="-33"/>
    <n v="-18"/>
  </r>
  <r>
    <s v="971"/>
    <n v="54"/>
    <n v="-22"/>
    <x v="86"/>
    <n v="404"/>
    <n v="66"/>
    <s v="Small Market"/>
    <x v="3"/>
    <n v="20"/>
    <x v="1"/>
    <x v="2"/>
    <x v="9"/>
    <n v="18"/>
    <n v="128"/>
    <s v="Oregon"/>
    <n v="40"/>
    <n v="60"/>
    <n v="40"/>
    <n v="100"/>
    <n v="54"/>
    <s v="Regular"/>
    <n v="0.140625"/>
    <n v="-22"/>
    <n v="28"/>
  </r>
  <r>
    <s v="573"/>
    <n v="45"/>
    <n v="-39"/>
    <x v="87"/>
    <n v="320"/>
    <n v="64"/>
    <s v="Small Market"/>
    <x v="0"/>
    <n v="41"/>
    <x v="0"/>
    <x v="0"/>
    <x v="10"/>
    <n v="-9"/>
    <n v="116"/>
    <s v="Missouri"/>
    <n v="20"/>
    <n v="60"/>
    <n v="30"/>
    <n v="80"/>
    <n v="70"/>
    <s v="Decaf"/>
    <n v="-7.7586206896551727E-2"/>
    <n v="-39"/>
    <n v="36"/>
  </r>
  <r>
    <s v="262"/>
    <n v="48"/>
    <n v="7"/>
    <x v="88"/>
    <n v="851"/>
    <n v="70"/>
    <s v="Small Market"/>
    <x v="0"/>
    <n v="13"/>
    <x v="0"/>
    <x v="0"/>
    <x v="0"/>
    <n v="67"/>
    <n v="126"/>
    <s v="Wisconsin"/>
    <n v="30"/>
    <n v="60"/>
    <n v="60"/>
    <n v="90"/>
    <n v="25"/>
    <s v="Decaf"/>
    <n v="0.53174603174603174"/>
    <n v="7"/>
    <n v="36"/>
  </r>
  <r>
    <s v="801"/>
    <n v="49"/>
    <n v="-11"/>
    <x v="89"/>
    <n v="310"/>
    <n v="71"/>
    <s v="Small Market"/>
    <x v="3"/>
    <n v="15"/>
    <x v="0"/>
    <x v="0"/>
    <x v="10"/>
    <n v="49"/>
    <n v="128"/>
    <s v="Utah"/>
    <n v="30"/>
    <n v="60"/>
    <n v="60"/>
    <n v="90"/>
    <n v="38"/>
    <s v="Decaf"/>
    <n v="0.3828125"/>
    <n v="-11"/>
    <n v="38"/>
  </r>
  <r>
    <s v="509"/>
    <n v="48"/>
    <n v="10"/>
    <x v="90"/>
    <n v="829"/>
    <n v="71"/>
    <s v="Small Market"/>
    <x v="3"/>
    <n v="13"/>
    <x v="0"/>
    <x v="0"/>
    <x v="0"/>
    <n v="70"/>
    <n v="127"/>
    <s v="Washington"/>
    <n v="30"/>
    <n v="60"/>
    <n v="60"/>
    <n v="90"/>
    <n v="24"/>
    <s v="Decaf"/>
    <n v="0.55118110236220474"/>
    <n v="10"/>
    <n v="37"/>
  </r>
  <r>
    <s v="475"/>
    <n v="40"/>
    <n v="3"/>
    <x v="91"/>
    <n v="881"/>
    <n v="59"/>
    <s v="Small Market"/>
    <x v="2"/>
    <n v="11"/>
    <x v="0"/>
    <x v="1"/>
    <x v="2"/>
    <n v="53"/>
    <n v="106"/>
    <s v="Connecticut"/>
    <n v="40"/>
    <n v="60"/>
    <n v="50"/>
    <n v="100"/>
    <n v="23"/>
    <s v="Regular"/>
    <n v="0.5"/>
    <n v="3"/>
    <n v="6"/>
  </r>
  <r>
    <s v="503"/>
    <n v="82"/>
    <n v="45"/>
    <x v="92"/>
    <n v="788"/>
    <n v="123"/>
    <s v="Small Market"/>
    <x v="3"/>
    <n v="27"/>
    <x v="0"/>
    <x v="1"/>
    <x v="11"/>
    <n v="95"/>
    <n v="218"/>
    <s v="Oregon"/>
    <n v="30"/>
    <n v="60"/>
    <n v="50"/>
    <n v="90"/>
    <n v="59"/>
    <s v="Regular"/>
    <n v="0.43577981651376146"/>
    <n v="45"/>
    <n v="128"/>
  </r>
  <r>
    <s v="541"/>
    <n v="91"/>
    <n v="63"/>
    <x v="93"/>
    <n v="656"/>
    <n v="127"/>
    <s v="Small Market"/>
    <x v="3"/>
    <n v="28"/>
    <x v="0"/>
    <x v="1"/>
    <x v="3"/>
    <n v="113"/>
    <n v="232"/>
    <s v="Oregon"/>
    <n v="40"/>
    <n v="60"/>
    <n v="50"/>
    <n v="100"/>
    <n v="51"/>
    <s v="Regular"/>
    <n v="0.48706896551724138"/>
    <n v="63"/>
    <n v="132"/>
  </r>
  <r>
    <s v="936"/>
    <n v="40"/>
    <n v="-1"/>
    <x v="94"/>
    <n v="536"/>
    <n v="52"/>
    <s v="Major Market"/>
    <x v="1"/>
    <n v="13"/>
    <x v="1"/>
    <x v="3"/>
    <x v="5"/>
    <n v="39"/>
    <n v="98"/>
    <s v="Texas"/>
    <n v="40"/>
    <n v="60"/>
    <n v="40"/>
    <n v="100"/>
    <n v="26"/>
    <s v="Decaf"/>
    <n v="0.39795918367346939"/>
    <n v="-1"/>
    <n v="-2"/>
  </r>
  <r>
    <s v="254"/>
    <n v="50"/>
    <n v="31"/>
    <x v="95"/>
    <n v="589"/>
    <n v="73"/>
    <s v="Major Market"/>
    <x v="1"/>
    <n v="14"/>
    <x v="1"/>
    <x v="2"/>
    <x v="4"/>
    <n v="71"/>
    <n v="131"/>
    <s v="Texas"/>
    <n v="30"/>
    <n v="60"/>
    <n v="40"/>
    <n v="90"/>
    <n v="25"/>
    <s v="Decaf"/>
    <n v="0.5419847328244275"/>
    <n v="31"/>
    <n v="41"/>
  </r>
  <r>
    <s v="719"/>
    <n v="40"/>
    <n v="0"/>
    <x v="96"/>
    <n v="536"/>
    <n v="52"/>
    <s v="Major Market"/>
    <x v="0"/>
    <n v="13"/>
    <x v="1"/>
    <x v="3"/>
    <x v="7"/>
    <n v="40"/>
    <n v="98"/>
    <s v="Colorado"/>
    <n v="30"/>
    <n v="60"/>
    <n v="40"/>
    <n v="90"/>
    <n v="25"/>
    <s v="Regular"/>
    <n v="0.40816326530612246"/>
    <n v="0"/>
    <n v="8"/>
  </r>
  <r>
    <s v="339"/>
    <n v="52"/>
    <n v="-12"/>
    <x v="97"/>
    <n v="554"/>
    <n v="68"/>
    <s v="Major Market"/>
    <x v="2"/>
    <n v="47"/>
    <x v="1"/>
    <x v="2"/>
    <x v="8"/>
    <n v="-12"/>
    <n v="128"/>
    <s v="Massachusetts"/>
    <n v="50"/>
    <n v="60"/>
    <n v="0"/>
    <n v="110"/>
    <n v="76"/>
    <s v="Regular"/>
    <n v="-9.375E-2"/>
    <n v="-12"/>
    <n v="18"/>
  </r>
  <r>
    <s v="561"/>
    <n v="75"/>
    <n v="35"/>
    <x v="98"/>
    <n v="1063"/>
    <n v="89"/>
    <s v="Major Market"/>
    <x v="2"/>
    <n v="23"/>
    <x v="0"/>
    <x v="0"/>
    <x v="1"/>
    <n v="65"/>
    <n v="175"/>
    <s v="Florida"/>
    <n v="50"/>
    <n v="60"/>
    <n v="30"/>
    <n v="110"/>
    <n v="45"/>
    <s v="Decaf"/>
    <n v="0.37142857142857144"/>
    <n v="35"/>
    <n v="65"/>
  </r>
  <r>
    <s v="806"/>
    <n v="46"/>
    <n v="16"/>
    <x v="99"/>
    <n v="424"/>
    <n v="68"/>
    <s v="Major Market"/>
    <x v="1"/>
    <n v="14"/>
    <x v="0"/>
    <x v="0"/>
    <x v="0"/>
    <n v="46"/>
    <n v="121"/>
    <s v="Texas"/>
    <n v="40"/>
    <n v="60"/>
    <n v="30"/>
    <n v="100"/>
    <n v="37"/>
    <s v="Decaf"/>
    <n v="0.38016528925619836"/>
    <n v="16"/>
    <n v="21"/>
  </r>
  <r>
    <s v="719"/>
    <n v="55"/>
    <n v="2"/>
    <x v="100"/>
    <n v="410"/>
    <n v="69"/>
    <s v="Major Market"/>
    <x v="0"/>
    <n v="20"/>
    <x v="0"/>
    <x v="1"/>
    <x v="2"/>
    <n v="22"/>
    <n v="132"/>
    <s v="Colorado"/>
    <n v="40"/>
    <n v="60"/>
    <n v="20"/>
    <n v="100"/>
    <n v="54"/>
    <s v="Regular"/>
    <n v="0.16666666666666666"/>
    <n v="2"/>
    <n v="32"/>
  </r>
  <r>
    <s v="708"/>
    <n v="50"/>
    <n v="31"/>
    <x v="101"/>
    <n v="589"/>
    <n v="73"/>
    <s v="Major Market"/>
    <x v="0"/>
    <n v="14"/>
    <x v="0"/>
    <x v="1"/>
    <x v="2"/>
    <n v="71"/>
    <n v="131"/>
    <s v="Illinois"/>
    <n v="40"/>
    <n v="60"/>
    <n v="40"/>
    <n v="100"/>
    <n v="25"/>
    <s v="Regular"/>
    <n v="0.5419847328244275"/>
    <n v="31"/>
    <n v="31"/>
  </r>
  <r>
    <s v="719"/>
    <n v="57"/>
    <n v="13"/>
    <x v="102"/>
    <n v="1042"/>
    <n v="68"/>
    <s v="Major Market"/>
    <x v="0"/>
    <n v="17"/>
    <x v="0"/>
    <x v="1"/>
    <x v="11"/>
    <n v="43"/>
    <n v="133"/>
    <s v="Colorado"/>
    <n v="40"/>
    <n v="60"/>
    <n v="30"/>
    <n v="100"/>
    <n v="39"/>
    <s v="Regular"/>
    <n v="0.32330827067669171"/>
    <n v="13"/>
    <n v="33"/>
  </r>
  <r>
    <s v="351"/>
    <n v="36"/>
    <n v="6"/>
    <x v="103"/>
    <n v="862"/>
    <n v="52"/>
    <s v="Major Market"/>
    <x v="2"/>
    <n v="10"/>
    <x v="0"/>
    <x v="1"/>
    <x v="2"/>
    <n v="46"/>
    <n v="94"/>
    <s v="Massachusetts"/>
    <n v="30"/>
    <n v="60"/>
    <n v="40"/>
    <n v="90"/>
    <n v="21"/>
    <s v="Regular"/>
    <n v="0.48936170212765956"/>
    <n v="6"/>
    <n v="4"/>
  </r>
  <r>
    <s v="636"/>
    <n v="33"/>
    <n v="-10"/>
    <x v="104"/>
    <n v="836"/>
    <n v="48"/>
    <s v="Small Market"/>
    <x v="0"/>
    <n v="9"/>
    <x v="1"/>
    <x v="2"/>
    <x v="4"/>
    <n v="40"/>
    <n v="86"/>
    <s v="Missouri"/>
    <n v="40"/>
    <n v="60"/>
    <n v="50"/>
    <n v="100"/>
    <n v="21"/>
    <s v="Decaf"/>
    <n v="0.46511627906976744"/>
    <n v="-10"/>
    <n v="-14"/>
  </r>
  <r>
    <s v="504"/>
    <n v="31"/>
    <n v="-8"/>
    <x v="105"/>
    <n v="856"/>
    <n v="47"/>
    <s v="Small Market"/>
    <x v="1"/>
    <n v="8"/>
    <x v="1"/>
    <x v="3"/>
    <x v="5"/>
    <n v="42"/>
    <n v="83"/>
    <s v="Louisiana"/>
    <n v="30"/>
    <n v="60"/>
    <n v="50"/>
    <n v="90"/>
    <n v="19"/>
    <s v="Decaf"/>
    <n v="0.50602409638554213"/>
    <n v="-8"/>
    <n v="-7"/>
  </r>
  <r>
    <s v="580"/>
    <n v="36"/>
    <n v="5"/>
    <x v="106"/>
    <n v="862"/>
    <n v="52"/>
    <s v="Small Market"/>
    <x v="1"/>
    <n v="10"/>
    <x v="1"/>
    <x v="3"/>
    <x v="5"/>
    <n v="45"/>
    <n v="94"/>
    <s v="Oklahoma"/>
    <n v="40"/>
    <n v="60"/>
    <n v="40"/>
    <n v="100"/>
    <n v="22"/>
    <s v="Decaf"/>
    <n v="0.47872340425531917"/>
    <n v="5"/>
    <n v="-6"/>
  </r>
  <r>
    <s v="337"/>
    <n v="49"/>
    <n v="20"/>
    <x v="107"/>
    <n v="454"/>
    <n v="71"/>
    <s v="Small Market"/>
    <x v="1"/>
    <n v="15"/>
    <x v="1"/>
    <x v="2"/>
    <x v="4"/>
    <n v="50"/>
    <n v="128"/>
    <s v="Louisiana"/>
    <n v="30"/>
    <n v="60"/>
    <n v="30"/>
    <n v="90"/>
    <n v="37"/>
    <s v="Decaf"/>
    <n v="0.390625"/>
    <n v="20"/>
    <n v="38"/>
  </r>
  <r>
    <s v="262"/>
    <n v="54"/>
    <n v="1"/>
    <x v="108"/>
    <n v="391"/>
    <n v="67"/>
    <s v="Small Market"/>
    <x v="0"/>
    <n v="20"/>
    <x v="1"/>
    <x v="3"/>
    <x v="6"/>
    <n v="21"/>
    <n v="129"/>
    <s v="Wisconsin"/>
    <n v="50"/>
    <n v="60"/>
    <n v="20"/>
    <n v="110"/>
    <n v="53"/>
    <s v="Regular"/>
    <n v="0.16279069767441862"/>
    <n v="1"/>
    <n v="19"/>
  </r>
  <r>
    <s v="603"/>
    <n v="46"/>
    <n v="5"/>
    <x v="109"/>
    <n v="316"/>
    <n v="67"/>
    <s v="Small Market"/>
    <x v="2"/>
    <n v="14"/>
    <x v="1"/>
    <x v="3"/>
    <x v="6"/>
    <n v="45"/>
    <n v="120"/>
    <s v="New Hampshire"/>
    <n v="40"/>
    <n v="60"/>
    <n v="40"/>
    <n v="100"/>
    <n v="37"/>
    <s v="Regular"/>
    <n v="0.375"/>
    <n v="5"/>
    <n v="20"/>
  </r>
  <r>
    <s v="603"/>
    <n v="43"/>
    <n v="0"/>
    <x v="110"/>
    <n v="452"/>
    <n v="66"/>
    <s v="Small Market"/>
    <x v="2"/>
    <n v="14"/>
    <x v="1"/>
    <x v="3"/>
    <x v="7"/>
    <n v="30"/>
    <n v="116"/>
    <s v="New Hampshire"/>
    <n v="30"/>
    <n v="60"/>
    <n v="30"/>
    <n v="90"/>
    <n v="46"/>
    <s v="Regular"/>
    <n v="0.25862068965517243"/>
    <n v="0"/>
    <n v="26"/>
  </r>
  <r>
    <s v="603"/>
    <n v="44"/>
    <n v="-22"/>
    <x v="111"/>
    <n v="325"/>
    <n v="62"/>
    <s v="Small Market"/>
    <x v="2"/>
    <n v="40"/>
    <x v="1"/>
    <x v="2"/>
    <x v="8"/>
    <n v="-12"/>
    <n v="113"/>
    <s v="New Hampshire"/>
    <n v="40"/>
    <n v="60"/>
    <n v="10"/>
    <n v="100"/>
    <n v="70"/>
    <s v="Regular"/>
    <n v="-0.10619469026548672"/>
    <n v="-22"/>
    <n v="13"/>
  </r>
  <r>
    <s v="318"/>
    <n v="53"/>
    <n v="43"/>
    <x v="112"/>
    <n v="321"/>
    <n v="88"/>
    <s v="Small Market"/>
    <x v="1"/>
    <n v="16"/>
    <x v="1"/>
    <x v="2"/>
    <x v="8"/>
    <n v="73"/>
    <n v="150"/>
    <s v="Louisiana"/>
    <n v="40"/>
    <n v="60"/>
    <n v="30"/>
    <n v="100"/>
    <n v="39"/>
    <s v="Regular"/>
    <n v="0.48666666666666669"/>
    <n v="43"/>
    <n v="50"/>
  </r>
  <r>
    <s v="206"/>
    <n v="54"/>
    <n v="-1"/>
    <x v="113"/>
    <n v="391"/>
    <n v="67"/>
    <s v="Small Market"/>
    <x v="3"/>
    <n v="20"/>
    <x v="1"/>
    <x v="2"/>
    <x v="8"/>
    <n v="19"/>
    <n v="129"/>
    <s v="Washington"/>
    <n v="50"/>
    <n v="60"/>
    <n v="20"/>
    <n v="110"/>
    <n v="54"/>
    <s v="Regular"/>
    <n v="0.14728682170542637"/>
    <n v="-1"/>
    <n v="19"/>
  </r>
  <r>
    <s v="580"/>
    <n v="54"/>
    <n v="-1"/>
    <x v="114"/>
    <n v="391"/>
    <n v="67"/>
    <s v="Small Market"/>
    <x v="1"/>
    <n v="20"/>
    <x v="0"/>
    <x v="0"/>
    <x v="10"/>
    <n v="19"/>
    <n v="129"/>
    <s v="Oklahoma"/>
    <n v="50"/>
    <n v="60"/>
    <n v="20"/>
    <n v="110"/>
    <n v="54"/>
    <s v="Decaf"/>
    <n v="0.14728682170542637"/>
    <n v="-1"/>
    <n v="19"/>
  </r>
  <r>
    <s v="435"/>
    <n v="46"/>
    <n v="15"/>
    <x v="115"/>
    <n v="316"/>
    <n v="67"/>
    <s v="Small Market"/>
    <x v="3"/>
    <n v="14"/>
    <x v="0"/>
    <x v="0"/>
    <x v="10"/>
    <n v="45"/>
    <n v="120"/>
    <s v="Utah"/>
    <n v="40"/>
    <n v="60"/>
    <n v="30"/>
    <n v="100"/>
    <n v="37"/>
    <s v="Decaf"/>
    <n v="0.375"/>
    <n v="15"/>
    <n v="20"/>
  </r>
  <r>
    <s v="435"/>
    <n v="43"/>
    <n v="0"/>
    <x v="116"/>
    <n v="452"/>
    <n v="66"/>
    <s v="Small Market"/>
    <x v="3"/>
    <n v="14"/>
    <x v="0"/>
    <x v="0"/>
    <x v="0"/>
    <n v="30"/>
    <n v="116"/>
    <s v="Utah"/>
    <n v="40"/>
    <n v="60"/>
    <n v="30"/>
    <n v="100"/>
    <n v="46"/>
    <s v="Decaf"/>
    <n v="0.25862068965517243"/>
    <n v="0"/>
    <n v="16"/>
  </r>
  <r>
    <s v="253"/>
    <n v="47"/>
    <n v="25"/>
    <x v="117"/>
    <n v="834"/>
    <n v="68"/>
    <s v="Small Market"/>
    <x v="3"/>
    <n v="13"/>
    <x v="0"/>
    <x v="0"/>
    <x v="0"/>
    <n v="65"/>
    <n v="123"/>
    <s v="Washington"/>
    <n v="40"/>
    <n v="60"/>
    <n v="40"/>
    <n v="100"/>
    <n v="24"/>
    <s v="Decaf"/>
    <n v="0.52845528455284552"/>
    <n v="25"/>
    <n v="23"/>
  </r>
  <r>
    <s v="203"/>
    <n v="36"/>
    <n v="9"/>
    <x v="118"/>
    <n v="809"/>
    <n v="54"/>
    <s v="Small Market"/>
    <x v="2"/>
    <n v="10"/>
    <x v="0"/>
    <x v="1"/>
    <x v="3"/>
    <n v="49"/>
    <n v="96"/>
    <s v="Connecticut"/>
    <n v="30"/>
    <n v="60"/>
    <n v="40"/>
    <n v="90"/>
    <n v="21"/>
    <s v="Regular"/>
    <n v="0.51041666666666663"/>
    <n v="9"/>
    <n v="6"/>
  </r>
  <r>
    <s v="509"/>
    <n v="61"/>
    <n v="1"/>
    <x v="119"/>
    <n v="613"/>
    <n v="86"/>
    <s v="Small Market"/>
    <x v="3"/>
    <n v="55"/>
    <x v="0"/>
    <x v="1"/>
    <x v="3"/>
    <n v="1"/>
    <n v="157"/>
    <s v="Washington"/>
    <n v="40"/>
    <n v="60"/>
    <n v="0"/>
    <n v="100"/>
    <n v="85"/>
    <s v="Regular"/>
    <n v="6.369426751592357E-3"/>
    <n v="1"/>
    <n v="57"/>
  </r>
  <r>
    <s v="956"/>
    <n v="43"/>
    <n v="5"/>
    <x v="120"/>
    <n v="531"/>
    <n v="56"/>
    <s v="Major Market"/>
    <x v="1"/>
    <n v="14"/>
    <x v="1"/>
    <x v="3"/>
    <x v="5"/>
    <n v="45"/>
    <n v="106"/>
    <s v="Texas"/>
    <n v="50"/>
    <n v="60"/>
    <n v="40"/>
    <n v="110"/>
    <n v="26"/>
    <s v="Decaf"/>
    <n v="0.42452830188679247"/>
    <n v="5"/>
    <n v="-4"/>
  </r>
  <r>
    <s v="430"/>
    <n v="54"/>
    <n v="37"/>
    <x v="121"/>
    <n v="601"/>
    <n v="79"/>
    <s v="Major Market"/>
    <x v="1"/>
    <n v="15"/>
    <x v="1"/>
    <x v="2"/>
    <x v="4"/>
    <n v="77"/>
    <n v="142"/>
    <s v="Texas"/>
    <n v="40"/>
    <n v="60"/>
    <n v="40"/>
    <n v="100"/>
    <n v="27"/>
    <s v="Decaf"/>
    <n v="0.54225352112676062"/>
    <n v="37"/>
    <n v="42"/>
  </r>
  <r>
    <s v="719"/>
    <n v="47"/>
    <n v="-9"/>
    <x v="122"/>
    <n v="521"/>
    <n v="65"/>
    <s v="Major Market"/>
    <x v="0"/>
    <n v="42"/>
    <x v="0"/>
    <x v="0"/>
    <x v="0"/>
    <n v="-9"/>
    <n v="119"/>
    <s v="Colorado"/>
    <n v="40"/>
    <n v="60"/>
    <n v="0"/>
    <n v="100"/>
    <n v="71"/>
    <s v="Decaf"/>
    <n v="-7.5630252100840331E-2"/>
    <n v="-9"/>
    <n v="19"/>
  </r>
  <r>
    <s v="970"/>
    <n v="54"/>
    <n v="13"/>
    <x v="123"/>
    <n v="424"/>
    <n v="73"/>
    <s v="Major Market"/>
    <x v="0"/>
    <n v="17"/>
    <x v="0"/>
    <x v="0"/>
    <x v="1"/>
    <n v="43"/>
    <n v="135"/>
    <s v="Colorado"/>
    <n v="50"/>
    <n v="60"/>
    <n v="30"/>
    <n v="110"/>
    <n v="44"/>
    <s v="Decaf"/>
    <n v="0.31851851851851853"/>
    <n v="13"/>
    <n v="25"/>
  </r>
  <r>
    <s v="305"/>
    <n v="65"/>
    <n v="14"/>
    <x v="124"/>
    <n v="403"/>
    <n v="80"/>
    <s v="Major Market"/>
    <x v="2"/>
    <n v="24"/>
    <x v="0"/>
    <x v="0"/>
    <x v="0"/>
    <n v="34"/>
    <n v="155"/>
    <s v="Florida"/>
    <n v="40"/>
    <n v="60"/>
    <n v="20"/>
    <n v="100"/>
    <n v="57"/>
    <s v="Decaf"/>
    <n v="0.21935483870967742"/>
    <n v="14"/>
    <n v="55"/>
  </r>
  <r>
    <s v="407"/>
    <n v="80"/>
    <n v="44"/>
    <x v="125"/>
    <n v="1079"/>
    <n v="96"/>
    <s v="Major Market"/>
    <x v="2"/>
    <n v="24"/>
    <x v="0"/>
    <x v="0"/>
    <x v="1"/>
    <n v="74"/>
    <n v="188"/>
    <s v="Florida"/>
    <n v="60"/>
    <n v="60"/>
    <n v="30"/>
    <n v="120"/>
    <n v="46"/>
    <s v="Decaf"/>
    <n v="0.39361702127659576"/>
    <n v="44"/>
    <n v="68"/>
  </r>
  <r>
    <s v="325"/>
    <n v="54"/>
    <n v="12"/>
    <x v="126"/>
    <n v="424"/>
    <n v="73"/>
    <s v="Major Market"/>
    <x v="1"/>
    <n v="17"/>
    <x v="0"/>
    <x v="0"/>
    <x v="10"/>
    <n v="42"/>
    <n v="135"/>
    <s v="Texas"/>
    <n v="50"/>
    <n v="60"/>
    <n v="30"/>
    <n v="110"/>
    <n v="45"/>
    <s v="Decaf"/>
    <n v="0.31111111111111112"/>
    <n v="12"/>
    <n v="25"/>
  </r>
  <r>
    <s v="430"/>
    <n v="41"/>
    <n v="6"/>
    <x v="127"/>
    <n v="435"/>
    <n v="60"/>
    <s v="Major Market"/>
    <x v="1"/>
    <n v="13"/>
    <x v="0"/>
    <x v="0"/>
    <x v="0"/>
    <n v="36"/>
    <n v="108"/>
    <s v="Texas"/>
    <n v="30"/>
    <n v="60"/>
    <n v="30"/>
    <n v="90"/>
    <n v="36"/>
    <s v="Decaf"/>
    <n v="0.33333333333333331"/>
    <n v="6"/>
    <n v="18"/>
  </r>
  <r>
    <s v="408"/>
    <n v="54"/>
    <n v="29"/>
    <x v="128"/>
    <n v="601"/>
    <n v="79"/>
    <s v="Major Market"/>
    <x v="3"/>
    <n v="15"/>
    <x v="0"/>
    <x v="1"/>
    <x v="11"/>
    <n v="79"/>
    <n v="142"/>
    <s v="California"/>
    <n v="30"/>
    <n v="60"/>
    <n v="50"/>
    <n v="90"/>
    <n v="26"/>
    <s v="Regular"/>
    <n v="0.55633802816901412"/>
    <n v="29"/>
    <n v="52"/>
  </r>
  <r>
    <s v="816"/>
    <n v="31"/>
    <n v="-10"/>
    <x v="129"/>
    <n v="844"/>
    <n v="46"/>
    <s v="Small Market"/>
    <x v="0"/>
    <n v="8"/>
    <x v="1"/>
    <x v="2"/>
    <x v="4"/>
    <n v="40"/>
    <n v="82"/>
    <s v="Missouri"/>
    <n v="30"/>
    <n v="60"/>
    <n v="50"/>
    <n v="90"/>
    <n v="19"/>
    <s v="Decaf"/>
    <n v="0.48780487804878048"/>
    <n v="-10"/>
    <n v="-8"/>
  </r>
  <r>
    <s v="337"/>
    <n v="34"/>
    <n v="-4"/>
    <x v="130"/>
    <n v="863"/>
    <n v="51"/>
    <s v="Small Market"/>
    <x v="1"/>
    <n v="9"/>
    <x v="1"/>
    <x v="3"/>
    <x v="5"/>
    <n v="46"/>
    <n v="91"/>
    <s v="Louisiana"/>
    <n v="40"/>
    <n v="60"/>
    <n v="50"/>
    <n v="100"/>
    <n v="20"/>
    <s v="Decaf"/>
    <n v="0.50549450549450547"/>
    <n v="-4"/>
    <n v="-9"/>
  </r>
  <r>
    <s v="918"/>
    <n v="33"/>
    <n v="-8"/>
    <x v="131"/>
    <n v="870"/>
    <n v="49"/>
    <s v="Small Market"/>
    <x v="1"/>
    <n v="9"/>
    <x v="1"/>
    <x v="3"/>
    <x v="5"/>
    <n v="42"/>
    <n v="87"/>
    <s v="Oklahoma"/>
    <n v="30"/>
    <n v="60"/>
    <n v="50"/>
    <n v="90"/>
    <n v="21"/>
    <s v="Decaf"/>
    <n v="0.48275862068965519"/>
    <n v="-8"/>
    <n v="-3"/>
  </r>
  <r>
    <s v="603"/>
    <n v="48"/>
    <n v="12"/>
    <x v="132"/>
    <n v="462"/>
    <n v="74"/>
    <s v="Small Market"/>
    <x v="2"/>
    <n v="15"/>
    <x v="1"/>
    <x v="3"/>
    <x v="7"/>
    <n v="42"/>
    <n v="130"/>
    <s v="New Hampshire"/>
    <n v="40"/>
    <n v="60"/>
    <n v="30"/>
    <n v="100"/>
    <n v="46"/>
    <s v="Regular"/>
    <n v="0.32307692307692309"/>
    <n v="12"/>
    <n v="30"/>
  </r>
  <r>
    <s v="225"/>
    <n v="55"/>
    <n v="-4"/>
    <x v="133"/>
    <n v="-1053"/>
    <n v="76"/>
    <s v="Small Market"/>
    <x v="1"/>
    <n v="49"/>
    <x v="1"/>
    <x v="2"/>
    <x v="9"/>
    <n v="-4"/>
    <n v="140"/>
    <s v="Louisiana"/>
    <n v="40"/>
    <n v="60"/>
    <n v="0"/>
    <n v="100"/>
    <n v="79"/>
    <s v="Regular"/>
    <n v="-2.8571428571428571E-2"/>
    <n v="-4"/>
    <n v="40"/>
  </r>
  <r>
    <s v="505"/>
    <n v="49"/>
    <n v="-17"/>
    <x v="134"/>
    <n v="335"/>
    <n v="69"/>
    <s v="Small Market"/>
    <x v="1"/>
    <n v="44"/>
    <x v="1"/>
    <x v="2"/>
    <x v="8"/>
    <n v="-7"/>
    <n v="126"/>
    <s v="New Mexico"/>
    <n v="30"/>
    <n v="60"/>
    <n v="10"/>
    <n v="90"/>
    <n v="74"/>
    <s v="Regular"/>
    <n v="-5.5555555555555552E-2"/>
    <n v="-17"/>
    <n v="36"/>
  </r>
  <r>
    <s v="702"/>
    <n v="39"/>
    <n v="-19"/>
    <x v="135"/>
    <n v="250"/>
    <n v="49"/>
    <s v="Small Market"/>
    <x v="3"/>
    <n v="14"/>
    <x v="1"/>
    <x v="3"/>
    <x v="7"/>
    <n v="1"/>
    <n v="94"/>
    <s v="Nevada"/>
    <n v="40"/>
    <n v="60"/>
    <n v="20"/>
    <n v="100"/>
    <n v="48"/>
    <s v="Regular"/>
    <n v="1.0638297872340425E-2"/>
    <n v="-19"/>
    <n v="-6"/>
  </r>
  <r>
    <s v="314"/>
    <n v="49"/>
    <n v="-7"/>
    <x v="136"/>
    <n v="335"/>
    <n v="69"/>
    <s v="Small Market"/>
    <x v="0"/>
    <n v="44"/>
    <x v="0"/>
    <x v="0"/>
    <x v="10"/>
    <n v="-7"/>
    <n v="126"/>
    <s v="Missouri"/>
    <n v="40"/>
    <n v="60"/>
    <n v="0"/>
    <n v="100"/>
    <n v="74"/>
    <s v="Decaf"/>
    <n v="-5.5555555555555552E-2"/>
    <n v="-7"/>
    <n v="26"/>
  </r>
  <r>
    <s v="920"/>
    <n v="41"/>
    <n v="15"/>
    <x v="137"/>
    <n v="320"/>
    <n v="66"/>
    <s v="Small Market"/>
    <x v="0"/>
    <n v="12"/>
    <x v="0"/>
    <x v="0"/>
    <x v="10"/>
    <n v="45"/>
    <n v="114"/>
    <s v="Wisconsin"/>
    <n v="30"/>
    <n v="60"/>
    <n v="30"/>
    <n v="90"/>
    <n v="36"/>
    <s v="Decaf"/>
    <n v="0.39473684210526316"/>
    <n v="15"/>
    <n v="24"/>
  </r>
  <r>
    <s v="417"/>
    <n v="92"/>
    <n v="4"/>
    <x v="138"/>
    <n v="1898"/>
    <n v="68"/>
    <s v="Small Market"/>
    <x v="0"/>
    <n v="28"/>
    <x v="0"/>
    <x v="0"/>
    <x v="0"/>
    <n v="24"/>
    <n v="171"/>
    <s v="Missouri"/>
    <n v="80"/>
    <n v="60"/>
    <n v="20"/>
    <n v="140"/>
    <n v="52"/>
    <s v="Decaf"/>
    <n v="0.14035087719298245"/>
    <n v="4"/>
    <n v="31"/>
  </r>
  <r>
    <s v="860"/>
    <n v="68"/>
    <n v="20"/>
    <x v="139"/>
    <n v="619"/>
    <n v="85"/>
    <s v="Small Market"/>
    <x v="2"/>
    <n v="25"/>
    <x v="0"/>
    <x v="0"/>
    <x v="0"/>
    <n v="40"/>
    <n v="163"/>
    <s v="Connecticut"/>
    <n v="50"/>
    <n v="60"/>
    <n v="20"/>
    <n v="110"/>
    <n v="58"/>
    <s v="Decaf"/>
    <n v="0.24539877300613497"/>
    <n v="20"/>
    <n v="53"/>
  </r>
  <r>
    <s v="203"/>
    <n v="63"/>
    <n v="13"/>
    <x v="140"/>
    <n v="1075"/>
    <n v="76"/>
    <s v="Small Market"/>
    <x v="2"/>
    <n v="19"/>
    <x v="0"/>
    <x v="0"/>
    <x v="1"/>
    <n v="53"/>
    <n v="148"/>
    <s v="Connecticut"/>
    <n v="40"/>
    <n v="60"/>
    <n v="40"/>
    <n v="100"/>
    <n v="40"/>
    <s v="Decaf"/>
    <n v="0.35810810810810811"/>
    <n v="13"/>
    <n v="48"/>
  </r>
  <r>
    <s v="435"/>
    <n v="92"/>
    <n v="5"/>
    <x v="141"/>
    <n v="1898"/>
    <n v="68"/>
    <s v="Small Market"/>
    <x v="3"/>
    <n v="28"/>
    <x v="0"/>
    <x v="0"/>
    <x v="1"/>
    <n v="25"/>
    <n v="171"/>
    <s v="Utah"/>
    <n v="80"/>
    <n v="60"/>
    <n v="20"/>
    <n v="140"/>
    <n v="51"/>
    <s v="Decaf"/>
    <n v="0.14619883040935672"/>
    <n v="5"/>
    <n v="31"/>
  </r>
  <r>
    <s v="262"/>
    <n v="55"/>
    <n v="-4"/>
    <x v="142"/>
    <n v="627"/>
    <n v="76"/>
    <s v="Small Market"/>
    <x v="0"/>
    <n v="49"/>
    <x v="0"/>
    <x v="1"/>
    <x v="11"/>
    <n v="-4"/>
    <n v="140"/>
    <s v="Wisconsin"/>
    <n v="40"/>
    <n v="60"/>
    <n v="0"/>
    <n v="100"/>
    <n v="79"/>
    <s v="Regular"/>
    <n v="-2.8571428571428571E-2"/>
    <n v="-4"/>
    <n v="40"/>
  </r>
  <r>
    <s v="719"/>
    <n v="39"/>
    <n v="-23"/>
    <x v="143"/>
    <n v="541"/>
    <n v="51"/>
    <s v="Major Market"/>
    <x v="0"/>
    <n v="12"/>
    <x v="1"/>
    <x v="3"/>
    <x v="7"/>
    <n v="27"/>
    <n v="90"/>
    <s v="Colorado"/>
    <n v="30"/>
    <n v="50"/>
    <n v="50"/>
    <n v="80"/>
    <n v="24"/>
    <s v="Regular"/>
    <n v="0.3"/>
    <n v="-23"/>
    <n v="10"/>
  </r>
  <r>
    <s v="305"/>
    <n v="80"/>
    <n v="8"/>
    <x v="144"/>
    <n v="1055"/>
    <n v="94"/>
    <s v="Major Market"/>
    <x v="2"/>
    <n v="24"/>
    <x v="0"/>
    <x v="0"/>
    <x v="1"/>
    <n v="48"/>
    <n v="174"/>
    <s v="Florida"/>
    <n v="40"/>
    <n v="50"/>
    <n v="40"/>
    <n v="90"/>
    <n v="46"/>
    <s v="Decaf"/>
    <n v="0.27586206896551724"/>
    <n v="8"/>
    <n v="84"/>
  </r>
  <r>
    <s v="303"/>
    <n v="54"/>
    <n v="-17"/>
    <x v="145"/>
    <n v="404"/>
    <n v="66"/>
    <s v="Major Market"/>
    <x v="0"/>
    <n v="20"/>
    <x v="0"/>
    <x v="1"/>
    <x v="2"/>
    <n v="13"/>
    <n v="120"/>
    <s v="Colorado"/>
    <n v="30"/>
    <n v="50"/>
    <n v="30"/>
    <n v="80"/>
    <n v="53"/>
    <s v="Regular"/>
    <n v="0.10833333333333334"/>
    <n v="-17"/>
    <n v="40"/>
  </r>
  <r>
    <s v="303"/>
    <n v="54"/>
    <n v="-13"/>
    <x v="146"/>
    <n v="1037"/>
    <n v="64"/>
    <s v="Major Market"/>
    <x v="0"/>
    <n v="16"/>
    <x v="0"/>
    <x v="1"/>
    <x v="11"/>
    <n v="27"/>
    <n v="118"/>
    <s v="Colorado"/>
    <n v="30"/>
    <n v="50"/>
    <n v="40"/>
    <n v="80"/>
    <n v="37"/>
    <s v="Regular"/>
    <n v="0.2288135593220339"/>
    <n v="-13"/>
    <n v="38"/>
  </r>
  <r>
    <s v="508"/>
    <n v="27"/>
    <n v="-30"/>
    <x v="147"/>
    <n v="859"/>
    <n v="39"/>
    <s v="Major Market"/>
    <x v="2"/>
    <n v="7"/>
    <x v="0"/>
    <x v="1"/>
    <x v="2"/>
    <n v="20"/>
    <n v="66"/>
    <s v="Massachusetts"/>
    <n v="20"/>
    <n v="50"/>
    <n v="50"/>
    <n v="70"/>
    <n v="19"/>
    <s v="Regular"/>
    <n v="0.30303030303030304"/>
    <n v="-30"/>
    <n v="-4"/>
  </r>
  <r>
    <s v="209"/>
    <n v="76"/>
    <n v="29"/>
    <x v="148"/>
    <n v="580"/>
    <n v="111"/>
    <s v="Major Market"/>
    <x v="3"/>
    <n v="21"/>
    <x v="0"/>
    <x v="1"/>
    <x v="11"/>
    <n v="79"/>
    <n v="187"/>
    <s v="California"/>
    <n v="30"/>
    <n v="50"/>
    <n v="50"/>
    <n v="80"/>
    <n v="32"/>
    <s v="Regular"/>
    <n v="0.42245989304812837"/>
    <n v="29"/>
    <n v="107"/>
  </r>
  <r>
    <s v="715"/>
    <n v="22"/>
    <n v="-40"/>
    <x v="149"/>
    <n v="573"/>
    <n v="29"/>
    <s v="Small Market"/>
    <x v="0"/>
    <n v="7"/>
    <x v="1"/>
    <x v="2"/>
    <x v="4"/>
    <n v="10"/>
    <n v="51"/>
    <s v="Wisconsin"/>
    <n v="20"/>
    <n v="50"/>
    <n v="50"/>
    <n v="70"/>
    <n v="19"/>
    <s v="Decaf"/>
    <n v="0.19607843137254902"/>
    <n v="-40"/>
    <n v="-19"/>
  </r>
  <r>
    <s v="319"/>
    <n v="23"/>
    <n v="-32"/>
    <x v="150"/>
    <n v="800"/>
    <n v="35"/>
    <s v="Small Market"/>
    <x v="0"/>
    <n v="6"/>
    <x v="1"/>
    <x v="2"/>
    <x v="8"/>
    <n v="18"/>
    <n v="58"/>
    <s v="Iowa"/>
    <n v="20"/>
    <n v="50"/>
    <n v="50"/>
    <n v="70"/>
    <n v="17"/>
    <s v="Regular"/>
    <n v="0.31034482758620691"/>
    <n v="-32"/>
    <n v="-12"/>
  </r>
  <r>
    <s v="959"/>
    <n v="79"/>
    <n v="4"/>
    <x v="151"/>
    <n v="593"/>
    <n v="98"/>
    <s v="Small Market"/>
    <x v="2"/>
    <n v="30"/>
    <x v="0"/>
    <x v="0"/>
    <x v="0"/>
    <n v="34"/>
    <n v="177"/>
    <s v="Connecticut"/>
    <n v="40"/>
    <n v="50"/>
    <n v="30"/>
    <n v="90"/>
    <n v="64"/>
    <s v="Decaf"/>
    <n v="0.19209039548022599"/>
    <n v="4"/>
    <n v="87"/>
  </r>
  <r>
    <s v="860"/>
    <n v="65"/>
    <n v="-15"/>
    <x v="152"/>
    <n v="1053"/>
    <n v="77"/>
    <s v="Small Market"/>
    <x v="2"/>
    <n v="20"/>
    <x v="0"/>
    <x v="0"/>
    <x v="1"/>
    <n v="35"/>
    <n v="142"/>
    <s v="Connecticut"/>
    <n v="30"/>
    <n v="50"/>
    <n v="50"/>
    <n v="80"/>
    <n v="42"/>
    <s v="Decaf"/>
    <n v="0.24647887323943662"/>
    <n v="-15"/>
    <n v="62"/>
  </r>
  <r>
    <s v="262"/>
    <n v="46"/>
    <n v="-10"/>
    <x v="153"/>
    <n v="449"/>
    <n v="67"/>
    <s v="Small Market"/>
    <x v="0"/>
    <n v="14"/>
    <x v="0"/>
    <x v="1"/>
    <x v="2"/>
    <n v="30"/>
    <n v="113"/>
    <s v="Wisconsin"/>
    <n v="20"/>
    <n v="50"/>
    <n v="40"/>
    <n v="70"/>
    <n v="37"/>
    <s v="Regular"/>
    <n v="0.26548672566371684"/>
    <n v="-10"/>
    <n v="43"/>
  </r>
  <r>
    <s v="715"/>
    <n v="60"/>
    <n v="0"/>
    <x v="154"/>
    <n v="606"/>
    <n v="84"/>
    <s v="Small Market"/>
    <x v="0"/>
    <n v="54"/>
    <x v="0"/>
    <x v="1"/>
    <x v="11"/>
    <n v="0"/>
    <n v="144"/>
    <s v="Wisconsin"/>
    <n v="40"/>
    <n v="50"/>
    <n v="0"/>
    <n v="90"/>
    <n v="84"/>
    <s v="Regular"/>
    <n v="0"/>
    <n v="0"/>
    <n v="54"/>
  </r>
  <r>
    <s v="206"/>
    <n v="60"/>
    <n v="17"/>
    <x v="155"/>
    <n v="329"/>
    <n v="99"/>
    <s v="Small Market"/>
    <x v="3"/>
    <n v="18"/>
    <x v="0"/>
    <x v="1"/>
    <x v="2"/>
    <n v="57"/>
    <n v="159"/>
    <s v="Washington"/>
    <n v="20"/>
    <n v="50"/>
    <n v="40"/>
    <n v="70"/>
    <n v="42"/>
    <s v="Regular"/>
    <n v="0.35849056603773582"/>
    <n v="17"/>
    <n v="89"/>
  </r>
  <r>
    <s v="773"/>
    <n v="40"/>
    <n v="-3"/>
    <x v="156"/>
    <n v="536"/>
    <n v="52"/>
    <s v="Major Market"/>
    <x v="0"/>
    <n v="13"/>
    <x v="0"/>
    <x v="0"/>
    <x v="0"/>
    <n v="27"/>
    <n v="92"/>
    <s v="Illinois"/>
    <n v="30"/>
    <n v="50"/>
    <n v="30"/>
    <n v="80"/>
    <n v="25"/>
    <s v="Decaf"/>
    <n v="0.29347826086956524"/>
    <n v="-3"/>
    <n v="12"/>
  </r>
  <r>
    <s v="614"/>
    <n v="36"/>
    <n v="-10"/>
    <x v="157"/>
    <n v="862"/>
    <n v="52"/>
    <s v="Major Market"/>
    <x v="0"/>
    <n v="10"/>
    <x v="0"/>
    <x v="0"/>
    <x v="0"/>
    <n v="30"/>
    <n v="88"/>
    <s v="Ohio"/>
    <n v="30"/>
    <n v="50"/>
    <n v="40"/>
    <n v="80"/>
    <n v="22"/>
    <s v="Decaf"/>
    <n v="0.34090909090909088"/>
    <n v="-10"/>
    <n v="8"/>
  </r>
  <r>
    <s v="617"/>
    <n v="55"/>
    <n v="-5"/>
    <x v="158"/>
    <n v="410"/>
    <n v="69"/>
    <s v="Major Market"/>
    <x v="2"/>
    <n v="20"/>
    <x v="0"/>
    <x v="0"/>
    <x v="0"/>
    <n v="15"/>
    <n v="124"/>
    <s v="Massachusetts"/>
    <n v="40"/>
    <n v="50"/>
    <n v="20"/>
    <n v="90"/>
    <n v="54"/>
    <s v="Decaf"/>
    <n v="0.12096774193548387"/>
    <n v="-5"/>
    <n v="34"/>
  </r>
  <r>
    <s v="707"/>
    <n v="40"/>
    <n v="-3"/>
    <x v="159"/>
    <n v="536"/>
    <n v="52"/>
    <s v="Major Market"/>
    <x v="3"/>
    <n v="13"/>
    <x v="0"/>
    <x v="0"/>
    <x v="1"/>
    <n v="27"/>
    <n v="92"/>
    <s v="California"/>
    <n v="30"/>
    <n v="50"/>
    <n v="30"/>
    <n v="80"/>
    <n v="25"/>
    <s v="Decaf"/>
    <n v="0.29347826086956524"/>
    <n v="-3"/>
    <n v="12"/>
  </r>
  <r>
    <s v="352"/>
    <n v="28"/>
    <n v="-17"/>
    <x v="160"/>
    <n v="875"/>
    <n v="42"/>
    <s v="Major Market"/>
    <x v="2"/>
    <n v="7"/>
    <x v="0"/>
    <x v="1"/>
    <x v="2"/>
    <n v="23"/>
    <n v="70"/>
    <s v="Florida"/>
    <n v="20"/>
    <n v="50"/>
    <n v="40"/>
    <n v="70"/>
    <n v="19"/>
    <s v="Regular"/>
    <n v="0.32857142857142857"/>
    <n v="-17"/>
    <n v="0"/>
  </r>
  <r>
    <s v="561"/>
    <n v="31"/>
    <n v="-12"/>
    <x v="161"/>
    <n v="856"/>
    <n v="47"/>
    <s v="Major Market"/>
    <x v="2"/>
    <n v="8"/>
    <x v="0"/>
    <x v="1"/>
    <x v="3"/>
    <n v="28"/>
    <n v="78"/>
    <s v="Florida"/>
    <n v="30"/>
    <n v="50"/>
    <n v="40"/>
    <n v="80"/>
    <n v="19"/>
    <s v="Regular"/>
    <n v="0.35897435897435898"/>
    <n v="-12"/>
    <n v="-2"/>
  </r>
  <r>
    <s v="351"/>
    <n v="32"/>
    <n v="-11"/>
    <x v="162"/>
    <n v="482"/>
    <n v="48"/>
    <s v="Major Market"/>
    <x v="2"/>
    <n v="8"/>
    <x v="0"/>
    <x v="1"/>
    <x v="3"/>
    <n v="29"/>
    <n v="80"/>
    <s v="Massachusetts"/>
    <n v="30"/>
    <n v="50"/>
    <n v="40"/>
    <n v="80"/>
    <n v="19"/>
    <s v="Regular"/>
    <n v="0.36249999999999999"/>
    <n v="-11"/>
    <n v="0"/>
  </r>
  <r>
    <s v="650"/>
    <n v="50"/>
    <n v="7"/>
    <x v="163"/>
    <n v="589"/>
    <n v="73"/>
    <s v="Major Market"/>
    <x v="3"/>
    <n v="14"/>
    <x v="0"/>
    <x v="1"/>
    <x v="11"/>
    <n v="47"/>
    <n v="123"/>
    <s v="California"/>
    <n v="30"/>
    <n v="50"/>
    <n v="40"/>
    <n v="80"/>
    <n v="26"/>
    <s v="Regular"/>
    <n v="0.38211382113821141"/>
    <n v="7"/>
    <n v="43"/>
  </r>
  <r>
    <s v="712"/>
    <n v="0"/>
    <n v="-9"/>
    <x v="164"/>
    <n v="387"/>
    <n v="43"/>
    <s v="Small Market"/>
    <x v="0"/>
    <n v="0"/>
    <x v="1"/>
    <x v="2"/>
    <x v="4"/>
    <n v="31"/>
    <n v="43"/>
    <s v="Iowa"/>
    <n v="0"/>
    <n v="50"/>
    <n v="40"/>
    <n v="50"/>
    <n v="12"/>
    <s v="Decaf"/>
    <n v="0.72093023255813948"/>
    <n v="-9"/>
    <n v="-7"/>
  </r>
  <r>
    <s v="505"/>
    <n v="82"/>
    <n v="-18"/>
    <x v="165"/>
    <n v="1804"/>
    <n v="40"/>
    <s v="Small Market"/>
    <x v="1"/>
    <n v="25"/>
    <x v="1"/>
    <x v="3"/>
    <x v="5"/>
    <n v="-8"/>
    <n v="122"/>
    <s v="New Mexico"/>
    <n v="90"/>
    <n v="50"/>
    <n v="10"/>
    <n v="140"/>
    <n v="48"/>
    <s v="Decaf"/>
    <n v="-6.5573770491803282E-2"/>
    <n v="-18"/>
    <n v="-18"/>
  </r>
  <r>
    <s v="515"/>
    <n v="22"/>
    <n v="-24"/>
    <x v="166"/>
    <n v="802"/>
    <n v="34"/>
    <s v="Small Market"/>
    <x v="0"/>
    <n v="6"/>
    <x v="1"/>
    <x v="2"/>
    <x v="8"/>
    <n v="16"/>
    <n v="56"/>
    <s v="Iowa"/>
    <n v="20"/>
    <n v="50"/>
    <n v="40"/>
    <n v="70"/>
    <n v="18"/>
    <s v="Regular"/>
    <n v="0.2857142857142857"/>
    <n v="-24"/>
    <n v="-14"/>
  </r>
  <r>
    <s v="505"/>
    <n v="44"/>
    <n v="-7"/>
    <x v="167"/>
    <n v="325"/>
    <n v="62"/>
    <s v="Small Market"/>
    <x v="1"/>
    <n v="40"/>
    <x v="1"/>
    <x v="2"/>
    <x v="8"/>
    <n v="-7"/>
    <n v="106"/>
    <s v="New Mexico"/>
    <n v="30"/>
    <n v="50"/>
    <n v="0"/>
    <n v="80"/>
    <n v="69"/>
    <s v="Regular"/>
    <n v="-6.6037735849056603E-2"/>
    <n v="-7"/>
    <n v="26"/>
  </r>
  <r>
    <s v="775"/>
    <n v="33"/>
    <n v="-14"/>
    <x v="168"/>
    <n v="243"/>
    <n v="41"/>
    <s v="Small Market"/>
    <x v="3"/>
    <n v="12"/>
    <x v="1"/>
    <x v="3"/>
    <x v="7"/>
    <n v="-4"/>
    <n v="74"/>
    <s v="Nevada"/>
    <n v="30"/>
    <n v="50"/>
    <n v="10"/>
    <n v="80"/>
    <n v="45"/>
    <s v="Regular"/>
    <n v="-5.4054054054054057E-2"/>
    <n v="-14"/>
    <n v="-6"/>
  </r>
  <r>
    <s v="573"/>
    <n v="44"/>
    <n v="-8"/>
    <x v="169"/>
    <n v="325"/>
    <n v="62"/>
    <s v="Small Market"/>
    <x v="0"/>
    <n v="40"/>
    <x v="0"/>
    <x v="0"/>
    <x v="10"/>
    <n v="-8"/>
    <n v="106"/>
    <s v="Missouri"/>
    <n v="40"/>
    <n v="50"/>
    <n v="0"/>
    <n v="90"/>
    <n v="70"/>
    <s v="Decaf"/>
    <n v="-7.5471698113207544E-2"/>
    <n v="-8"/>
    <n v="16"/>
  </r>
  <r>
    <s v="262"/>
    <n v="31"/>
    <n v="-13"/>
    <x v="170"/>
    <n v="856"/>
    <n v="47"/>
    <s v="Small Market"/>
    <x v="0"/>
    <n v="8"/>
    <x v="0"/>
    <x v="0"/>
    <x v="0"/>
    <n v="27"/>
    <n v="78"/>
    <s v="Wisconsin"/>
    <n v="20"/>
    <n v="50"/>
    <n v="40"/>
    <n v="70"/>
    <n v="20"/>
    <s v="Decaf"/>
    <n v="0.34615384615384615"/>
    <n v="-13"/>
    <n v="8"/>
  </r>
  <r>
    <s v="475"/>
    <n v="69"/>
    <n v="8"/>
    <x v="171"/>
    <n v="1060"/>
    <n v="81"/>
    <s v="Small Market"/>
    <x v="2"/>
    <n v="21"/>
    <x v="0"/>
    <x v="0"/>
    <x v="1"/>
    <n v="38"/>
    <n v="150"/>
    <s v="Connecticut"/>
    <n v="50"/>
    <n v="50"/>
    <n v="30"/>
    <n v="100"/>
    <n v="43"/>
    <s v="Decaf"/>
    <n v="0.25333333333333335"/>
    <n v="8"/>
    <n v="50"/>
  </r>
  <r>
    <s v="262"/>
    <n v="49"/>
    <n v="13"/>
    <x v="172"/>
    <n v="454"/>
    <n v="71"/>
    <s v="Small Market"/>
    <x v="0"/>
    <n v="15"/>
    <x v="0"/>
    <x v="1"/>
    <x v="2"/>
    <n v="33"/>
    <n v="120"/>
    <s v="Wisconsin"/>
    <n v="40"/>
    <n v="50"/>
    <n v="20"/>
    <n v="90"/>
    <n v="38"/>
    <s v="Regular"/>
    <n v="0.27500000000000002"/>
    <n v="13"/>
    <n v="30"/>
  </r>
  <r>
    <s v="206"/>
    <n v="49"/>
    <n v="4"/>
    <x v="173"/>
    <n v="454"/>
    <n v="71"/>
    <s v="Small Market"/>
    <x v="3"/>
    <n v="15"/>
    <x v="0"/>
    <x v="1"/>
    <x v="11"/>
    <n v="34"/>
    <n v="120"/>
    <s v="Washington"/>
    <n v="30"/>
    <n v="50"/>
    <n v="30"/>
    <n v="80"/>
    <n v="37"/>
    <s v="Regular"/>
    <n v="0.28333333333333333"/>
    <n v="4"/>
    <n v="40"/>
  </r>
  <r>
    <s v="970"/>
    <n v="43"/>
    <n v="-1"/>
    <x v="174"/>
    <n v="531"/>
    <n v="56"/>
    <s v="Major Market"/>
    <x v="0"/>
    <n v="14"/>
    <x v="1"/>
    <x v="3"/>
    <x v="7"/>
    <n v="29"/>
    <n v="99"/>
    <s v="Colorado"/>
    <n v="40"/>
    <n v="50"/>
    <n v="30"/>
    <n v="90"/>
    <n v="27"/>
    <s v="Regular"/>
    <n v="0.29292929292929293"/>
    <n v="-1"/>
    <n v="9"/>
  </r>
  <r>
    <s v="614"/>
    <n v="41"/>
    <n v="4"/>
    <x v="175"/>
    <n v="435"/>
    <n v="60"/>
    <s v="Major Market"/>
    <x v="0"/>
    <n v="13"/>
    <x v="1"/>
    <x v="3"/>
    <x v="7"/>
    <n v="24"/>
    <n v="101"/>
    <s v="Ohio"/>
    <n v="40"/>
    <n v="50"/>
    <n v="20"/>
    <n v="90"/>
    <n v="36"/>
    <s v="Regular"/>
    <n v="0.23762376237623761"/>
    <n v="4"/>
    <n v="11"/>
  </r>
  <r>
    <s v="339"/>
    <n v="47"/>
    <n v="-10"/>
    <x v="176"/>
    <n v="571"/>
    <n v="52"/>
    <s v="Major Market"/>
    <x v="2"/>
    <n v="42"/>
    <x v="1"/>
    <x v="2"/>
    <x v="8"/>
    <n v="-20"/>
    <n v="99"/>
    <s v="Massachusetts"/>
    <n v="40"/>
    <n v="50"/>
    <n v="-10"/>
    <n v="90"/>
    <n v="72"/>
    <s v="Regular"/>
    <n v="-0.20202020202020202"/>
    <n v="-10"/>
    <n v="9"/>
  </r>
  <r>
    <s v="773"/>
    <n v="43"/>
    <n v="-1"/>
    <x v="177"/>
    <n v="531"/>
    <n v="56"/>
    <s v="Major Market"/>
    <x v="0"/>
    <n v="14"/>
    <x v="0"/>
    <x v="0"/>
    <x v="0"/>
    <n v="29"/>
    <n v="99"/>
    <s v="Illinois"/>
    <n v="40"/>
    <n v="50"/>
    <n v="30"/>
    <n v="90"/>
    <n v="27"/>
    <s v="Decaf"/>
    <n v="0.29292929292929293"/>
    <n v="-1"/>
    <n v="9"/>
  </r>
  <r>
    <s v="805"/>
    <n v="43"/>
    <n v="-1"/>
    <x v="178"/>
    <n v="531"/>
    <n v="56"/>
    <s v="Major Market"/>
    <x v="3"/>
    <n v="14"/>
    <x v="0"/>
    <x v="0"/>
    <x v="1"/>
    <n v="29"/>
    <n v="99"/>
    <s v="California"/>
    <n v="40"/>
    <n v="50"/>
    <n v="30"/>
    <n v="90"/>
    <n v="27"/>
    <s v="Decaf"/>
    <n v="0.29292929292929293"/>
    <n v="-1"/>
    <n v="9"/>
  </r>
  <r>
    <s v="303"/>
    <n v="46"/>
    <n v="-4"/>
    <x v="179"/>
    <n v="422"/>
    <n v="57"/>
    <s v="Major Market"/>
    <x v="0"/>
    <n v="17"/>
    <x v="0"/>
    <x v="1"/>
    <x v="2"/>
    <n v="6"/>
    <n v="103"/>
    <s v="Colorado"/>
    <n v="30"/>
    <n v="50"/>
    <n v="10"/>
    <n v="80"/>
    <n v="51"/>
    <s v="Regular"/>
    <n v="5.8252427184466021E-2"/>
    <n v="-4"/>
    <n v="23"/>
  </r>
  <r>
    <s v="303"/>
    <n v="53"/>
    <n v="6"/>
    <x v="180"/>
    <n v="1054"/>
    <n v="63"/>
    <s v="Major Market"/>
    <x v="0"/>
    <n v="16"/>
    <x v="0"/>
    <x v="1"/>
    <x v="11"/>
    <n v="26"/>
    <n v="116"/>
    <s v="Colorado"/>
    <n v="40"/>
    <n v="50"/>
    <n v="20"/>
    <n v="90"/>
    <n v="37"/>
    <s v="Regular"/>
    <n v="0.22413793103448276"/>
    <n v="6"/>
    <n v="26"/>
  </r>
  <r>
    <s v="617"/>
    <n v="33"/>
    <n v="-11"/>
    <x v="181"/>
    <n v="870"/>
    <n v="49"/>
    <s v="Major Market"/>
    <x v="2"/>
    <n v="9"/>
    <x v="0"/>
    <x v="1"/>
    <x v="2"/>
    <n v="29"/>
    <n v="82"/>
    <s v="Massachusetts"/>
    <n v="30"/>
    <n v="50"/>
    <n v="40"/>
    <n v="80"/>
    <n v="20"/>
    <s v="Regular"/>
    <n v="0.35365853658536583"/>
    <n v="-11"/>
    <n v="2"/>
  </r>
  <r>
    <s v="863"/>
    <n v="34"/>
    <n v="-10"/>
    <x v="182"/>
    <n v="863"/>
    <n v="51"/>
    <s v="Major Market"/>
    <x v="2"/>
    <n v="9"/>
    <x v="0"/>
    <x v="1"/>
    <x v="3"/>
    <n v="30"/>
    <n v="85"/>
    <s v="Florida"/>
    <n v="30"/>
    <n v="50"/>
    <n v="40"/>
    <n v="80"/>
    <n v="21"/>
    <s v="Regular"/>
    <n v="0.35294117647058826"/>
    <n v="-10"/>
    <n v="5"/>
  </r>
  <r>
    <s v="641"/>
    <n v="0"/>
    <n v="-8"/>
    <x v="183"/>
    <n v="344"/>
    <n v="43"/>
    <s v="Small Market"/>
    <x v="0"/>
    <n v="0"/>
    <x v="1"/>
    <x v="2"/>
    <x v="4"/>
    <n v="32"/>
    <n v="43"/>
    <s v="Iowa"/>
    <n v="0"/>
    <n v="50"/>
    <n v="40"/>
    <n v="50"/>
    <n v="11"/>
    <s v="Decaf"/>
    <n v="0.7441860465116279"/>
    <n v="-8"/>
    <n v="-7"/>
  </r>
  <r>
    <s v="225"/>
    <n v="43"/>
    <n v="7"/>
    <x v="184"/>
    <n v="466"/>
    <n v="63"/>
    <s v="Small Market"/>
    <x v="1"/>
    <n v="13"/>
    <x v="1"/>
    <x v="2"/>
    <x v="4"/>
    <n v="27"/>
    <n v="106"/>
    <s v="Louisiana"/>
    <n v="30"/>
    <n v="50"/>
    <n v="20"/>
    <n v="80"/>
    <n v="36"/>
    <s v="Decaf"/>
    <n v="0.25471698113207547"/>
    <n v="7"/>
    <n v="26"/>
  </r>
  <r>
    <s v="702"/>
    <n v="31"/>
    <n v="-22"/>
    <x v="185"/>
    <n v="1009"/>
    <n v="38"/>
    <s v="Small Market"/>
    <x v="3"/>
    <n v="9"/>
    <x v="1"/>
    <x v="3"/>
    <x v="5"/>
    <n v="8"/>
    <n v="69"/>
    <s v="Nevada"/>
    <n v="30"/>
    <n v="50"/>
    <n v="30"/>
    <n v="80"/>
    <n v="30"/>
    <s v="Decaf"/>
    <n v="0.11594202898550725"/>
    <n v="-22"/>
    <n v="-11"/>
  </r>
  <r>
    <s v="515"/>
    <n v="23"/>
    <n v="-23"/>
    <x v="186"/>
    <n v="807"/>
    <n v="35"/>
    <s v="Small Market"/>
    <x v="0"/>
    <n v="6"/>
    <x v="1"/>
    <x v="2"/>
    <x v="8"/>
    <n v="17"/>
    <n v="58"/>
    <s v="Iowa"/>
    <n v="20"/>
    <n v="50"/>
    <n v="40"/>
    <n v="70"/>
    <n v="18"/>
    <s v="Regular"/>
    <n v="0.29310344827586204"/>
    <n v="-23"/>
    <n v="-12"/>
  </r>
  <r>
    <s v="985"/>
    <n v="41"/>
    <n v="11"/>
    <x v="187"/>
    <n v="320"/>
    <n v="66"/>
    <s v="Small Market"/>
    <x v="1"/>
    <n v="12"/>
    <x v="1"/>
    <x v="2"/>
    <x v="8"/>
    <n v="31"/>
    <n v="107"/>
    <s v="Louisiana"/>
    <n v="30"/>
    <n v="50"/>
    <n v="20"/>
    <n v="80"/>
    <n v="35"/>
    <s v="Regular"/>
    <n v="0.28971962616822428"/>
    <n v="11"/>
    <n v="27"/>
  </r>
  <r>
    <s v="971"/>
    <n v="46"/>
    <n v="-4"/>
    <x v="188"/>
    <n v="422"/>
    <n v="57"/>
    <s v="Small Market"/>
    <x v="3"/>
    <n v="17"/>
    <x v="1"/>
    <x v="2"/>
    <x v="9"/>
    <n v="6"/>
    <n v="103"/>
    <s v="Oregon"/>
    <n v="40"/>
    <n v="50"/>
    <n v="10"/>
    <n v="90"/>
    <n v="51"/>
    <s v="Regular"/>
    <n v="5.8252427184466021E-2"/>
    <n v="-4"/>
    <n v="13"/>
  </r>
  <r>
    <s v="262"/>
    <n v="43"/>
    <n v="8"/>
    <x v="189"/>
    <n v="466"/>
    <n v="63"/>
    <s v="Small Market"/>
    <x v="0"/>
    <n v="13"/>
    <x v="0"/>
    <x v="1"/>
    <x v="2"/>
    <n v="28"/>
    <n v="106"/>
    <s v="Wisconsin"/>
    <n v="30"/>
    <n v="50"/>
    <n v="20"/>
    <n v="80"/>
    <n v="35"/>
    <s v="Regular"/>
    <n v="0.26415094339622641"/>
    <n v="8"/>
    <n v="26"/>
  </r>
  <r>
    <s v="959"/>
    <n v="33"/>
    <n v="-12"/>
    <x v="190"/>
    <n v="818"/>
    <n v="49"/>
    <s v="Small Market"/>
    <x v="2"/>
    <n v="9"/>
    <x v="0"/>
    <x v="1"/>
    <x v="3"/>
    <n v="28"/>
    <n v="82"/>
    <s v="Connecticut"/>
    <n v="30"/>
    <n v="50"/>
    <n v="40"/>
    <n v="80"/>
    <n v="21"/>
    <s v="Regular"/>
    <n v="0.34146341463414637"/>
    <n v="-12"/>
    <n v="2"/>
  </r>
  <r>
    <s v="435"/>
    <n v="49"/>
    <n v="-4"/>
    <x v="191"/>
    <n v="335"/>
    <n v="69"/>
    <s v="Small Market"/>
    <x v="3"/>
    <n v="44"/>
    <x v="0"/>
    <x v="1"/>
    <x v="2"/>
    <n v="-4"/>
    <n v="118"/>
    <s v="Utah"/>
    <n v="30"/>
    <n v="50"/>
    <n v="0"/>
    <n v="80"/>
    <n v="73"/>
    <s v="Regular"/>
    <n v="-3.3898305084745763E-2"/>
    <n v="-4"/>
    <n v="38"/>
  </r>
  <r>
    <s v="360"/>
    <n v="55"/>
    <n v="7"/>
    <x v="192"/>
    <n v="627"/>
    <n v="76"/>
    <s v="Small Market"/>
    <x v="3"/>
    <n v="49"/>
    <x v="0"/>
    <x v="1"/>
    <x v="3"/>
    <n v="-3"/>
    <n v="131"/>
    <s v="Washington"/>
    <n v="40"/>
    <n v="50"/>
    <n v="-10"/>
    <n v="90"/>
    <n v="79"/>
    <s v="Regular"/>
    <n v="-2.2900763358778626E-2"/>
    <n v="7"/>
    <n v="41"/>
  </r>
  <r>
    <s v="303"/>
    <n v="39"/>
    <n v="-10"/>
    <x v="193"/>
    <n v="541"/>
    <n v="51"/>
    <s v="Major Market"/>
    <x v="0"/>
    <n v="12"/>
    <x v="1"/>
    <x v="3"/>
    <x v="7"/>
    <n v="40"/>
    <n v="96"/>
    <s v="Colorado"/>
    <n v="30"/>
    <n v="50"/>
    <n v="50"/>
    <n v="80"/>
    <n v="24"/>
    <s v="Regular"/>
    <n v="0.41666666666666669"/>
    <n v="-10"/>
    <n v="16"/>
  </r>
  <r>
    <s v="904"/>
    <n v="80"/>
    <n v="31"/>
    <x v="194"/>
    <n v="1055"/>
    <n v="94"/>
    <s v="Major Market"/>
    <x v="2"/>
    <n v="24"/>
    <x v="0"/>
    <x v="0"/>
    <x v="1"/>
    <n v="71"/>
    <n v="185"/>
    <s v="Florida"/>
    <n v="40"/>
    <n v="50"/>
    <n v="40"/>
    <n v="90"/>
    <n v="46"/>
    <s v="Decaf"/>
    <n v="0.38378378378378381"/>
    <n v="31"/>
    <n v="95"/>
  </r>
  <r>
    <s v="720"/>
    <n v="54"/>
    <n v="-11"/>
    <x v="195"/>
    <n v="404"/>
    <n v="66"/>
    <s v="Major Market"/>
    <x v="0"/>
    <n v="20"/>
    <x v="0"/>
    <x v="1"/>
    <x v="2"/>
    <n v="19"/>
    <n v="128"/>
    <s v="Colorado"/>
    <n v="30"/>
    <n v="50"/>
    <n v="30"/>
    <n v="80"/>
    <n v="53"/>
    <s v="Regular"/>
    <n v="0.1484375"/>
    <n v="-11"/>
    <n v="48"/>
  </r>
  <r>
    <s v="970"/>
    <n v="54"/>
    <n v="0"/>
    <x v="196"/>
    <n v="1037"/>
    <n v="64"/>
    <s v="Major Market"/>
    <x v="0"/>
    <n v="16"/>
    <x v="0"/>
    <x v="1"/>
    <x v="11"/>
    <n v="40"/>
    <n v="126"/>
    <s v="Colorado"/>
    <n v="30"/>
    <n v="50"/>
    <n v="40"/>
    <n v="80"/>
    <n v="37"/>
    <s v="Regular"/>
    <n v="0.31746031746031744"/>
    <n v="0"/>
    <n v="46"/>
  </r>
  <r>
    <s v="978"/>
    <n v="27"/>
    <n v="-20"/>
    <x v="197"/>
    <n v="859"/>
    <n v="39"/>
    <s v="Major Market"/>
    <x v="2"/>
    <n v="7"/>
    <x v="0"/>
    <x v="1"/>
    <x v="2"/>
    <n v="30"/>
    <n v="70"/>
    <s v="Massachusetts"/>
    <n v="20"/>
    <n v="50"/>
    <n v="50"/>
    <n v="70"/>
    <n v="19"/>
    <s v="Regular"/>
    <n v="0.42857142857142855"/>
    <n v="-20"/>
    <n v="0"/>
  </r>
  <r>
    <s v="626"/>
    <n v="76"/>
    <n v="67"/>
    <x v="198"/>
    <n v="580"/>
    <n v="111"/>
    <s v="Major Market"/>
    <x v="3"/>
    <n v="21"/>
    <x v="0"/>
    <x v="1"/>
    <x v="11"/>
    <n v="117"/>
    <n v="199"/>
    <s v="California"/>
    <n v="30"/>
    <n v="50"/>
    <n v="50"/>
    <n v="80"/>
    <n v="32"/>
    <s v="Regular"/>
    <n v="0.5879396984924623"/>
    <n v="67"/>
    <n v="119"/>
  </r>
  <r>
    <s v="262"/>
    <n v="22"/>
    <n v="-35"/>
    <x v="199"/>
    <n v="573"/>
    <n v="29"/>
    <s v="Small Market"/>
    <x v="0"/>
    <n v="7"/>
    <x v="1"/>
    <x v="2"/>
    <x v="4"/>
    <n v="15"/>
    <n v="54"/>
    <s v="Wisconsin"/>
    <n v="20"/>
    <n v="50"/>
    <n v="50"/>
    <n v="70"/>
    <n v="19"/>
    <s v="Decaf"/>
    <n v="0.27777777777777779"/>
    <n v="-35"/>
    <n v="-16"/>
  </r>
  <r>
    <s v="641"/>
    <n v="23"/>
    <n v="-23"/>
    <x v="200"/>
    <n v="800"/>
    <n v="35"/>
    <s v="Small Market"/>
    <x v="0"/>
    <n v="6"/>
    <x v="1"/>
    <x v="2"/>
    <x v="8"/>
    <n v="27"/>
    <n v="62"/>
    <s v="Iowa"/>
    <n v="20"/>
    <n v="50"/>
    <n v="50"/>
    <n v="70"/>
    <n v="17"/>
    <s v="Regular"/>
    <n v="0.43548387096774194"/>
    <n v="-23"/>
    <n v="-8"/>
  </r>
  <r>
    <s v="203"/>
    <n v="79"/>
    <n v="20"/>
    <x v="201"/>
    <n v="593"/>
    <n v="98"/>
    <s v="Small Market"/>
    <x v="2"/>
    <n v="30"/>
    <x v="0"/>
    <x v="0"/>
    <x v="0"/>
    <n v="50"/>
    <n v="189"/>
    <s v="Connecticut"/>
    <n v="40"/>
    <n v="50"/>
    <n v="30"/>
    <n v="90"/>
    <n v="64"/>
    <s v="Decaf"/>
    <n v="0.26455026455026454"/>
    <n v="20"/>
    <n v="99"/>
  </r>
  <r>
    <s v="203"/>
    <n v="65"/>
    <n v="2"/>
    <x v="202"/>
    <n v="1053"/>
    <n v="77"/>
    <s v="Small Market"/>
    <x v="2"/>
    <n v="20"/>
    <x v="0"/>
    <x v="0"/>
    <x v="1"/>
    <n v="52"/>
    <n v="151"/>
    <s v="Connecticut"/>
    <n v="30"/>
    <n v="50"/>
    <n v="50"/>
    <n v="80"/>
    <n v="42"/>
    <s v="Decaf"/>
    <n v="0.3443708609271523"/>
    <n v="2"/>
    <n v="71"/>
  </r>
  <r>
    <s v="262"/>
    <n v="46"/>
    <n v="5"/>
    <x v="203"/>
    <n v="449"/>
    <n v="67"/>
    <s v="Small Market"/>
    <x v="0"/>
    <n v="14"/>
    <x v="0"/>
    <x v="1"/>
    <x v="2"/>
    <n v="45"/>
    <n v="120"/>
    <s v="Wisconsin"/>
    <n v="20"/>
    <n v="50"/>
    <n v="40"/>
    <n v="70"/>
    <n v="37"/>
    <s v="Regular"/>
    <n v="0.375"/>
    <n v="5"/>
    <n v="50"/>
  </r>
  <r>
    <s v="262"/>
    <n v="60"/>
    <n v="0"/>
    <x v="204"/>
    <n v="606"/>
    <n v="84"/>
    <s v="Small Market"/>
    <x v="0"/>
    <n v="54"/>
    <x v="0"/>
    <x v="1"/>
    <x v="11"/>
    <n v="0"/>
    <n v="153"/>
    <s v="Wisconsin"/>
    <n v="40"/>
    <n v="50"/>
    <n v="0"/>
    <n v="90"/>
    <n v="84"/>
    <s v="Regular"/>
    <n v="0"/>
    <n v="0"/>
    <n v="63"/>
  </r>
  <r>
    <s v="425"/>
    <n v="60"/>
    <n v="45"/>
    <x v="205"/>
    <n v="329"/>
    <n v="99"/>
    <s v="Small Market"/>
    <x v="3"/>
    <n v="18"/>
    <x v="0"/>
    <x v="1"/>
    <x v="2"/>
    <n v="85"/>
    <n v="169"/>
    <s v="Washington"/>
    <n v="20"/>
    <n v="50"/>
    <n v="40"/>
    <n v="70"/>
    <n v="42"/>
    <s v="Regular"/>
    <n v="0.50295857988165682"/>
    <n v="45"/>
    <n v="99"/>
  </r>
  <r>
    <s v="312"/>
    <n v="40"/>
    <n v="10"/>
    <x v="206"/>
    <n v="536"/>
    <n v="52"/>
    <s v="Major Market"/>
    <x v="0"/>
    <n v="13"/>
    <x v="0"/>
    <x v="0"/>
    <x v="0"/>
    <n v="40"/>
    <n v="98"/>
    <s v="Illinois"/>
    <n v="30"/>
    <n v="50"/>
    <n v="30"/>
    <n v="80"/>
    <n v="25"/>
    <s v="Decaf"/>
    <n v="0.40816326530612246"/>
    <n v="10"/>
    <n v="18"/>
  </r>
  <r>
    <s v="419"/>
    <n v="36"/>
    <n v="5"/>
    <x v="207"/>
    <n v="862"/>
    <n v="52"/>
    <s v="Major Market"/>
    <x v="0"/>
    <n v="10"/>
    <x v="0"/>
    <x v="0"/>
    <x v="0"/>
    <n v="45"/>
    <n v="94"/>
    <s v="Ohio"/>
    <n v="30"/>
    <n v="50"/>
    <n v="40"/>
    <n v="80"/>
    <n v="22"/>
    <s v="Decaf"/>
    <n v="0.47872340425531917"/>
    <n v="5"/>
    <n v="14"/>
  </r>
  <r>
    <s v="857"/>
    <n v="55"/>
    <n v="2"/>
    <x v="208"/>
    <n v="410"/>
    <n v="69"/>
    <s v="Major Market"/>
    <x v="2"/>
    <n v="20"/>
    <x v="0"/>
    <x v="0"/>
    <x v="0"/>
    <n v="22"/>
    <n v="132"/>
    <s v="Massachusetts"/>
    <n v="40"/>
    <n v="50"/>
    <n v="20"/>
    <n v="90"/>
    <n v="54"/>
    <s v="Decaf"/>
    <n v="0.16666666666666666"/>
    <n v="2"/>
    <n v="42"/>
  </r>
  <r>
    <s v="323"/>
    <n v="40"/>
    <n v="10"/>
    <x v="209"/>
    <n v="536"/>
    <n v="52"/>
    <s v="Major Market"/>
    <x v="3"/>
    <n v="13"/>
    <x v="0"/>
    <x v="0"/>
    <x v="1"/>
    <n v="40"/>
    <n v="98"/>
    <s v="California"/>
    <n v="30"/>
    <n v="50"/>
    <n v="30"/>
    <n v="80"/>
    <n v="25"/>
    <s v="Decaf"/>
    <n v="0.40816326530612246"/>
    <n v="10"/>
    <n v="18"/>
  </r>
  <r>
    <s v="352"/>
    <n v="28"/>
    <n v="-6"/>
    <x v="210"/>
    <n v="875"/>
    <n v="42"/>
    <s v="Major Market"/>
    <x v="2"/>
    <n v="7"/>
    <x v="0"/>
    <x v="1"/>
    <x v="2"/>
    <n v="34"/>
    <n v="75"/>
    <s v="Florida"/>
    <n v="20"/>
    <n v="50"/>
    <n v="40"/>
    <n v="70"/>
    <n v="19"/>
    <s v="Regular"/>
    <n v="0.45333333333333331"/>
    <n v="-6"/>
    <n v="5"/>
  </r>
  <r>
    <s v="904"/>
    <n v="31"/>
    <n v="2"/>
    <x v="211"/>
    <n v="856"/>
    <n v="47"/>
    <s v="Major Market"/>
    <x v="2"/>
    <n v="8"/>
    <x v="0"/>
    <x v="1"/>
    <x v="3"/>
    <n v="42"/>
    <n v="83"/>
    <s v="Florida"/>
    <n v="30"/>
    <n v="50"/>
    <n v="40"/>
    <n v="80"/>
    <n v="19"/>
    <s v="Regular"/>
    <n v="0.50602409638554213"/>
    <n v="2"/>
    <n v="3"/>
  </r>
  <r>
    <s v="978"/>
    <n v="32"/>
    <n v="3"/>
    <x v="212"/>
    <n v="482"/>
    <n v="48"/>
    <s v="Major Market"/>
    <x v="2"/>
    <n v="8"/>
    <x v="0"/>
    <x v="1"/>
    <x v="3"/>
    <n v="43"/>
    <n v="85"/>
    <s v="Massachusetts"/>
    <n v="30"/>
    <n v="50"/>
    <n v="40"/>
    <n v="80"/>
    <n v="19"/>
    <s v="Regular"/>
    <n v="0.50588235294117645"/>
    <n v="3"/>
    <n v="5"/>
  </r>
  <r>
    <s v="760"/>
    <n v="50"/>
    <n v="30"/>
    <x v="213"/>
    <n v="589"/>
    <n v="73"/>
    <s v="Major Market"/>
    <x v="3"/>
    <n v="14"/>
    <x v="0"/>
    <x v="1"/>
    <x v="11"/>
    <n v="70"/>
    <n v="131"/>
    <s v="California"/>
    <n v="30"/>
    <n v="50"/>
    <n v="40"/>
    <n v="80"/>
    <n v="26"/>
    <s v="Regular"/>
    <n v="0.53435114503816794"/>
    <n v="30"/>
    <n v="51"/>
  </r>
  <r>
    <s v="515"/>
    <n v="0"/>
    <n v="6"/>
    <x v="214"/>
    <n v="387"/>
    <n v="43"/>
    <s v="Small Market"/>
    <x v="0"/>
    <n v="0"/>
    <x v="1"/>
    <x v="2"/>
    <x v="4"/>
    <n v="46"/>
    <n v="46"/>
    <s v="Iowa"/>
    <n v="0"/>
    <n v="50"/>
    <n v="40"/>
    <n v="50"/>
    <n v="12"/>
    <s v="Decaf"/>
    <n v="1"/>
    <n v="6"/>
    <n v="-4"/>
  </r>
  <r>
    <s v="505"/>
    <n v="82"/>
    <n v="-22"/>
    <x v="215"/>
    <n v="1804"/>
    <n v="40"/>
    <s v="Small Market"/>
    <x v="1"/>
    <n v="25"/>
    <x v="1"/>
    <x v="3"/>
    <x v="5"/>
    <n v="-12"/>
    <n v="130"/>
    <s v="New Mexico"/>
    <n v="90"/>
    <n v="50"/>
    <n v="10"/>
    <n v="140"/>
    <n v="48"/>
    <s v="Decaf"/>
    <n v="-9.2307692307692313E-2"/>
    <n v="-22"/>
    <n v="-10"/>
  </r>
  <r>
    <s v="515"/>
    <n v="22"/>
    <n v="-16"/>
    <x v="216"/>
    <n v="802"/>
    <n v="34"/>
    <s v="Small Market"/>
    <x v="0"/>
    <n v="6"/>
    <x v="1"/>
    <x v="2"/>
    <x v="8"/>
    <n v="24"/>
    <n v="60"/>
    <s v="Iowa"/>
    <n v="20"/>
    <n v="50"/>
    <n v="40"/>
    <n v="70"/>
    <n v="18"/>
    <s v="Regular"/>
    <n v="0.4"/>
    <n v="-16"/>
    <n v="-10"/>
  </r>
  <r>
    <s v="505"/>
    <n v="44"/>
    <n v="-10"/>
    <x v="217"/>
    <n v="325"/>
    <n v="62"/>
    <s v="Small Market"/>
    <x v="1"/>
    <n v="40"/>
    <x v="1"/>
    <x v="2"/>
    <x v="8"/>
    <n v="-10"/>
    <n v="113"/>
    <s v="New Mexico"/>
    <n v="30"/>
    <n v="50"/>
    <n v="0"/>
    <n v="80"/>
    <n v="69"/>
    <s v="Regular"/>
    <n v="-8.8495575221238937E-2"/>
    <n v="-10"/>
    <n v="33"/>
  </r>
  <r>
    <s v="775"/>
    <n v="33"/>
    <n v="-16"/>
    <x v="218"/>
    <n v="243"/>
    <n v="41"/>
    <s v="Small Market"/>
    <x v="3"/>
    <n v="12"/>
    <x v="1"/>
    <x v="3"/>
    <x v="7"/>
    <n v="-6"/>
    <n v="79"/>
    <s v="Nevada"/>
    <n v="30"/>
    <n v="50"/>
    <n v="10"/>
    <n v="80"/>
    <n v="45"/>
    <s v="Regular"/>
    <n v="-7.5949367088607597E-2"/>
    <n v="-16"/>
    <n v="-1"/>
  </r>
  <r>
    <s v="314"/>
    <n v="44"/>
    <n v="-12"/>
    <x v="219"/>
    <n v="325"/>
    <n v="62"/>
    <s v="Small Market"/>
    <x v="0"/>
    <n v="40"/>
    <x v="0"/>
    <x v="0"/>
    <x v="10"/>
    <n v="-12"/>
    <n v="113"/>
    <s v="Missouri"/>
    <n v="40"/>
    <n v="50"/>
    <n v="0"/>
    <n v="90"/>
    <n v="70"/>
    <s v="Decaf"/>
    <n v="-0.10619469026548672"/>
    <n v="-12"/>
    <n v="23"/>
  </r>
  <r>
    <s v="715"/>
    <n v="31"/>
    <n v="0"/>
    <x v="220"/>
    <n v="856"/>
    <n v="47"/>
    <s v="Small Market"/>
    <x v="0"/>
    <n v="8"/>
    <x v="0"/>
    <x v="0"/>
    <x v="0"/>
    <n v="40"/>
    <n v="83"/>
    <s v="Wisconsin"/>
    <n v="20"/>
    <n v="50"/>
    <n v="40"/>
    <n v="70"/>
    <n v="20"/>
    <s v="Decaf"/>
    <n v="0.48192771084337349"/>
    <n v="0"/>
    <n v="13"/>
  </r>
  <r>
    <s v="959"/>
    <n v="69"/>
    <n v="26"/>
    <x v="221"/>
    <n v="1060"/>
    <n v="81"/>
    <s v="Small Market"/>
    <x v="2"/>
    <n v="21"/>
    <x v="0"/>
    <x v="0"/>
    <x v="1"/>
    <n v="56"/>
    <n v="160"/>
    <s v="Connecticut"/>
    <n v="50"/>
    <n v="50"/>
    <n v="30"/>
    <n v="100"/>
    <n v="43"/>
    <s v="Decaf"/>
    <n v="0.35"/>
    <n v="26"/>
    <n v="60"/>
  </r>
  <r>
    <s v="715"/>
    <n v="49"/>
    <n v="29"/>
    <x v="222"/>
    <n v="454"/>
    <n v="71"/>
    <s v="Small Market"/>
    <x v="0"/>
    <n v="15"/>
    <x v="0"/>
    <x v="1"/>
    <x v="2"/>
    <n v="49"/>
    <n v="128"/>
    <s v="Wisconsin"/>
    <n v="40"/>
    <n v="50"/>
    <n v="20"/>
    <n v="90"/>
    <n v="38"/>
    <s v="Regular"/>
    <n v="0.3828125"/>
    <n v="29"/>
    <n v="38"/>
  </r>
  <r>
    <s v="206"/>
    <n v="49"/>
    <n v="20"/>
    <x v="223"/>
    <n v="454"/>
    <n v="71"/>
    <s v="Small Market"/>
    <x v="3"/>
    <n v="15"/>
    <x v="0"/>
    <x v="1"/>
    <x v="11"/>
    <n v="50"/>
    <n v="128"/>
    <s v="Washington"/>
    <n v="30"/>
    <n v="50"/>
    <n v="30"/>
    <n v="80"/>
    <n v="37"/>
    <s v="Regular"/>
    <n v="0.390625"/>
    <n v="20"/>
    <n v="48"/>
  </r>
  <r>
    <s v="970"/>
    <n v="43"/>
    <n v="13"/>
    <x v="224"/>
    <n v="531"/>
    <n v="56"/>
    <s v="Major Market"/>
    <x v="0"/>
    <n v="14"/>
    <x v="1"/>
    <x v="3"/>
    <x v="7"/>
    <n v="43"/>
    <n v="106"/>
    <s v="Colorado"/>
    <n v="40"/>
    <n v="50"/>
    <n v="30"/>
    <n v="90"/>
    <n v="27"/>
    <s v="Regular"/>
    <n v="0.40566037735849059"/>
    <n v="13"/>
    <n v="16"/>
  </r>
  <r>
    <s v="330"/>
    <n v="41"/>
    <n v="16"/>
    <x v="225"/>
    <n v="435"/>
    <n v="60"/>
    <s v="Major Market"/>
    <x v="0"/>
    <n v="13"/>
    <x v="1"/>
    <x v="3"/>
    <x v="7"/>
    <n v="36"/>
    <n v="108"/>
    <s v="Ohio"/>
    <n v="40"/>
    <n v="50"/>
    <n v="20"/>
    <n v="90"/>
    <n v="36"/>
    <s v="Regular"/>
    <n v="0.33333333333333331"/>
    <n v="16"/>
    <n v="18"/>
  </r>
  <r>
    <s v="978"/>
    <n v="47"/>
    <n v="-20"/>
    <x v="226"/>
    <n v="571"/>
    <n v="52"/>
    <s v="Major Market"/>
    <x v="2"/>
    <n v="42"/>
    <x v="1"/>
    <x v="2"/>
    <x v="8"/>
    <n v="-30"/>
    <n v="106"/>
    <s v="Massachusetts"/>
    <n v="40"/>
    <n v="50"/>
    <n v="-10"/>
    <n v="90"/>
    <n v="72"/>
    <s v="Regular"/>
    <n v="-0.28301886792452829"/>
    <n v="-20"/>
    <n v="16"/>
  </r>
  <r>
    <s v="312"/>
    <n v="43"/>
    <n v="13"/>
    <x v="227"/>
    <n v="531"/>
    <n v="56"/>
    <s v="Major Market"/>
    <x v="0"/>
    <n v="14"/>
    <x v="0"/>
    <x v="0"/>
    <x v="0"/>
    <n v="43"/>
    <n v="106"/>
    <s v="Illinois"/>
    <n v="40"/>
    <n v="50"/>
    <n v="30"/>
    <n v="90"/>
    <n v="27"/>
    <s v="Decaf"/>
    <n v="0.40566037735849059"/>
    <n v="13"/>
    <n v="16"/>
  </r>
  <r>
    <s v="323"/>
    <n v="43"/>
    <n v="13"/>
    <x v="228"/>
    <n v="531"/>
    <n v="56"/>
    <s v="Major Market"/>
    <x v="3"/>
    <n v="14"/>
    <x v="0"/>
    <x v="0"/>
    <x v="1"/>
    <n v="43"/>
    <n v="106"/>
    <s v="California"/>
    <n v="40"/>
    <n v="50"/>
    <n v="30"/>
    <n v="90"/>
    <n v="27"/>
    <s v="Decaf"/>
    <n v="0.40566037735849059"/>
    <n v="13"/>
    <n v="16"/>
  </r>
  <r>
    <s v="303"/>
    <n v="46"/>
    <n v="-1"/>
    <x v="229"/>
    <n v="422"/>
    <n v="57"/>
    <s v="Major Market"/>
    <x v="0"/>
    <n v="17"/>
    <x v="0"/>
    <x v="1"/>
    <x v="2"/>
    <n v="9"/>
    <n v="110"/>
    <s v="Colorado"/>
    <n v="30"/>
    <n v="50"/>
    <n v="10"/>
    <n v="80"/>
    <n v="51"/>
    <s v="Regular"/>
    <n v="8.1818181818181818E-2"/>
    <n v="-1"/>
    <n v="30"/>
  </r>
  <r>
    <s v="970"/>
    <n v="53"/>
    <n v="19"/>
    <x v="230"/>
    <n v="1054"/>
    <n v="63"/>
    <s v="Major Market"/>
    <x v="0"/>
    <n v="16"/>
    <x v="0"/>
    <x v="1"/>
    <x v="11"/>
    <n v="39"/>
    <n v="124"/>
    <s v="Colorado"/>
    <n v="40"/>
    <n v="50"/>
    <n v="20"/>
    <n v="90"/>
    <n v="37"/>
    <s v="Regular"/>
    <n v="0.31451612903225806"/>
    <n v="19"/>
    <n v="34"/>
  </r>
  <r>
    <s v="978"/>
    <n v="33"/>
    <n v="3"/>
    <x v="231"/>
    <n v="870"/>
    <n v="49"/>
    <s v="Major Market"/>
    <x v="2"/>
    <n v="9"/>
    <x v="0"/>
    <x v="1"/>
    <x v="2"/>
    <n v="43"/>
    <n v="87"/>
    <s v="Massachusetts"/>
    <n v="30"/>
    <n v="50"/>
    <n v="40"/>
    <n v="80"/>
    <n v="20"/>
    <s v="Regular"/>
    <n v="0.4942528735632184"/>
    <n v="3"/>
    <n v="7"/>
  </r>
  <r>
    <s v="321"/>
    <n v="34"/>
    <n v="5"/>
    <x v="232"/>
    <n v="863"/>
    <n v="51"/>
    <s v="Major Market"/>
    <x v="2"/>
    <n v="9"/>
    <x v="0"/>
    <x v="1"/>
    <x v="3"/>
    <n v="45"/>
    <n v="91"/>
    <s v="Florida"/>
    <n v="30"/>
    <n v="50"/>
    <n v="40"/>
    <n v="80"/>
    <n v="21"/>
    <s v="Regular"/>
    <n v="0.49450549450549453"/>
    <n v="5"/>
    <n v="11"/>
  </r>
  <r>
    <s v="563"/>
    <n v="0"/>
    <n v="7"/>
    <x v="233"/>
    <n v="344"/>
    <n v="43"/>
    <s v="Small Market"/>
    <x v="0"/>
    <n v="0"/>
    <x v="1"/>
    <x v="2"/>
    <x v="4"/>
    <n v="47"/>
    <n v="46"/>
    <s v="Iowa"/>
    <n v="0"/>
    <n v="50"/>
    <n v="40"/>
    <n v="50"/>
    <n v="11"/>
    <s v="Decaf"/>
    <n v="1.0217391304347827"/>
    <n v="7"/>
    <n v="-4"/>
  </r>
  <r>
    <s v="318"/>
    <n v="43"/>
    <n v="20"/>
    <x v="234"/>
    <n v="466"/>
    <n v="63"/>
    <s v="Small Market"/>
    <x v="1"/>
    <n v="13"/>
    <x v="1"/>
    <x v="2"/>
    <x v="4"/>
    <n v="40"/>
    <n v="113"/>
    <s v="Louisiana"/>
    <n v="30"/>
    <n v="50"/>
    <n v="20"/>
    <n v="80"/>
    <n v="36"/>
    <s v="Decaf"/>
    <n v="0.35398230088495575"/>
    <n v="20"/>
    <n v="33"/>
  </r>
  <r>
    <s v="775"/>
    <n v="31"/>
    <n v="-18"/>
    <x v="235"/>
    <n v="1009"/>
    <n v="38"/>
    <s v="Small Market"/>
    <x v="3"/>
    <n v="9"/>
    <x v="1"/>
    <x v="3"/>
    <x v="5"/>
    <n v="12"/>
    <n v="74"/>
    <s v="Nevada"/>
    <n v="30"/>
    <n v="50"/>
    <n v="30"/>
    <n v="80"/>
    <n v="30"/>
    <s v="Decaf"/>
    <n v="0.16216216216216217"/>
    <n v="-18"/>
    <n v="-6"/>
  </r>
  <r>
    <s v="515"/>
    <n v="23"/>
    <n v="-15"/>
    <x v="236"/>
    <n v="807"/>
    <n v="35"/>
    <s v="Small Market"/>
    <x v="0"/>
    <n v="6"/>
    <x v="1"/>
    <x v="2"/>
    <x v="8"/>
    <n v="25"/>
    <n v="62"/>
    <s v="Iowa"/>
    <n v="20"/>
    <n v="50"/>
    <n v="40"/>
    <n v="70"/>
    <n v="18"/>
    <s v="Regular"/>
    <n v="0.40322580645161288"/>
    <n v="-15"/>
    <n v="-8"/>
  </r>
  <r>
    <s v="225"/>
    <n v="41"/>
    <n v="26"/>
    <x v="237"/>
    <n v="320"/>
    <n v="66"/>
    <s v="Small Market"/>
    <x v="1"/>
    <n v="12"/>
    <x v="1"/>
    <x v="2"/>
    <x v="8"/>
    <n v="46"/>
    <n v="114"/>
    <s v="Louisiana"/>
    <n v="30"/>
    <n v="50"/>
    <n v="20"/>
    <n v="80"/>
    <n v="35"/>
    <s v="Regular"/>
    <n v="0.40350877192982454"/>
    <n v="26"/>
    <n v="34"/>
  </r>
  <r>
    <s v="971"/>
    <n v="46"/>
    <n v="-1"/>
    <x v="238"/>
    <n v="422"/>
    <n v="57"/>
    <s v="Small Market"/>
    <x v="3"/>
    <n v="17"/>
    <x v="1"/>
    <x v="2"/>
    <x v="9"/>
    <n v="9"/>
    <n v="110"/>
    <s v="Oregon"/>
    <n v="40"/>
    <n v="50"/>
    <n v="10"/>
    <n v="90"/>
    <n v="51"/>
    <s v="Regular"/>
    <n v="8.1818181818181818E-2"/>
    <n v="-1"/>
    <n v="20"/>
  </r>
  <r>
    <s v="262"/>
    <n v="43"/>
    <n v="22"/>
    <x v="239"/>
    <n v="466"/>
    <n v="63"/>
    <s v="Small Market"/>
    <x v="0"/>
    <n v="13"/>
    <x v="0"/>
    <x v="1"/>
    <x v="2"/>
    <n v="42"/>
    <n v="113"/>
    <s v="Wisconsin"/>
    <n v="30"/>
    <n v="50"/>
    <n v="20"/>
    <n v="80"/>
    <n v="35"/>
    <s v="Regular"/>
    <n v="0.37168141592920356"/>
    <n v="22"/>
    <n v="33"/>
  </r>
  <r>
    <s v="959"/>
    <n v="33"/>
    <n v="2"/>
    <x v="240"/>
    <n v="818"/>
    <n v="49"/>
    <s v="Small Market"/>
    <x v="2"/>
    <n v="9"/>
    <x v="0"/>
    <x v="1"/>
    <x v="3"/>
    <n v="42"/>
    <n v="87"/>
    <s v="Connecticut"/>
    <n v="30"/>
    <n v="50"/>
    <n v="40"/>
    <n v="80"/>
    <n v="21"/>
    <s v="Regular"/>
    <n v="0.48275862068965519"/>
    <n v="2"/>
    <n v="7"/>
  </r>
  <r>
    <s v="435"/>
    <n v="49"/>
    <n v="-6"/>
    <x v="241"/>
    <n v="335"/>
    <n v="69"/>
    <s v="Small Market"/>
    <x v="3"/>
    <n v="44"/>
    <x v="0"/>
    <x v="1"/>
    <x v="2"/>
    <n v="-6"/>
    <n v="126"/>
    <s v="Utah"/>
    <n v="30"/>
    <n v="50"/>
    <n v="0"/>
    <n v="80"/>
    <n v="73"/>
    <s v="Regular"/>
    <n v="-4.7619047619047616E-2"/>
    <n v="-6"/>
    <n v="46"/>
  </r>
  <r>
    <s v="509"/>
    <n v="55"/>
    <n v="6"/>
    <x v="242"/>
    <n v="627"/>
    <n v="76"/>
    <s v="Small Market"/>
    <x v="3"/>
    <n v="49"/>
    <x v="0"/>
    <x v="1"/>
    <x v="3"/>
    <n v="-4"/>
    <n v="140"/>
    <s v="Washington"/>
    <n v="40"/>
    <n v="50"/>
    <n v="-10"/>
    <n v="90"/>
    <n v="79"/>
    <s v="Regular"/>
    <n v="-2.8571428571428571E-2"/>
    <n v="6"/>
    <n v="50"/>
  </r>
  <r>
    <s v="630"/>
    <n v="39"/>
    <n v="-13"/>
    <x v="243"/>
    <n v="541"/>
    <n v="51"/>
    <s v="Major Market"/>
    <x v="0"/>
    <n v="12"/>
    <x v="0"/>
    <x v="0"/>
    <x v="0"/>
    <n v="27"/>
    <n v="90"/>
    <s v="Illinois"/>
    <n v="20"/>
    <n v="40"/>
    <n v="40"/>
    <n v="60"/>
    <n v="24"/>
    <s v="Decaf"/>
    <n v="0.3"/>
    <n v="-13"/>
    <n v="30"/>
  </r>
  <r>
    <s v="209"/>
    <n v="39"/>
    <n v="-14"/>
    <x v="244"/>
    <n v="541"/>
    <n v="51"/>
    <s v="Major Market"/>
    <x v="3"/>
    <n v="12"/>
    <x v="0"/>
    <x v="0"/>
    <x v="1"/>
    <n v="26"/>
    <n v="90"/>
    <s v="California"/>
    <n v="20"/>
    <n v="40"/>
    <n v="40"/>
    <n v="60"/>
    <n v="25"/>
    <s v="Decaf"/>
    <n v="0.28888888888888886"/>
    <n v="-14"/>
    <n v="30"/>
  </r>
  <r>
    <s v="505"/>
    <n v="86"/>
    <n v="-36"/>
    <x v="245"/>
    <n v="1698"/>
    <n v="23"/>
    <s v="Small Market"/>
    <x v="1"/>
    <n v="26"/>
    <x v="1"/>
    <x v="3"/>
    <x v="5"/>
    <n v="-26"/>
    <n v="109"/>
    <s v="New Mexico"/>
    <n v="110"/>
    <n v="40"/>
    <n v="10"/>
    <n v="150"/>
    <n v="49"/>
    <s v="Decaf"/>
    <n v="-0.23853211009174313"/>
    <n v="-36"/>
    <n v="-41"/>
  </r>
  <r>
    <s v="318"/>
    <n v="46"/>
    <n v="-10"/>
    <x v="246"/>
    <n v="449"/>
    <n v="67"/>
    <s v="Small Market"/>
    <x v="1"/>
    <n v="14"/>
    <x v="1"/>
    <x v="2"/>
    <x v="4"/>
    <n v="30"/>
    <n v="113"/>
    <s v="Louisiana"/>
    <n v="20"/>
    <n v="40"/>
    <n v="40"/>
    <n v="60"/>
    <n v="37"/>
    <s v="Decaf"/>
    <n v="0.26548672566371684"/>
    <n v="-10"/>
    <n v="53"/>
  </r>
  <r>
    <s v="515"/>
    <n v="31"/>
    <n v="-23"/>
    <x v="247"/>
    <n v="1000"/>
    <n v="37"/>
    <s v="Small Market"/>
    <x v="0"/>
    <n v="9"/>
    <x v="1"/>
    <x v="3"/>
    <x v="7"/>
    <n v="7"/>
    <n v="68"/>
    <s v="Iowa"/>
    <n v="20"/>
    <n v="40"/>
    <n v="30"/>
    <n v="60"/>
    <n v="30"/>
    <s v="Regular"/>
    <n v="0.10294117647058823"/>
    <n v="-23"/>
    <n v="8"/>
  </r>
  <r>
    <s v="505"/>
    <n v="45"/>
    <n v="-16"/>
    <x v="248"/>
    <n v="320"/>
    <n v="64"/>
    <s v="Small Market"/>
    <x v="1"/>
    <n v="41"/>
    <x v="1"/>
    <x v="2"/>
    <x v="8"/>
    <n v="-6"/>
    <n v="109"/>
    <s v="New Mexico"/>
    <n v="20"/>
    <n v="40"/>
    <n v="10"/>
    <n v="60"/>
    <n v="70"/>
    <s v="Regular"/>
    <n v="-5.5045871559633031E-2"/>
    <n v="-16"/>
    <n v="49"/>
  </r>
  <r>
    <s v="801"/>
    <n v="32"/>
    <n v="-12"/>
    <x v="249"/>
    <n v="833"/>
    <n v="47"/>
    <s v="Small Market"/>
    <x v="3"/>
    <n v="8"/>
    <x v="1"/>
    <x v="2"/>
    <x v="9"/>
    <n v="28"/>
    <n v="79"/>
    <s v="Utah"/>
    <n v="20"/>
    <n v="40"/>
    <n v="40"/>
    <n v="60"/>
    <n v="19"/>
    <s v="Regular"/>
    <n v="0.35443037974683544"/>
    <n v="-12"/>
    <n v="19"/>
  </r>
  <r>
    <s v="505"/>
    <n v="31"/>
    <n v="-24"/>
    <x v="250"/>
    <n v="1000"/>
    <n v="37"/>
    <s v="Small Market"/>
    <x v="1"/>
    <n v="9"/>
    <x v="0"/>
    <x v="0"/>
    <x v="0"/>
    <n v="6"/>
    <n v="68"/>
    <s v="New Mexico"/>
    <n v="10"/>
    <n v="40"/>
    <n v="30"/>
    <n v="50"/>
    <n v="31"/>
    <s v="Decaf"/>
    <n v="8.8235294117647065E-2"/>
    <n v="-24"/>
    <n v="18"/>
  </r>
  <r>
    <s v="636"/>
    <n v="39"/>
    <n v="-17"/>
    <x v="251"/>
    <n v="244"/>
    <n v="53"/>
    <s v="Small Market"/>
    <x v="0"/>
    <n v="12"/>
    <x v="0"/>
    <x v="1"/>
    <x v="2"/>
    <n v="13"/>
    <n v="92"/>
    <s v="Missouri"/>
    <n v="20"/>
    <n v="40"/>
    <n v="30"/>
    <n v="60"/>
    <n v="40"/>
    <s v="Regular"/>
    <n v="0.14130434782608695"/>
    <n v="-17"/>
    <n v="32"/>
  </r>
  <r>
    <s v="959"/>
    <n v="24"/>
    <n v="-22"/>
    <x v="252"/>
    <n v="806"/>
    <n v="36"/>
    <s v="Small Market"/>
    <x v="2"/>
    <n v="6"/>
    <x v="0"/>
    <x v="1"/>
    <x v="3"/>
    <n v="18"/>
    <n v="60"/>
    <s v="Connecticut"/>
    <n v="20"/>
    <n v="40"/>
    <n v="40"/>
    <n v="60"/>
    <n v="18"/>
    <s v="Regular"/>
    <n v="0.3"/>
    <n v="-22"/>
    <n v="0"/>
  </r>
  <r>
    <s v="603"/>
    <n v="0"/>
    <n v="-8"/>
    <x v="253"/>
    <n v="430"/>
    <n v="43"/>
    <s v="Small Market"/>
    <x v="2"/>
    <n v="0"/>
    <x v="0"/>
    <x v="1"/>
    <x v="3"/>
    <n v="32"/>
    <n v="43"/>
    <s v="New Hampshire"/>
    <n v="0"/>
    <n v="40"/>
    <n v="40"/>
    <n v="40"/>
    <n v="11"/>
    <s v="Regular"/>
    <n v="0.7441860465116279"/>
    <n v="-8"/>
    <n v="3"/>
  </r>
  <r>
    <s v="801"/>
    <n v="45"/>
    <n v="-26"/>
    <x v="254"/>
    <n v="320"/>
    <n v="64"/>
    <s v="Small Market"/>
    <x v="3"/>
    <n v="41"/>
    <x v="0"/>
    <x v="1"/>
    <x v="2"/>
    <n v="-6"/>
    <n v="109"/>
    <s v="Utah"/>
    <n v="10"/>
    <n v="40"/>
    <n v="20"/>
    <n v="50"/>
    <n v="70"/>
    <s v="Regular"/>
    <n v="-5.5045871559633031E-2"/>
    <n v="-26"/>
    <n v="59"/>
  </r>
  <r>
    <s v="206"/>
    <n v="60"/>
    <n v="-10"/>
    <x v="255"/>
    <n v="606"/>
    <n v="84"/>
    <s v="Small Market"/>
    <x v="3"/>
    <n v="54"/>
    <x v="0"/>
    <x v="1"/>
    <x v="3"/>
    <n v="0"/>
    <n v="144"/>
    <s v="Washington"/>
    <n v="20"/>
    <n v="40"/>
    <n v="10"/>
    <n v="60"/>
    <n v="84"/>
    <s v="Regular"/>
    <n v="0"/>
    <n v="-10"/>
    <n v="84"/>
  </r>
  <r>
    <s v="937"/>
    <n v="32"/>
    <n v="-1"/>
    <x v="256"/>
    <n v="482"/>
    <n v="48"/>
    <s v="Major Market"/>
    <x v="0"/>
    <n v="8"/>
    <x v="0"/>
    <x v="0"/>
    <x v="10"/>
    <n v="29"/>
    <n v="80"/>
    <s v="Ohio"/>
    <n v="30"/>
    <n v="40"/>
    <n v="30"/>
    <n v="70"/>
    <n v="19"/>
    <s v="Decaf"/>
    <n v="0.36249999999999999"/>
    <n v="-1"/>
    <n v="10"/>
  </r>
  <r>
    <s v="407"/>
    <n v="54"/>
    <n v="3"/>
    <x v="257"/>
    <n v="391"/>
    <n v="67"/>
    <s v="Major Market"/>
    <x v="2"/>
    <n v="20"/>
    <x v="0"/>
    <x v="0"/>
    <x v="0"/>
    <n v="13"/>
    <n v="121"/>
    <s v="Florida"/>
    <n v="40"/>
    <n v="40"/>
    <n v="10"/>
    <n v="80"/>
    <n v="54"/>
    <s v="Decaf"/>
    <n v="0.10743801652892562"/>
    <n v="3"/>
    <n v="41"/>
  </r>
  <r>
    <s v="715"/>
    <n v="22"/>
    <n v="-19"/>
    <x v="258"/>
    <n v="570"/>
    <n v="30"/>
    <s v="Small Market"/>
    <x v="0"/>
    <n v="7"/>
    <x v="1"/>
    <x v="2"/>
    <x v="4"/>
    <n v="11"/>
    <n v="52"/>
    <s v="Wisconsin"/>
    <n v="20"/>
    <n v="40"/>
    <n v="30"/>
    <n v="60"/>
    <n v="19"/>
    <s v="Decaf"/>
    <n v="0.21153846153846154"/>
    <n v="-19"/>
    <n v="-8"/>
  </r>
  <r>
    <s v="505"/>
    <n v="35"/>
    <n v="-12"/>
    <x v="259"/>
    <n v="248"/>
    <n v="47"/>
    <s v="Small Market"/>
    <x v="1"/>
    <n v="11"/>
    <x v="1"/>
    <x v="2"/>
    <x v="4"/>
    <n v="8"/>
    <n v="82"/>
    <s v="New Mexico"/>
    <n v="20"/>
    <n v="40"/>
    <n v="20"/>
    <n v="60"/>
    <n v="39"/>
    <s v="Decaf"/>
    <n v="9.7560975609756101E-2"/>
    <n v="-12"/>
    <n v="22"/>
  </r>
  <r>
    <s v="775"/>
    <n v="29"/>
    <n v="-15"/>
    <x v="260"/>
    <n v="1003"/>
    <n v="35"/>
    <s v="Small Market"/>
    <x v="3"/>
    <n v="8"/>
    <x v="1"/>
    <x v="3"/>
    <x v="5"/>
    <n v="5"/>
    <n v="64"/>
    <s v="Nevada"/>
    <n v="30"/>
    <n v="40"/>
    <n v="20"/>
    <n v="70"/>
    <n v="30"/>
    <s v="Decaf"/>
    <n v="7.8125E-2"/>
    <n v="-15"/>
    <n v="-6"/>
  </r>
  <r>
    <s v="563"/>
    <n v="29"/>
    <n v="-15"/>
    <x v="261"/>
    <n v="1003"/>
    <n v="35"/>
    <s v="Small Market"/>
    <x v="0"/>
    <n v="8"/>
    <x v="1"/>
    <x v="3"/>
    <x v="7"/>
    <n v="5"/>
    <n v="64"/>
    <s v="Iowa"/>
    <n v="20"/>
    <n v="40"/>
    <n v="20"/>
    <n v="60"/>
    <n v="30"/>
    <s v="Regular"/>
    <n v="7.8125E-2"/>
    <n v="-15"/>
    <n v="4"/>
  </r>
  <r>
    <s v="603"/>
    <n v="34"/>
    <n v="-3"/>
    <x v="262"/>
    <n v="211"/>
    <n v="42"/>
    <s v="Small Market"/>
    <x v="2"/>
    <n v="12"/>
    <x v="1"/>
    <x v="2"/>
    <x v="12"/>
    <n v="-3"/>
    <n v="76"/>
    <s v="New Hampshire"/>
    <n v="30"/>
    <n v="40"/>
    <n v="0"/>
    <n v="70"/>
    <n v="45"/>
    <s v="Regular"/>
    <n v="-3.9473684210526314E-2"/>
    <n v="-3"/>
    <n v="6"/>
  </r>
  <r>
    <s v="918"/>
    <n v="32"/>
    <n v="-1"/>
    <x v="263"/>
    <n v="482"/>
    <n v="48"/>
    <s v="Small Market"/>
    <x v="1"/>
    <n v="8"/>
    <x v="1"/>
    <x v="2"/>
    <x v="8"/>
    <n v="29"/>
    <n v="80"/>
    <s v="Oklahoma"/>
    <n v="20"/>
    <n v="40"/>
    <n v="30"/>
    <n v="60"/>
    <n v="19"/>
    <s v="Regular"/>
    <n v="0.36249999999999999"/>
    <n v="-1"/>
    <n v="20"/>
  </r>
  <r>
    <s v="775"/>
    <n v="0"/>
    <n v="1"/>
    <x v="264"/>
    <n v="387"/>
    <n v="43"/>
    <s v="Small Market"/>
    <x v="3"/>
    <n v="0"/>
    <x v="1"/>
    <x v="2"/>
    <x v="9"/>
    <n v="31"/>
    <n v="43"/>
    <s v="Nevada"/>
    <n v="0"/>
    <n v="40"/>
    <n v="30"/>
    <n v="40"/>
    <n v="12"/>
    <s v="Regular"/>
    <n v="0.72093023255813948"/>
    <n v="1"/>
    <n v="3"/>
  </r>
  <r>
    <s v="435"/>
    <n v="33"/>
    <n v="-3"/>
    <x v="265"/>
    <n v="836"/>
    <n v="48"/>
    <s v="Small Market"/>
    <x v="3"/>
    <n v="9"/>
    <x v="1"/>
    <x v="2"/>
    <x v="9"/>
    <n v="27"/>
    <n v="81"/>
    <s v="Utah"/>
    <n v="30"/>
    <n v="40"/>
    <n v="30"/>
    <n v="70"/>
    <n v="21"/>
    <s v="Regular"/>
    <n v="0.33333333333333331"/>
    <n v="-3"/>
    <n v="11"/>
  </r>
  <r>
    <s v="573"/>
    <n v="82"/>
    <n v="-9"/>
    <x v="266"/>
    <n v="1804"/>
    <n v="40"/>
    <s v="Small Market"/>
    <x v="0"/>
    <n v="25"/>
    <x v="0"/>
    <x v="0"/>
    <x v="0"/>
    <n v="-9"/>
    <n v="122"/>
    <s v="Missouri"/>
    <n v="70"/>
    <n v="40"/>
    <n v="0"/>
    <n v="110"/>
    <n v="49"/>
    <s v="Decaf"/>
    <n v="-7.3770491803278687E-2"/>
    <n v="-9"/>
    <n v="12"/>
  </r>
  <r>
    <s v="801"/>
    <n v="82"/>
    <n v="-8"/>
    <x v="267"/>
    <n v="1804"/>
    <n v="40"/>
    <s v="Small Market"/>
    <x v="3"/>
    <n v="25"/>
    <x v="0"/>
    <x v="0"/>
    <x v="1"/>
    <n v="-8"/>
    <n v="122"/>
    <s v="Utah"/>
    <n v="70"/>
    <n v="40"/>
    <n v="0"/>
    <n v="110"/>
    <n v="48"/>
    <s v="Decaf"/>
    <n v="-6.5573770491803282E-2"/>
    <n v="-8"/>
    <n v="12"/>
  </r>
  <r>
    <s v="417"/>
    <n v="35"/>
    <n v="-1"/>
    <x v="268"/>
    <n v="248"/>
    <n v="47"/>
    <s v="Small Market"/>
    <x v="0"/>
    <n v="11"/>
    <x v="0"/>
    <x v="1"/>
    <x v="2"/>
    <n v="9"/>
    <n v="82"/>
    <s v="Missouri"/>
    <n v="20"/>
    <n v="40"/>
    <n v="10"/>
    <n v="60"/>
    <n v="38"/>
    <s v="Regular"/>
    <n v="0.10975609756097561"/>
    <n v="-1"/>
    <n v="22"/>
  </r>
  <r>
    <s v="636"/>
    <n v="34"/>
    <n v="-3"/>
    <x v="269"/>
    <n v="211"/>
    <n v="42"/>
    <s v="Small Market"/>
    <x v="0"/>
    <n v="12"/>
    <x v="0"/>
    <x v="1"/>
    <x v="11"/>
    <n v="-3"/>
    <n v="76"/>
    <s v="Missouri"/>
    <n v="20"/>
    <n v="40"/>
    <n v="0"/>
    <n v="60"/>
    <n v="45"/>
    <s v="Regular"/>
    <n v="-3.9473684210526314E-2"/>
    <n v="-3"/>
    <n v="16"/>
  </r>
  <r>
    <s v="314"/>
    <n v="33"/>
    <n v="-4"/>
    <x v="270"/>
    <n v="243"/>
    <n v="41"/>
    <s v="Small Market"/>
    <x v="0"/>
    <n v="12"/>
    <x v="0"/>
    <x v="1"/>
    <x v="3"/>
    <n v="-4"/>
    <n v="74"/>
    <s v="Missouri"/>
    <n v="20"/>
    <n v="40"/>
    <n v="0"/>
    <n v="60"/>
    <n v="45"/>
    <s v="Regular"/>
    <n v="-5.4054054054054057E-2"/>
    <n v="-4"/>
    <n v="14"/>
  </r>
  <r>
    <s v="603"/>
    <n v="0"/>
    <n v="2"/>
    <x v="271"/>
    <n v="387"/>
    <n v="43"/>
    <s v="Small Market"/>
    <x v="2"/>
    <n v="0"/>
    <x v="0"/>
    <x v="1"/>
    <x v="3"/>
    <n v="32"/>
    <n v="43"/>
    <s v="New Hampshire"/>
    <n v="0"/>
    <n v="40"/>
    <n v="30"/>
    <n v="40"/>
    <n v="11"/>
    <s v="Regular"/>
    <n v="0.7441860465116279"/>
    <n v="2"/>
    <n v="3"/>
  </r>
  <r>
    <s v="435"/>
    <n v="44"/>
    <n v="3"/>
    <x v="272"/>
    <n v="325"/>
    <n v="62"/>
    <s v="Small Market"/>
    <x v="3"/>
    <n v="40"/>
    <x v="0"/>
    <x v="1"/>
    <x v="2"/>
    <n v="-7"/>
    <n v="106"/>
    <s v="Utah"/>
    <n v="30"/>
    <n v="40"/>
    <n v="-10"/>
    <n v="70"/>
    <n v="69"/>
    <s v="Regular"/>
    <n v="-6.6037735849056603E-2"/>
    <n v="3"/>
    <n v="36"/>
  </r>
  <r>
    <s v="937"/>
    <n v="29"/>
    <n v="-5"/>
    <x v="273"/>
    <n v="490"/>
    <n v="44"/>
    <s v="Major Market"/>
    <x v="0"/>
    <n v="8"/>
    <x v="0"/>
    <x v="0"/>
    <x v="10"/>
    <n v="25"/>
    <n v="73"/>
    <s v="Ohio"/>
    <n v="20"/>
    <n v="40"/>
    <n v="30"/>
    <n v="60"/>
    <n v="19"/>
    <s v="Decaf"/>
    <n v="0.34246575342465752"/>
    <n v="-5"/>
    <n v="13"/>
  </r>
  <r>
    <s v="330"/>
    <n v="33"/>
    <n v="-1"/>
    <x v="274"/>
    <n v="870"/>
    <n v="49"/>
    <s v="Major Market"/>
    <x v="0"/>
    <n v="9"/>
    <x v="0"/>
    <x v="0"/>
    <x v="0"/>
    <n v="29"/>
    <n v="82"/>
    <s v="Ohio"/>
    <n v="30"/>
    <n v="40"/>
    <n v="30"/>
    <n v="70"/>
    <n v="20"/>
    <s v="Decaf"/>
    <n v="0.35365853658536583"/>
    <n v="-1"/>
    <n v="12"/>
  </r>
  <r>
    <s v="508"/>
    <n v="46"/>
    <n v="-3"/>
    <x v="275"/>
    <n v="422"/>
    <n v="57"/>
    <s v="Major Market"/>
    <x v="2"/>
    <n v="17"/>
    <x v="0"/>
    <x v="0"/>
    <x v="0"/>
    <n v="7"/>
    <n v="103"/>
    <s v="Massachusetts"/>
    <n v="30"/>
    <n v="40"/>
    <n v="10"/>
    <n v="70"/>
    <n v="50"/>
    <s v="Decaf"/>
    <n v="6.7961165048543687E-2"/>
    <n v="-3"/>
    <n v="33"/>
  </r>
  <r>
    <s v="813"/>
    <n v="30"/>
    <n v="-4"/>
    <x v="276"/>
    <n v="882"/>
    <n v="45"/>
    <s v="Major Market"/>
    <x v="2"/>
    <n v="8"/>
    <x v="0"/>
    <x v="1"/>
    <x v="2"/>
    <n v="26"/>
    <n v="75"/>
    <s v="Florida"/>
    <n v="30"/>
    <n v="40"/>
    <n v="30"/>
    <n v="70"/>
    <n v="19"/>
    <s v="Regular"/>
    <n v="0.34666666666666668"/>
    <n v="-4"/>
    <n v="5"/>
  </r>
  <r>
    <s v="857"/>
    <n v="29"/>
    <n v="-5"/>
    <x v="277"/>
    <n v="490"/>
    <n v="44"/>
    <s v="Major Market"/>
    <x v="2"/>
    <n v="8"/>
    <x v="0"/>
    <x v="1"/>
    <x v="3"/>
    <n v="25"/>
    <n v="73"/>
    <s v="Massachusetts"/>
    <n v="30"/>
    <n v="40"/>
    <n v="30"/>
    <n v="70"/>
    <n v="19"/>
    <s v="Regular"/>
    <n v="0.34246575342465752"/>
    <n v="-5"/>
    <n v="3"/>
  </r>
  <r>
    <s v="262"/>
    <n v="24"/>
    <n v="-17"/>
    <x v="278"/>
    <n v="567"/>
    <n v="32"/>
    <s v="Small Market"/>
    <x v="0"/>
    <n v="7"/>
    <x v="1"/>
    <x v="2"/>
    <x v="4"/>
    <n v="13"/>
    <n v="56"/>
    <s v="Wisconsin"/>
    <n v="30"/>
    <n v="40"/>
    <n v="30"/>
    <n v="70"/>
    <n v="19"/>
    <s v="Decaf"/>
    <n v="0.23214285714285715"/>
    <n v="-17"/>
    <n v="-14"/>
  </r>
  <r>
    <s v="702"/>
    <n v="0"/>
    <n v="1"/>
    <x v="279"/>
    <n v="344"/>
    <n v="43"/>
    <s v="Small Market"/>
    <x v="3"/>
    <n v="0"/>
    <x v="1"/>
    <x v="2"/>
    <x v="9"/>
    <n v="31"/>
    <n v="43"/>
    <s v="Nevada"/>
    <n v="0"/>
    <n v="40"/>
    <n v="30"/>
    <n v="40"/>
    <n v="12"/>
    <s v="Regular"/>
    <n v="0.72093023255813948"/>
    <n v="1"/>
    <n v="3"/>
  </r>
  <r>
    <s v="435"/>
    <n v="31"/>
    <n v="-4"/>
    <x v="280"/>
    <n v="844"/>
    <n v="46"/>
    <s v="Small Market"/>
    <x v="3"/>
    <n v="8"/>
    <x v="1"/>
    <x v="2"/>
    <x v="9"/>
    <n v="26"/>
    <n v="77"/>
    <s v="Utah"/>
    <n v="30"/>
    <n v="40"/>
    <n v="30"/>
    <n v="70"/>
    <n v="20"/>
    <s v="Regular"/>
    <n v="0.33766233766233766"/>
    <n v="-4"/>
    <n v="7"/>
  </r>
  <r>
    <s v="715"/>
    <n v="34"/>
    <n v="0"/>
    <x v="281"/>
    <n v="863"/>
    <n v="51"/>
    <s v="Small Market"/>
    <x v="0"/>
    <n v="9"/>
    <x v="0"/>
    <x v="0"/>
    <x v="0"/>
    <n v="30"/>
    <n v="85"/>
    <s v="Wisconsin"/>
    <n v="30"/>
    <n v="40"/>
    <n v="30"/>
    <n v="70"/>
    <n v="21"/>
    <s v="Decaf"/>
    <n v="0.35294117647058826"/>
    <n v="0"/>
    <n v="15"/>
  </r>
  <r>
    <s v="603"/>
    <n v="39"/>
    <n v="-8"/>
    <x v="282"/>
    <n v="250"/>
    <n v="49"/>
    <s v="Small Market"/>
    <x v="2"/>
    <n v="14"/>
    <x v="0"/>
    <x v="0"/>
    <x v="0"/>
    <n v="2"/>
    <n v="88"/>
    <s v="New Hampshire"/>
    <n v="20"/>
    <n v="40"/>
    <n v="10"/>
    <n v="60"/>
    <n v="47"/>
    <s v="Decaf"/>
    <n v="2.2727272727272728E-2"/>
    <n v="-8"/>
    <n v="28"/>
  </r>
  <r>
    <s v="505"/>
    <n v="31"/>
    <n v="-13"/>
    <x v="283"/>
    <n v="1009"/>
    <n v="38"/>
    <s v="Small Market"/>
    <x v="1"/>
    <n v="9"/>
    <x v="0"/>
    <x v="0"/>
    <x v="0"/>
    <n v="7"/>
    <n v="69"/>
    <s v="New Mexico"/>
    <n v="20"/>
    <n v="40"/>
    <n v="20"/>
    <n v="60"/>
    <n v="31"/>
    <s v="Decaf"/>
    <n v="0.10144927536231885"/>
    <n v="-13"/>
    <n v="9"/>
  </r>
  <r>
    <s v="573"/>
    <n v="38"/>
    <n v="1"/>
    <x v="284"/>
    <n v="256"/>
    <n v="51"/>
    <s v="Small Market"/>
    <x v="0"/>
    <n v="12"/>
    <x v="0"/>
    <x v="1"/>
    <x v="2"/>
    <n v="11"/>
    <n v="89"/>
    <s v="Missouri"/>
    <n v="30"/>
    <n v="40"/>
    <n v="10"/>
    <n v="70"/>
    <n v="40"/>
    <s v="Regular"/>
    <n v="0.12359550561797752"/>
    <n v="1"/>
    <n v="19"/>
  </r>
  <r>
    <s v="636"/>
    <n v="39"/>
    <n v="2"/>
    <x v="285"/>
    <n v="250"/>
    <n v="49"/>
    <s v="Small Market"/>
    <x v="0"/>
    <n v="14"/>
    <x v="0"/>
    <x v="1"/>
    <x v="3"/>
    <n v="2"/>
    <n v="88"/>
    <s v="Missouri"/>
    <n v="30"/>
    <n v="40"/>
    <n v="0"/>
    <n v="70"/>
    <n v="47"/>
    <s v="Regular"/>
    <n v="2.2727272727272728E-2"/>
    <n v="2"/>
    <n v="18"/>
  </r>
  <r>
    <s v="603"/>
    <n v="0"/>
    <n v="2"/>
    <x v="286"/>
    <n v="344"/>
    <n v="43"/>
    <s v="Small Market"/>
    <x v="2"/>
    <n v="0"/>
    <x v="0"/>
    <x v="1"/>
    <x v="3"/>
    <n v="32"/>
    <n v="43"/>
    <s v="New Hampshire"/>
    <n v="0"/>
    <n v="40"/>
    <n v="30"/>
    <n v="40"/>
    <n v="11"/>
    <s v="Regular"/>
    <n v="0.7441860465116279"/>
    <n v="2"/>
    <n v="3"/>
  </r>
  <r>
    <s v="509"/>
    <n v="41"/>
    <n v="10"/>
    <x v="287"/>
    <n v="320"/>
    <n v="66"/>
    <s v="Small Market"/>
    <x v="3"/>
    <n v="12"/>
    <x v="0"/>
    <x v="1"/>
    <x v="2"/>
    <n v="30"/>
    <n v="107"/>
    <s v="Washington"/>
    <n v="30"/>
    <n v="40"/>
    <n v="20"/>
    <n v="70"/>
    <n v="36"/>
    <s v="Regular"/>
    <n v="0.28037383177570091"/>
    <n v="10"/>
    <n v="37"/>
  </r>
  <r>
    <s v="801"/>
    <n v="38"/>
    <n v="2"/>
    <x v="288"/>
    <n v="256"/>
    <n v="51"/>
    <s v="Small Market"/>
    <x v="3"/>
    <n v="12"/>
    <x v="0"/>
    <x v="1"/>
    <x v="11"/>
    <n v="12"/>
    <n v="89"/>
    <s v="Utah"/>
    <n v="20"/>
    <n v="40"/>
    <n v="10"/>
    <n v="60"/>
    <n v="39"/>
    <s v="Regular"/>
    <n v="0.1348314606741573"/>
    <n v="2"/>
    <n v="29"/>
  </r>
  <r>
    <s v="509"/>
    <n v="43"/>
    <n v="8"/>
    <x v="289"/>
    <n v="466"/>
    <n v="63"/>
    <s v="Small Market"/>
    <x v="3"/>
    <n v="13"/>
    <x v="0"/>
    <x v="1"/>
    <x v="11"/>
    <n v="28"/>
    <n v="106"/>
    <s v="Washington"/>
    <n v="30"/>
    <n v="40"/>
    <n v="20"/>
    <n v="70"/>
    <n v="35"/>
    <s v="Regular"/>
    <n v="0.26415094339622641"/>
    <n v="8"/>
    <n v="36"/>
  </r>
  <r>
    <s v="312"/>
    <n v="39"/>
    <n v="0"/>
    <x v="290"/>
    <n v="541"/>
    <n v="51"/>
    <s v="Major Market"/>
    <x v="0"/>
    <n v="12"/>
    <x v="0"/>
    <x v="0"/>
    <x v="0"/>
    <n v="40"/>
    <n v="96"/>
    <s v="Illinois"/>
    <n v="20"/>
    <n v="40"/>
    <n v="40"/>
    <n v="60"/>
    <n v="24"/>
    <s v="Decaf"/>
    <n v="0.41666666666666669"/>
    <n v="0"/>
    <n v="36"/>
  </r>
  <r>
    <s v="530"/>
    <n v="39"/>
    <n v="-1"/>
    <x v="291"/>
    <n v="541"/>
    <n v="51"/>
    <s v="Major Market"/>
    <x v="3"/>
    <n v="12"/>
    <x v="0"/>
    <x v="0"/>
    <x v="1"/>
    <n v="39"/>
    <n v="96"/>
    <s v="California"/>
    <n v="20"/>
    <n v="40"/>
    <n v="40"/>
    <n v="60"/>
    <n v="25"/>
    <s v="Decaf"/>
    <n v="0.40625"/>
    <n v="-1"/>
    <n v="36"/>
  </r>
  <r>
    <s v="505"/>
    <n v="86"/>
    <n v="-49"/>
    <x v="292"/>
    <n v="1698"/>
    <n v="23"/>
    <s v="Small Market"/>
    <x v="1"/>
    <n v="26"/>
    <x v="1"/>
    <x v="3"/>
    <x v="5"/>
    <n v="-39"/>
    <n v="116"/>
    <s v="New Mexico"/>
    <n v="110"/>
    <n v="40"/>
    <n v="10"/>
    <n v="150"/>
    <n v="49"/>
    <s v="Decaf"/>
    <n v="-0.33620689655172414"/>
    <n v="-49"/>
    <n v="-34"/>
  </r>
  <r>
    <s v="318"/>
    <n v="46"/>
    <n v="5"/>
    <x v="293"/>
    <n v="449"/>
    <n v="67"/>
    <s v="Small Market"/>
    <x v="1"/>
    <n v="14"/>
    <x v="1"/>
    <x v="2"/>
    <x v="4"/>
    <n v="45"/>
    <n v="120"/>
    <s v="Louisiana"/>
    <n v="20"/>
    <n v="40"/>
    <n v="40"/>
    <n v="60"/>
    <n v="37"/>
    <s v="Decaf"/>
    <n v="0.375"/>
    <n v="5"/>
    <n v="60"/>
  </r>
  <r>
    <s v="515"/>
    <n v="31"/>
    <n v="-20"/>
    <x v="294"/>
    <n v="1000"/>
    <n v="37"/>
    <s v="Small Market"/>
    <x v="0"/>
    <n v="9"/>
    <x v="1"/>
    <x v="3"/>
    <x v="7"/>
    <n v="10"/>
    <n v="72"/>
    <s v="Iowa"/>
    <n v="20"/>
    <n v="40"/>
    <n v="30"/>
    <n v="60"/>
    <n v="30"/>
    <s v="Regular"/>
    <n v="0.1388888888888889"/>
    <n v="-20"/>
    <n v="12"/>
  </r>
  <r>
    <s v="505"/>
    <n v="45"/>
    <n v="-19"/>
    <x v="295"/>
    <n v="320"/>
    <n v="64"/>
    <s v="Small Market"/>
    <x v="1"/>
    <n v="41"/>
    <x v="1"/>
    <x v="2"/>
    <x v="8"/>
    <n v="-9"/>
    <n v="116"/>
    <s v="New Mexico"/>
    <n v="20"/>
    <n v="40"/>
    <n v="10"/>
    <n v="60"/>
    <n v="70"/>
    <s v="Regular"/>
    <n v="-7.7586206896551727E-2"/>
    <n v="-19"/>
    <n v="56"/>
  </r>
  <r>
    <s v="435"/>
    <n v="32"/>
    <n v="2"/>
    <x v="296"/>
    <n v="833"/>
    <n v="47"/>
    <s v="Small Market"/>
    <x v="3"/>
    <n v="8"/>
    <x v="1"/>
    <x v="2"/>
    <x v="9"/>
    <n v="42"/>
    <n v="84"/>
    <s v="Utah"/>
    <n v="20"/>
    <n v="40"/>
    <n v="40"/>
    <n v="60"/>
    <n v="19"/>
    <s v="Regular"/>
    <n v="0.5"/>
    <n v="2"/>
    <n v="24"/>
  </r>
  <r>
    <s v="505"/>
    <n v="31"/>
    <n v="-21"/>
    <x v="297"/>
    <n v="1000"/>
    <n v="37"/>
    <s v="Small Market"/>
    <x v="1"/>
    <n v="9"/>
    <x v="0"/>
    <x v="0"/>
    <x v="0"/>
    <n v="9"/>
    <n v="72"/>
    <s v="New Mexico"/>
    <n v="10"/>
    <n v="40"/>
    <n v="30"/>
    <n v="50"/>
    <n v="31"/>
    <s v="Decaf"/>
    <n v="0.125"/>
    <n v="-21"/>
    <n v="22"/>
  </r>
  <r>
    <s v="314"/>
    <n v="39"/>
    <n v="-11"/>
    <x v="298"/>
    <n v="244"/>
    <n v="53"/>
    <s v="Small Market"/>
    <x v="0"/>
    <n v="12"/>
    <x v="0"/>
    <x v="1"/>
    <x v="2"/>
    <n v="19"/>
    <n v="98"/>
    <s v="Missouri"/>
    <n v="20"/>
    <n v="40"/>
    <n v="30"/>
    <n v="60"/>
    <n v="40"/>
    <s v="Regular"/>
    <n v="0.19387755102040816"/>
    <n v="-11"/>
    <n v="38"/>
  </r>
  <r>
    <s v="203"/>
    <n v="24"/>
    <n v="-13"/>
    <x v="299"/>
    <n v="806"/>
    <n v="36"/>
    <s v="Small Market"/>
    <x v="2"/>
    <n v="6"/>
    <x v="0"/>
    <x v="1"/>
    <x v="3"/>
    <n v="27"/>
    <n v="64"/>
    <s v="Connecticut"/>
    <n v="20"/>
    <n v="40"/>
    <n v="40"/>
    <n v="60"/>
    <n v="18"/>
    <s v="Regular"/>
    <n v="0.421875"/>
    <n v="-13"/>
    <n v="4"/>
  </r>
  <r>
    <s v="603"/>
    <n v="0"/>
    <n v="7"/>
    <x v="300"/>
    <n v="430"/>
    <n v="43"/>
    <s v="Small Market"/>
    <x v="2"/>
    <n v="0"/>
    <x v="0"/>
    <x v="1"/>
    <x v="3"/>
    <n v="47"/>
    <n v="46"/>
    <s v="New Hampshire"/>
    <n v="0"/>
    <n v="40"/>
    <n v="40"/>
    <n v="40"/>
    <n v="11"/>
    <s v="Regular"/>
    <n v="1.0217391304347827"/>
    <n v="7"/>
    <n v="6"/>
  </r>
  <r>
    <s v="435"/>
    <n v="45"/>
    <n v="-29"/>
    <x v="301"/>
    <n v="320"/>
    <n v="64"/>
    <s v="Small Market"/>
    <x v="3"/>
    <n v="41"/>
    <x v="0"/>
    <x v="1"/>
    <x v="2"/>
    <n v="-9"/>
    <n v="116"/>
    <s v="Utah"/>
    <n v="10"/>
    <n v="40"/>
    <n v="20"/>
    <n v="50"/>
    <n v="70"/>
    <s v="Regular"/>
    <n v="-7.7586206896551727E-2"/>
    <n v="-29"/>
    <n v="66"/>
  </r>
  <r>
    <s v="206"/>
    <n v="60"/>
    <n v="-10"/>
    <x v="302"/>
    <n v="606"/>
    <n v="84"/>
    <s v="Small Market"/>
    <x v="3"/>
    <n v="54"/>
    <x v="0"/>
    <x v="1"/>
    <x v="3"/>
    <n v="0"/>
    <n v="153"/>
    <s v="Washington"/>
    <n v="20"/>
    <n v="40"/>
    <n v="10"/>
    <n v="60"/>
    <n v="84"/>
    <s v="Regular"/>
    <n v="0"/>
    <n v="-10"/>
    <n v="93"/>
  </r>
  <r>
    <s v="440"/>
    <n v="32"/>
    <n v="13"/>
    <x v="303"/>
    <n v="482"/>
    <n v="48"/>
    <s v="Major Market"/>
    <x v="0"/>
    <n v="8"/>
    <x v="0"/>
    <x v="0"/>
    <x v="10"/>
    <n v="43"/>
    <n v="85"/>
    <s v="Ohio"/>
    <n v="30"/>
    <n v="40"/>
    <n v="30"/>
    <n v="70"/>
    <n v="19"/>
    <s v="Decaf"/>
    <n v="0.50588235294117645"/>
    <n v="13"/>
    <n v="15"/>
  </r>
  <r>
    <s v="561"/>
    <n v="54"/>
    <n v="9"/>
    <x v="304"/>
    <n v="391"/>
    <n v="67"/>
    <s v="Major Market"/>
    <x v="2"/>
    <n v="20"/>
    <x v="0"/>
    <x v="0"/>
    <x v="0"/>
    <n v="19"/>
    <n v="129"/>
    <s v="Florida"/>
    <n v="40"/>
    <n v="40"/>
    <n v="10"/>
    <n v="80"/>
    <n v="54"/>
    <s v="Decaf"/>
    <n v="0.14728682170542637"/>
    <n v="9"/>
    <n v="49"/>
  </r>
  <r>
    <s v="920"/>
    <n v="22"/>
    <n v="-14"/>
    <x v="305"/>
    <n v="570"/>
    <n v="30"/>
    <s v="Small Market"/>
    <x v="0"/>
    <n v="7"/>
    <x v="1"/>
    <x v="2"/>
    <x v="4"/>
    <n v="16"/>
    <n v="55"/>
    <s v="Wisconsin"/>
    <n v="20"/>
    <n v="40"/>
    <n v="30"/>
    <n v="60"/>
    <n v="19"/>
    <s v="Decaf"/>
    <n v="0.29090909090909089"/>
    <n v="-14"/>
    <n v="-5"/>
  </r>
  <r>
    <s v="505"/>
    <n v="35"/>
    <n v="-8"/>
    <x v="306"/>
    <n v="248"/>
    <n v="47"/>
    <s v="Small Market"/>
    <x v="1"/>
    <n v="11"/>
    <x v="1"/>
    <x v="2"/>
    <x v="4"/>
    <n v="12"/>
    <n v="87"/>
    <s v="New Mexico"/>
    <n v="20"/>
    <n v="40"/>
    <n v="20"/>
    <n v="60"/>
    <n v="39"/>
    <s v="Decaf"/>
    <n v="0.13793103448275862"/>
    <n v="-8"/>
    <n v="27"/>
  </r>
  <r>
    <s v="702"/>
    <n v="29"/>
    <n v="-13"/>
    <x v="307"/>
    <n v="1003"/>
    <n v="35"/>
    <s v="Small Market"/>
    <x v="3"/>
    <n v="8"/>
    <x v="1"/>
    <x v="3"/>
    <x v="5"/>
    <n v="7"/>
    <n v="68"/>
    <s v="Nevada"/>
    <n v="30"/>
    <n v="40"/>
    <n v="20"/>
    <n v="70"/>
    <n v="30"/>
    <s v="Decaf"/>
    <n v="0.10294117647058823"/>
    <n v="-13"/>
    <n v="-2"/>
  </r>
  <r>
    <s v="515"/>
    <n v="29"/>
    <n v="-13"/>
    <x v="308"/>
    <n v="1003"/>
    <n v="35"/>
    <s v="Small Market"/>
    <x v="0"/>
    <n v="8"/>
    <x v="1"/>
    <x v="3"/>
    <x v="7"/>
    <n v="7"/>
    <n v="68"/>
    <s v="Iowa"/>
    <n v="20"/>
    <n v="40"/>
    <n v="20"/>
    <n v="60"/>
    <n v="30"/>
    <s v="Regular"/>
    <n v="0.10294117647058823"/>
    <n v="-13"/>
    <n v="8"/>
  </r>
  <r>
    <s v="603"/>
    <n v="34"/>
    <n v="-4"/>
    <x v="309"/>
    <n v="211"/>
    <n v="42"/>
    <s v="Small Market"/>
    <x v="2"/>
    <n v="12"/>
    <x v="1"/>
    <x v="2"/>
    <x v="12"/>
    <n v="-4"/>
    <n v="81"/>
    <s v="New Hampshire"/>
    <n v="30"/>
    <n v="40"/>
    <n v="0"/>
    <n v="70"/>
    <n v="45"/>
    <s v="Regular"/>
    <n v="-4.9382716049382713E-2"/>
    <n v="-4"/>
    <n v="11"/>
  </r>
  <r>
    <s v="580"/>
    <n v="32"/>
    <n v="13"/>
    <x v="310"/>
    <n v="482"/>
    <n v="48"/>
    <s v="Small Market"/>
    <x v="1"/>
    <n v="8"/>
    <x v="1"/>
    <x v="2"/>
    <x v="8"/>
    <n v="43"/>
    <n v="85"/>
    <s v="Oklahoma"/>
    <n v="20"/>
    <n v="40"/>
    <n v="30"/>
    <n v="60"/>
    <n v="19"/>
    <s v="Regular"/>
    <n v="0.50588235294117645"/>
    <n v="13"/>
    <n v="25"/>
  </r>
  <r>
    <s v="775"/>
    <n v="0"/>
    <n v="16"/>
    <x v="311"/>
    <n v="387"/>
    <n v="43"/>
    <s v="Small Market"/>
    <x v="3"/>
    <n v="0"/>
    <x v="1"/>
    <x v="2"/>
    <x v="9"/>
    <n v="46"/>
    <n v="46"/>
    <s v="Nevada"/>
    <n v="0"/>
    <n v="40"/>
    <n v="30"/>
    <n v="40"/>
    <n v="12"/>
    <s v="Regular"/>
    <n v="1"/>
    <n v="16"/>
    <n v="6"/>
  </r>
  <r>
    <s v="435"/>
    <n v="33"/>
    <n v="10"/>
    <x v="312"/>
    <n v="836"/>
    <n v="48"/>
    <s v="Small Market"/>
    <x v="3"/>
    <n v="9"/>
    <x v="1"/>
    <x v="2"/>
    <x v="9"/>
    <n v="40"/>
    <n v="86"/>
    <s v="Utah"/>
    <n v="30"/>
    <n v="40"/>
    <n v="30"/>
    <n v="70"/>
    <n v="21"/>
    <s v="Regular"/>
    <n v="0.46511627906976744"/>
    <n v="10"/>
    <n v="16"/>
  </r>
  <r>
    <s v="314"/>
    <n v="82"/>
    <n v="-13"/>
    <x v="313"/>
    <n v="1804"/>
    <n v="40"/>
    <s v="Small Market"/>
    <x v="0"/>
    <n v="25"/>
    <x v="0"/>
    <x v="0"/>
    <x v="0"/>
    <n v="-13"/>
    <n v="130"/>
    <s v="Missouri"/>
    <n v="70"/>
    <n v="40"/>
    <n v="0"/>
    <n v="110"/>
    <n v="49"/>
    <s v="Decaf"/>
    <n v="-0.1"/>
    <n v="-13"/>
    <n v="20"/>
  </r>
  <r>
    <s v="435"/>
    <n v="82"/>
    <n v="-12"/>
    <x v="314"/>
    <n v="1804"/>
    <n v="40"/>
    <s v="Small Market"/>
    <x v="3"/>
    <n v="25"/>
    <x v="0"/>
    <x v="0"/>
    <x v="1"/>
    <n v="-12"/>
    <n v="130"/>
    <s v="Utah"/>
    <n v="70"/>
    <n v="40"/>
    <n v="0"/>
    <n v="110"/>
    <n v="48"/>
    <s v="Decaf"/>
    <n v="-9.2307692307692313E-2"/>
    <n v="-12"/>
    <n v="20"/>
  </r>
  <r>
    <s v="636"/>
    <n v="35"/>
    <n v="3"/>
    <x v="315"/>
    <n v="248"/>
    <n v="47"/>
    <s v="Small Market"/>
    <x v="0"/>
    <n v="11"/>
    <x v="0"/>
    <x v="1"/>
    <x v="2"/>
    <n v="13"/>
    <n v="87"/>
    <s v="Missouri"/>
    <n v="20"/>
    <n v="40"/>
    <n v="10"/>
    <n v="60"/>
    <n v="38"/>
    <s v="Regular"/>
    <n v="0.14942528735632185"/>
    <n v="3"/>
    <n v="27"/>
  </r>
  <r>
    <s v="573"/>
    <n v="34"/>
    <n v="-4"/>
    <x v="316"/>
    <n v="211"/>
    <n v="42"/>
    <s v="Small Market"/>
    <x v="0"/>
    <n v="12"/>
    <x v="0"/>
    <x v="1"/>
    <x v="11"/>
    <n v="-4"/>
    <n v="81"/>
    <s v="Missouri"/>
    <n v="20"/>
    <n v="40"/>
    <n v="0"/>
    <n v="60"/>
    <n v="45"/>
    <s v="Regular"/>
    <n v="-4.9382716049382713E-2"/>
    <n v="-4"/>
    <n v="21"/>
  </r>
  <r>
    <s v="314"/>
    <n v="33"/>
    <n v="-6"/>
    <x v="317"/>
    <n v="243"/>
    <n v="41"/>
    <s v="Small Market"/>
    <x v="0"/>
    <n v="12"/>
    <x v="0"/>
    <x v="1"/>
    <x v="3"/>
    <n v="-6"/>
    <n v="79"/>
    <s v="Missouri"/>
    <n v="20"/>
    <n v="40"/>
    <n v="0"/>
    <n v="60"/>
    <n v="45"/>
    <s v="Regular"/>
    <n v="-7.5949367088607597E-2"/>
    <n v="-6"/>
    <n v="19"/>
  </r>
  <r>
    <s v="603"/>
    <n v="0"/>
    <n v="17"/>
    <x v="318"/>
    <n v="387"/>
    <n v="43"/>
    <s v="Small Market"/>
    <x v="2"/>
    <n v="0"/>
    <x v="0"/>
    <x v="1"/>
    <x v="3"/>
    <n v="47"/>
    <n v="46"/>
    <s v="New Hampshire"/>
    <n v="0"/>
    <n v="40"/>
    <n v="30"/>
    <n v="40"/>
    <n v="11"/>
    <s v="Regular"/>
    <n v="1.0217391304347827"/>
    <n v="17"/>
    <n v="6"/>
  </r>
  <r>
    <s v="435"/>
    <n v="44"/>
    <n v="0"/>
    <x v="319"/>
    <n v="325"/>
    <n v="62"/>
    <s v="Small Market"/>
    <x v="3"/>
    <n v="40"/>
    <x v="0"/>
    <x v="1"/>
    <x v="2"/>
    <n v="-10"/>
    <n v="113"/>
    <s v="Utah"/>
    <n v="30"/>
    <n v="40"/>
    <n v="-10"/>
    <n v="70"/>
    <n v="69"/>
    <s v="Regular"/>
    <n v="-8.8495575221238937E-2"/>
    <n v="0"/>
    <n v="43"/>
  </r>
  <r>
    <s v="614"/>
    <n v="29"/>
    <n v="7"/>
    <x v="320"/>
    <n v="490"/>
    <n v="44"/>
    <s v="Major Market"/>
    <x v="0"/>
    <n v="8"/>
    <x v="0"/>
    <x v="0"/>
    <x v="10"/>
    <n v="37"/>
    <n v="78"/>
    <s v="Ohio"/>
    <n v="20"/>
    <n v="40"/>
    <n v="30"/>
    <n v="60"/>
    <n v="19"/>
    <s v="Decaf"/>
    <n v="0.47435897435897434"/>
    <n v="7"/>
    <n v="18"/>
  </r>
  <r>
    <s v="440"/>
    <n v="33"/>
    <n v="13"/>
    <x v="321"/>
    <n v="870"/>
    <n v="49"/>
    <s v="Major Market"/>
    <x v="0"/>
    <n v="9"/>
    <x v="0"/>
    <x v="0"/>
    <x v="0"/>
    <n v="43"/>
    <n v="87"/>
    <s v="Ohio"/>
    <n v="30"/>
    <n v="40"/>
    <n v="30"/>
    <n v="70"/>
    <n v="20"/>
    <s v="Decaf"/>
    <n v="0.4942528735632184"/>
    <n v="13"/>
    <n v="17"/>
  </r>
  <r>
    <s v="774"/>
    <n v="46"/>
    <n v="0"/>
    <x v="322"/>
    <n v="422"/>
    <n v="57"/>
    <s v="Major Market"/>
    <x v="2"/>
    <n v="17"/>
    <x v="0"/>
    <x v="0"/>
    <x v="0"/>
    <n v="10"/>
    <n v="110"/>
    <s v="Massachusetts"/>
    <n v="30"/>
    <n v="40"/>
    <n v="10"/>
    <n v="70"/>
    <n v="50"/>
    <s v="Decaf"/>
    <n v="9.0909090909090912E-2"/>
    <n v="0"/>
    <n v="40"/>
  </r>
  <r>
    <s v="321"/>
    <n v="30"/>
    <n v="9"/>
    <x v="323"/>
    <n v="882"/>
    <n v="45"/>
    <s v="Major Market"/>
    <x v="2"/>
    <n v="8"/>
    <x v="0"/>
    <x v="1"/>
    <x v="2"/>
    <n v="39"/>
    <n v="80"/>
    <s v="Florida"/>
    <n v="30"/>
    <n v="40"/>
    <n v="30"/>
    <n v="70"/>
    <n v="19"/>
    <s v="Regular"/>
    <n v="0.48749999999999999"/>
    <n v="9"/>
    <n v="10"/>
  </r>
  <r>
    <s v="774"/>
    <n v="29"/>
    <n v="7"/>
    <x v="324"/>
    <n v="490"/>
    <n v="44"/>
    <s v="Major Market"/>
    <x v="2"/>
    <n v="8"/>
    <x v="0"/>
    <x v="1"/>
    <x v="3"/>
    <n v="37"/>
    <n v="78"/>
    <s v="Massachusetts"/>
    <n v="30"/>
    <n v="40"/>
    <n v="30"/>
    <n v="70"/>
    <n v="19"/>
    <s v="Regular"/>
    <n v="0.47435897435897434"/>
    <n v="7"/>
    <n v="8"/>
  </r>
  <r>
    <s v="608"/>
    <n v="24"/>
    <n v="-11"/>
    <x v="325"/>
    <n v="567"/>
    <n v="32"/>
    <s v="Small Market"/>
    <x v="0"/>
    <n v="7"/>
    <x v="1"/>
    <x v="2"/>
    <x v="4"/>
    <n v="19"/>
    <n v="60"/>
    <s v="Wisconsin"/>
    <n v="30"/>
    <n v="40"/>
    <n v="30"/>
    <n v="70"/>
    <n v="19"/>
    <s v="Decaf"/>
    <n v="0.31666666666666665"/>
    <n v="-11"/>
    <n v="-10"/>
  </r>
  <r>
    <s v="775"/>
    <n v="0"/>
    <n v="16"/>
    <x v="326"/>
    <n v="344"/>
    <n v="43"/>
    <s v="Small Market"/>
    <x v="3"/>
    <n v="0"/>
    <x v="1"/>
    <x v="2"/>
    <x v="9"/>
    <n v="46"/>
    <n v="46"/>
    <s v="Nevada"/>
    <n v="0"/>
    <n v="40"/>
    <n v="30"/>
    <n v="40"/>
    <n v="12"/>
    <s v="Regular"/>
    <n v="1"/>
    <n v="16"/>
    <n v="6"/>
  </r>
  <r>
    <s v="435"/>
    <n v="31"/>
    <n v="9"/>
    <x v="327"/>
    <n v="844"/>
    <n v="46"/>
    <s v="Small Market"/>
    <x v="3"/>
    <n v="8"/>
    <x v="1"/>
    <x v="2"/>
    <x v="9"/>
    <n v="39"/>
    <n v="82"/>
    <s v="Utah"/>
    <n v="30"/>
    <n v="40"/>
    <n v="30"/>
    <n v="70"/>
    <n v="20"/>
    <s v="Regular"/>
    <n v="0.47560975609756095"/>
    <n v="9"/>
    <n v="12"/>
  </r>
  <r>
    <s v="715"/>
    <n v="34"/>
    <n v="15"/>
    <x v="328"/>
    <n v="863"/>
    <n v="51"/>
    <s v="Small Market"/>
    <x v="0"/>
    <n v="9"/>
    <x v="0"/>
    <x v="0"/>
    <x v="0"/>
    <n v="45"/>
    <n v="91"/>
    <s v="Wisconsin"/>
    <n v="30"/>
    <n v="40"/>
    <n v="30"/>
    <n v="70"/>
    <n v="21"/>
    <s v="Decaf"/>
    <n v="0.49450549450549453"/>
    <n v="15"/>
    <n v="21"/>
  </r>
  <r>
    <s v="603"/>
    <n v="39"/>
    <n v="-7"/>
    <x v="329"/>
    <n v="250"/>
    <n v="49"/>
    <s v="Small Market"/>
    <x v="2"/>
    <n v="14"/>
    <x v="0"/>
    <x v="0"/>
    <x v="0"/>
    <n v="3"/>
    <n v="94"/>
    <s v="New Hampshire"/>
    <n v="20"/>
    <n v="40"/>
    <n v="10"/>
    <n v="60"/>
    <n v="47"/>
    <s v="Decaf"/>
    <n v="3.1914893617021274E-2"/>
    <n v="-7"/>
    <n v="34"/>
  </r>
  <r>
    <s v="505"/>
    <n v="31"/>
    <n v="-10"/>
    <x v="330"/>
    <n v="1009"/>
    <n v="38"/>
    <s v="Small Market"/>
    <x v="1"/>
    <n v="9"/>
    <x v="0"/>
    <x v="0"/>
    <x v="0"/>
    <n v="10"/>
    <n v="74"/>
    <s v="New Mexico"/>
    <n v="20"/>
    <n v="40"/>
    <n v="20"/>
    <n v="60"/>
    <n v="31"/>
    <s v="Decaf"/>
    <n v="0.13513513513513514"/>
    <n v="-10"/>
    <n v="14"/>
  </r>
  <r>
    <s v="314"/>
    <n v="38"/>
    <n v="6"/>
    <x v="331"/>
    <n v="256"/>
    <n v="51"/>
    <s v="Small Market"/>
    <x v="0"/>
    <n v="12"/>
    <x v="0"/>
    <x v="1"/>
    <x v="2"/>
    <n v="16"/>
    <n v="95"/>
    <s v="Missouri"/>
    <n v="30"/>
    <n v="40"/>
    <n v="10"/>
    <n v="70"/>
    <n v="40"/>
    <s v="Regular"/>
    <n v="0.16842105263157894"/>
    <n v="6"/>
    <n v="25"/>
  </r>
  <r>
    <s v="660"/>
    <n v="39"/>
    <n v="3"/>
    <x v="332"/>
    <n v="250"/>
    <n v="49"/>
    <s v="Small Market"/>
    <x v="0"/>
    <n v="14"/>
    <x v="0"/>
    <x v="1"/>
    <x v="3"/>
    <n v="3"/>
    <n v="94"/>
    <s v="Missouri"/>
    <n v="30"/>
    <n v="40"/>
    <n v="0"/>
    <n v="70"/>
    <n v="47"/>
    <s v="Regular"/>
    <n v="3.1914893617021274E-2"/>
    <n v="3"/>
    <n v="24"/>
  </r>
  <r>
    <s v="603"/>
    <n v="0"/>
    <n v="17"/>
    <x v="333"/>
    <n v="344"/>
    <n v="43"/>
    <s v="Small Market"/>
    <x v="2"/>
    <n v="0"/>
    <x v="0"/>
    <x v="1"/>
    <x v="3"/>
    <n v="47"/>
    <n v="46"/>
    <s v="New Hampshire"/>
    <n v="0"/>
    <n v="40"/>
    <n v="30"/>
    <n v="40"/>
    <n v="11"/>
    <s v="Regular"/>
    <n v="1.0217391304347827"/>
    <n v="17"/>
    <n v="6"/>
  </r>
  <r>
    <s v="253"/>
    <n v="41"/>
    <n v="25"/>
    <x v="334"/>
    <n v="320"/>
    <n v="66"/>
    <s v="Small Market"/>
    <x v="3"/>
    <n v="12"/>
    <x v="0"/>
    <x v="1"/>
    <x v="2"/>
    <n v="45"/>
    <n v="114"/>
    <s v="Washington"/>
    <n v="30"/>
    <n v="40"/>
    <n v="20"/>
    <n v="70"/>
    <n v="36"/>
    <s v="Regular"/>
    <n v="0.39473684210526316"/>
    <n v="25"/>
    <n v="44"/>
  </r>
  <r>
    <s v="435"/>
    <n v="38"/>
    <n v="8"/>
    <x v="335"/>
    <n v="256"/>
    <n v="51"/>
    <s v="Small Market"/>
    <x v="3"/>
    <n v="12"/>
    <x v="0"/>
    <x v="1"/>
    <x v="11"/>
    <n v="18"/>
    <n v="95"/>
    <s v="Utah"/>
    <n v="20"/>
    <n v="40"/>
    <n v="10"/>
    <n v="60"/>
    <n v="39"/>
    <s v="Regular"/>
    <n v="0.18947368421052632"/>
    <n v="8"/>
    <n v="35"/>
  </r>
  <r>
    <s v="253"/>
    <n v="43"/>
    <n v="22"/>
    <x v="336"/>
    <n v="466"/>
    <n v="63"/>
    <s v="Small Market"/>
    <x v="3"/>
    <n v="13"/>
    <x v="0"/>
    <x v="1"/>
    <x v="11"/>
    <n v="42"/>
    <n v="113"/>
    <s v="Washington"/>
    <n v="30"/>
    <n v="40"/>
    <n v="20"/>
    <n v="70"/>
    <n v="35"/>
    <s v="Regular"/>
    <n v="0.37168141592920356"/>
    <n v="22"/>
    <n v="43"/>
  </r>
  <r>
    <s v="216"/>
    <n v="51"/>
    <n v="-35"/>
    <x v="337"/>
    <n v="503"/>
    <n v="71"/>
    <s v="Major Market"/>
    <x v="0"/>
    <n v="46"/>
    <x v="1"/>
    <x v="3"/>
    <x v="5"/>
    <n v="-5"/>
    <n v="122"/>
    <s v="Ohio"/>
    <n v="40"/>
    <n v="70"/>
    <n v="30"/>
    <n v="110"/>
    <n v="76"/>
    <s v="Decaf"/>
    <n v="-4.0983606557377046E-2"/>
    <n v="-35"/>
    <n v="12"/>
  </r>
  <r>
    <s v="440"/>
    <n v="52"/>
    <n v="-34"/>
    <x v="338"/>
    <n v="405"/>
    <n v="71"/>
    <s v="Major Market"/>
    <x v="0"/>
    <n v="17"/>
    <x v="1"/>
    <x v="3"/>
    <x v="6"/>
    <n v="26"/>
    <n v="123"/>
    <s v="Ohio"/>
    <n v="40"/>
    <n v="70"/>
    <n v="60"/>
    <n v="110"/>
    <n v="45"/>
    <s v="Regular"/>
    <n v="0.21138211382113822"/>
    <n v="-34"/>
    <n v="13"/>
  </r>
  <r>
    <s v="937"/>
    <n v="43"/>
    <n v="-32"/>
    <x v="339"/>
    <n v="419"/>
    <n v="64"/>
    <s v="Major Market"/>
    <x v="0"/>
    <n v="13"/>
    <x v="1"/>
    <x v="3"/>
    <x v="7"/>
    <n v="28"/>
    <n v="107"/>
    <s v="Ohio"/>
    <n v="30"/>
    <n v="70"/>
    <n v="60"/>
    <n v="100"/>
    <n v="36"/>
    <s v="Regular"/>
    <n v="0.26168224299065418"/>
    <n v="-32"/>
    <n v="7"/>
  </r>
  <r>
    <s v="774"/>
    <n v="51"/>
    <n v="-41"/>
    <x v="340"/>
    <n v="542"/>
    <n v="65"/>
    <s v="Major Market"/>
    <x v="2"/>
    <n v="46"/>
    <x v="1"/>
    <x v="2"/>
    <x v="8"/>
    <n v="-11"/>
    <n v="116"/>
    <s v="Massachusetts"/>
    <n v="30"/>
    <n v="70"/>
    <n v="30"/>
    <n v="100"/>
    <n v="76"/>
    <s v="Regular"/>
    <n v="-9.4827586206896547E-2"/>
    <n v="-41"/>
    <n v="16"/>
  </r>
  <r>
    <s v="832"/>
    <n v="72"/>
    <n v="5"/>
    <x v="341"/>
    <n v="-868"/>
    <n v="110"/>
    <s v="Major Market"/>
    <x v="1"/>
    <n v="23"/>
    <x v="1"/>
    <x v="2"/>
    <x v="9"/>
    <n v="55"/>
    <n v="182"/>
    <s v="Texas"/>
    <n v="40"/>
    <n v="70"/>
    <n v="50"/>
    <n v="110"/>
    <n v="55"/>
    <s v="Regular"/>
    <n v="0.30219780219780218"/>
    <n v="5"/>
    <n v="72"/>
  </r>
  <r>
    <s v="863"/>
    <n v="48"/>
    <n v="-14"/>
    <x v="342"/>
    <n v="851"/>
    <n v="70"/>
    <s v="Major Market"/>
    <x v="2"/>
    <n v="13"/>
    <x v="0"/>
    <x v="1"/>
    <x v="3"/>
    <n v="46"/>
    <n v="118"/>
    <s v="Florida"/>
    <n v="50"/>
    <n v="70"/>
    <n v="60"/>
    <n v="120"/>
    <n v="24"/>
    <s v="Regular"/>
    <n v="0.38983050847457629"/>
    <n v="-14"/>
    <n v="-2"/>
  </r>
  <r>
    <s v="985"/>
    <n v="60"/>
    <n v="-12"/>
    <x v="343"/>
    <n v="329"/>
    <n v="99"/>
    <s v="Small Market"/>
    <x v="1"/>
    <n v="18"/>
    <x v="1"/>
    <x v="2"/>
    <x v="8"/>
    <n v="58"/>
    <n v="159"/>
    <s v="Louisiana"/>
    <n v="30"/>
    <n v="70"/>
    <n v="70"/>
    <n v="100"/>
    <n v="41"/>
    <s v="Regular"/>
    <n v="0.36477987421383645"/>
    <n v="-12"/>
    <n v="59"/>
  </r>
  <r>
    <s v="971"/>
    <n v="52"/>
    <n v="-33"/>
    <x v="344"/>
    <n v="405"/>
    <n v="71"/>
    <s v="Small Market"/>
    <x v="3"/>
    <n v="17"/>
    <x v="1"/>
    <x v="2"/>
    <x v="8"/>
    <n v="27"/>
    <n v="123"/>
    <s v="Oregon"/>
    <n v="30"/>
    <n v="70"/>
    <n v="60"/>
    <n v="100"/>
    <n v="44"/>
    <s v="Regular"/>
    <n v="0.21951219512195122"/>
    <n v="-33"/>
    <n v="23"/>
  </r>
  <r>
    <s v="253"/>
    <n v="56"/>
    <n v="-34"/>
    <x v="345"/>
    <n v="385"/>
    <n v="70"/>
    <s v="Small Market"/>
    <x v="3"/>
    <n v="21"/>
    <x v="1"/>
    <x v="2"/>
    <x v="8"/>
    <n v="16"/>
    <n v="126"/>
    <s v="Washington"/>
    <n v="40"/>
    <n v="70"/>
    <n v="50"/>
    <n v="110"/>
    <n v="54"/>
    <s v="Regular"/>
    <n v="0.12698412698412698"/>
    <n v="-34"/>
    <n v="16"/>
  </r>
  <r>
    <s v="405"/>
    <n v="56"/>
    <n v="-34"/>
    <x v="346"/>
    <n v="385"/>
    <n v="70"/>
    <s v="Small Market"/>
    <x v="1"/>
    <n v="21"/>
    <x v="0"/>
    <x v="0"/>
    <x v="10"/>
    <n v="16"/>
    <n v="126"/>
    <s v="Oklahoma"/>
    <n v="40"/>
    <n v="70"/>
    <n v="50"/>
    <n v="110"/>
    <n v="54"/>
    <s v="Decaf"/>
    <n v="0.12698412698412698"/>
    <n v="-34"/>
    <n v="16"/>
  </r>
  <r>
    <s v="435"/>
    <n v="45"/>
    <n v="-37"/>
    <x v="347"/>
    <n v="447"/>
    <n v="69"/>
    <s v="Small Market"/>
    <x v="3"/>
    <n v="14"/>
    <x v="0"/>
    <x v="0"/>
    <x v="0"/>
    <n v="23"/>
    <n v="114"/>
    <s v="Utah"/>
    <n v="20"/>
    <n v="70"/>
    <n v="60"/>
    <n v="90"/>
    <n v="46"/>
    <s v="Decaf"/>
    <n v="0.20175438596491227"/>
    <n v="-37"/>
    <n v="24"/>
  </r>
  <r>
    <s v="567"/>
    <n v="52"/>
    <n v="-13"/>
    <x v="348"/>
    <n v="509"/>
    <n v="73"/>
    <s v="Major Market"/>
    <x v="0"/>
    <n v="47"/>
    <x v="1"/>
    <x v="3"/>
    <x v="5"/>
    <n v="-3"/>
    <n v="125"/>
    <s v="Ohio"/>
    <n v="50"/>
    <n v="70"/>
    <n v="10"/>
    <n v="120"/>
    <n v="76"/>
    <s v="Decaf"/>
    <n v="-2.4E-2"/>
    <n v="-13"/>
    <n v="5"/>
  </r>
  <r>
    <s v="614"/>
    <n v="46"/>
    <n v="-8"/>
    <x v="349"/>
    <n v="424"/>
    <n v="68"/>
    <s v="Major Market"/>
    <x v="0"/>
    <n v="14"/>
    <x v="1"/>
    <x v="3"/>
    <x v="7"/>
    <n v="32"/>
    <n v="114"/>
    <s v="Ohio"/>
    <n v="40"/>
    <n v="70"/>
    <n v="40"/>
    <n v="110"/>
    <n v="36"/>
    <s v="Regular"/>
    <n v="0.2807017543859649"/>
    <n v="-8"/>
    <n v="4"/>
  </r>
  <r>
    <s v="303"/>
    <n v="52"/>
    <n v="-14"/>
    <x v="350"/>
    <n v="509"/>
    <n v="73"/>
    <s v="Major Market"/>
    <x v="0"/>
    <n v="47"/>
    <x v="0"/>
    <x v="0"/>
    <x v="0"/>
    <n v="-4"/>
    <n v="125"/>
    <s v="Colorado"/>
    <n v="40"/>
    <n v="70"/>
    <n v="10"/>
    <n v="110"/>
    <n v="77"/>
    <s v="Decaf"/>
    <n v="-3.2000000000000001E-2"/>
    <n v="-14"/>
    <n v="15"/>
  </r>
  <r>
    <s v="720"/>
    <n v="59"/>
    <n v="-8"/>
    <x v="351"/>
    <n v="411"/>
    <n v="79"/>
    <s v="Major Market"/>
    <x v="0"/>
    <n v="19"/>
    <x v="0"/>
    <x v="0"/>
    <x v="1"/>
    <n v="32"/>
    <n v="138"/>
    <s v="Colorado"/>
    <n v="50"/>
    <n v="70"/>
    <n v="40"/>
    <n v="120"/>
    <n v="47"/>
    <s v="Decaf"/>
    <n v="0.2318840579710145"/>
    <n v="-8"/>
    <n v="18"/>
  </r>
  <r>
    <s v="713"/>
    <n v="59"/>
    <n v="-8"/>
    <x v="352"/>
    <n v="411"/>
    <n v="79"/>
    <s v="Major Market"/>
    <x v="1"/>
    <n v="19"/>
    <x v="0"/>
    <x v="0"/>
    <x v="10"/>
    <n v="32"/>
    <n v="138"/>
    <s v="Texas"/>
    <n v="50"/>
    <n v="70"/>
    <n v="40"/>
    <n v="120"/>
    <n v="47"/>
    <s v="Decaf"/>
    <n v="0.2318840579710145"/>
    <n v="-8"/>
    <n v="18"/>
  </r>
  <r>
    <s v="718"/>
    <n v="50"/>
    <n v="-3"/>
    <x v="353"/>
    <n v="589"/>
    <n v="73"/>
    <s v="Major Market"/>
    <x v="2"/>
    <n v="14"/>
    <x v="0"/>
    <x v="1"/>
    <x v="3"/>
    <n v="47"/>
    <n v="123"/>
    <s v="New York"/>
    <n v="50"/>
    <n v="70"/>
    <n v="50"/>
    <n v="120"/>
    <n v="26"/>
    <s v="Regular"/>
    <n v="0.38211382113821141"/>
    <n v="-3"/>
    <n v="3"/>
  </r>
  <r>
    <s v="860"/>
    <n v="53"/>
    <n v="-14"/>
    <x v="354"/>
    <n v="380"/>
    <n v="71"/>
    <s v="Small Market"/>
    <x v="2"/>
    <n v="17"/>
    <x v="1"/>
    <x v="2"/>
    <x v="4"/>
    <n v="26"/>
    <n v="124"/>
    <s v="Connecticut"/>
    <n v="50"/>
    <n v="70"/>
    <n v="40"/>
    <n v="120"/>
    <n v="45"/>
    <s v="Decaf"/>
    <n v="0.20967741935483872"/>
    <n v="-14"/>
    <n v="4"/>
  </r>
  <r>
    <s v="435"/>
    <n v="54"/>
    <n v="2"/>
    <x v="355"/>
    <n v="885"/>
    <n v="78"/>
    <s v="Small Market"/>
    <x v="3"/>
    <n v="15"/>
    <x v="1"/>
    <x v="2"/>
    <x v="4"/>
    <n v="52"/>
    <n v="132"/>
    <s v="Utah"/>
    <n v="50"/>
    <n v="70"/>
    <n v="50"/>
    <n v="120"/>
    <n v="26"/>
    <s v="Decaf"/>
    <n v="0.39393939393939392"/>
    <n v="2"/>
    <n v="12"/>
  </r>
  <r>
    <s v="505"/>
    <n v="43"/>
    <n v="-10"/>
    <x v="356"/>
    <n v="452"/>
    <n v="66"/>
    <s v="Small Market"/>
    <x v="1"/>
    <n v="14"/>
    <x v="1"/>
    <x v="3"/>
    <x v="7"/>
    <n v="20"/>
    <n v="109"/>
    <s v="New Mexico"/>
    <n v="50"/>
    <n v="70"/>
    <n v="30"/>
    <n v="120"/>
    <n v="46"/>
    <s v="Regular"/>
    <n v="0.1834862385321101"/>
    <n v="-10"/>
    <n v="-11"/>
  </r>
  <r>
    <s v="504"/>
    <n v="61"/>
    <n v="-9"/>
    <x v="357"/>
    <n v="-906"/>
    <n v="86"/>
    <s v="Small Market"/>
    <x v="1"/>
    <n v="55"/>
    <x v="1"/>
    <x v="2"/>
    <x v="9"/>
    <n v="1"/>
    <n v="147"/>
    <s v="Louisiana"/>
    <n v="40"/>
    <n v="70"/>
    <n v="10"/>
    <n v="110"/>
    <n v="85"/>
    <s v="Regular"/>
    <n v="6.8027210884353739E-3"/>
    <n v="-9"/>
    <n v="37"/>
  </r>
  <r>
    <s v="541"/>
    <n v="55"/>
    <n v="-14"/>
    <x v="358"/>
    <n v="410"/>
    <n v="69"/>
    <s v="Small Market"/>
    <x v="3"/>
    <n v="20"/>
    <x v="1"/>
    <x v="2"/>
    <x v="9"/>
    <n v="16"/>
    <n v="124"/>
    <s v="Oregon"/>
    <n v="50"/>
    <n v="70"/>
    <n v="30"/>
    <n v="120"/>
    <n v="53"/>
    <s v="Regular"/>
    <n v="0.12903225806451613"/>
    <n v="-14"/>
    <n v="4"/>
  </r>
  <r>
    <s v="860"/>
    <n v="82"/>
    <n v="8"/>
    <x v="359"/>
    <n v="601"/>
    <n v="102"/>
    <s v="Small Market"/>
    <x v="2"/>
    <n v="31"/>
    <x v="0"/>
    <x v="0"/>
    <x v="0"/>
    <n v="38"/>
    <n v="184"/>
    <s v="Connecticut"/>
    <n v="60"/>
    <n v="70"/>
    <n v="30"/>
    <n v="130"/>
    <n v="64"/>
    <s v="Decaf"/>
    <n v="0.20652173913043478"/>
    <n v="8"/>
    <n v="54"/>
  </r>
  <r>
    <s v="715"/>
    <n v="61"/>
    <n v="2"/>
    <x v="360"/>
    <n v="613"/>
    <n v="86"/>
    <s v="Small Market"/>
    <x v="0"/>
    <n v="55"/>
    <x v="0"/>
    <x v="1"/>
    <x v="11"/>
    <n v="2"/>
    <n v="147"/>
    <s v="Wisconsin"/>
    <n v="50"/>
    <n v="70"/>
    <n v="0"/>
    <n v="120"/>
    <n v="84"/>
    <s v="Regular"/>
    <n v="1.3605442176870748E-2"/>
    <n v="2"/>
    <n v="27"/>
  </r>
  <r>
    <s v="425"/>
    <n v="53"/>
    <n v="-1"/>
    <x v="361"/>
    <n v="321"/>
    <n v="88"/>
    <s v="Small Market"/>
    <x v="3"/>
    <n v="16"/>
    <x v="0"/>
    <x v="1"/>
    <x v="2"/>
    <n v="49"/>
    <n v="141"/>
    <s v="Washington"/>
    <n v="30"/>
    <n v="70"/>
    <n v="50"/>
    <n v="100"/>
    <n v="39"/>
    <s v="Regular"/>
    <n v="0.3475177304964539"/>
    <n v="-1"/>
    <n v="41"/>
  </r>
  <r>
    <s v="419"/>
    <n v="47"/>
    <n v="-16"/>
    <x v="362"/>
    <n v="521"/>
    <n v="65"/>
    <s v="Major Market"/>
    <x v="0"/>
    <n v="42"/>
    <x v="1"/>
    <x v="3"/>
    <x v="5"/>
    <n v="-6"/>
    <n v="112"/>
    <s v="Ohio"/>
    <n v="40"/>
    <n v="70"/>
    <n v="10"/>
    <n v="110"/>
    <n v="71"/>
    <s v="Decaf"/>
    <n v="-5.3571428571428568E-2"/>
    <n v="-16"/>
    <n v="2"/>
  </r>
  <r>
    <s v="513"/>
    <n v="54"/>
    <n v="-11"/>
    <x v="363"/>
    <n v="424"/>
    <n v="73"/>
    <s v="Major Market"/>
    <x v="0"/>
    <n v="17"/>
    <x v="1"/>
    <x v="3"/>
    <x v="6"/>
    <n v="29"/>
    <n v="127"/>
    <s v="Ohio"/>
    <n v="50"/>
    <n v="70"/>
    <n v="40"/>
    <n v="120"/>
    <n v="44"/>
    <s v="Regular"/>
    <n v="0.2283464566929134"/>
    <n v="-11"/>
    <n v="7"/>
  </r>
  <r>
    <s v="512"/>
    <n v="67"/>
    <n v="17"/>
    <x v="364"/>
    <n v="-1239"/>
    <n v="101"/>
    <s v="Major Market"/>
    <x v="1"/>
    <n v="22"/>
    <x v="1"/>
    <x v="2"/>
    <x v="9"/>
    <n v="47"/>
    <n v="168"/>
    <s v="Texas"/>
    <n v="50"/>
    <n v="70"/>
    <n v="30"/>
    <n v="120"/>
    <n v="54"/>
    <s v="Regular"/>
    <n v="0.27976190476190477"/>
    <n v="17"/>
    <n v="48"/>
  </r>
  <r>
    <s v="309"/>
    <n v="54"/>
    <n v="3"/>
    <x v="365"/>
    <n v="601"/>
    <n v="79"/>
    <s v="Major Market"/>
    <x v="0"/>
    <n v="15"/>
    <x v="0"/>
    <x v="1"/>
    <x v="2"/>
    <n v="53"/>
    <n v="133"/>
    <s v="Illinois"/>
    <n v="40"/>
    <n v="70"/>
    <n v="50"/>
    <n v="110"/>
    <n v="26"/>
    <s v="Regular"/>
    <n v="0.39849624060150374"/>
    <n v="3"/>
    <n v="23"/>
  </r>
  <r>
    <s v="816"/>
    <n v="63"/>
    <n v="-4"/>
    <x v="366"/>
    <n v="1075"/>
    <n v="76"/>
    <s v="Small Market"/>
    <x v="0"/>
    <n v="19"/>
    <x v="1"/>
    <x v="3"/>
    <x v="5"/>
    <n v="36"/>
    <n v="139"/>
    <s v="Missouri"/>
    <n v="60"/>
    <n v="70"/>
    <n v="40"/>
    <n v="130"/>
    <n v="40"/>
    <s v="Decaf"/>
    <n v="0.25899280575539568"/>
    <n v="-4"/>
    <n v="9"/>
  </r>
  <r>
    <s v="959"/>
    <n v="49"/>
    <n v="-19"/>
    <x v="367"/>
    <n v="392"/>
    <n v="65"/>
    <s v="Small Market"/>
    <x v="2"/>
    <n v="16"/>
    <x v="1"/>
    <x v="2"/>
    <x v="4"/>
    <n v="21"/>
    <n v="114"/>
    <s v="Connecticut"/>
    <n v="40"/>
    <n v="70"/>
    <n v="40"/>
    <n v="110"/>
    <n v="44"/>
    <s v="Decaf"/>
    <n v="0.18421052631578946"/>
    <n v="-19"/>
    <n v="4"/>
  </r>
  <r>
    <s v="435"/>
    <n v="50"/>
    <n v="-3"/>
    <x v="368"/>
    <n v="898"/>
    <n v="73"/>
    <s v="Small Market"/>
    <x v="3"/>
    <n v="14"/>
    <x v="1"/>
    <x v="2"/>
    <x v="4"/>
    <n v="47"/>
    <n v="123"/>
    <s v="Utah"/>
    <n v="40"/>
    <n v="70"/>
    <n v="50"/>
    <n v="110"/>
    <n v="26"/>
    <s v="Decaf"/>
    <n v="0.38211382113821141"/>
    <n v="-3"/>
    <n v="13"/>
  </r>
  <r>
    <s v="603"/>
    <n v="52"/>
    <n v="-13"/>
    <x v="369"/>
    <n v="327"/>
    <n v="75"/>
    <s v="Small Market"/>
    <x v="2"/>
    <n v="16"/>
    <x v="1"/>
    <x v="3"/>
    <x v="6"/>
    <n v="37"/>
    <n v="127"/>
    <s v="New Hampshire"/>
    <n v="40"/>
    <n v="70"/>
    <n v="50"/>
    <n v="110"/>
    <n v="38"/>
    <s v="Regular"/>
    <n v="0.29133858267716534"/>
    <n v="-13"/>
    <n v="17"/>
  </r>
  <r>
    <s v="475"/>
    <n v="55"/>
    <n v="-12"/>
    <x v="370"/>
    <n v="627"/>
    <n v="76"/>
    <s v="Small Market"/>
    <x v="2"/>
    <n v="49"/>
    <x v="1"/>
    <x v="2"/>
    <x v="8"/>
    <n v="-2"/>
    <n v="131"/>
    <s v="Connecticut"/>
    <n v="50"/>
    <n v="70"/>
    <n v="10"/>
    <n v="120"/>
    <n v="78"/>
    <s v="Regular"/>
    <n v="-1.5267175572519083E-2"/>
    <n v="-12"/>
    <n v="11"/>
  </r>
  <r>
    <s v="603"/>
    <n v="49"/>
    <n v="-14"/>
    <x v="371"/>
    <n v="335"/>
    <n v="69"/>
    <s v="Small Market"/>
    <x v="2"/>
    <n v="44"/>
    <x v="1"/>
    <x v="2"/>
    <x v="8"/>
    <n v="-4"/>
    <n v="118"/>
    <s v="New Hampshire"/>
    <n v="40"/>
    <n v="70"/>
    <n v="10"/>
    <n v="110"/>
    <n v="73"/>
    <s v="Regular"/>
    <n v="-3.3898305084745763E-2"/>
    <n v="-14"/>
    <n v="8"/>
  </r>
  <r>
    <s v="503"/>
    <n v="41"/>
    <n v="-19"/>
    <x v="372"/>
    <n v="482"/>
    <n v="57"/>
    <s v="Small Market"/>
    <x v="3"/>
    <n v="13"/>
    <x v="1"/>
    <x v="3"/>
    <x v="7"/>
    <n v="1"/>
    <n v="98"/>
    <s v="Oregon"/>
    <n v="40"/>
    <n v="70"/>
    <n v="20"/>
    <n v="110"/>
    <n v="56"/>
    <s v="Regular"/>
    <n v="1.020408163265306E-2"/>
    <n v="-19"/>
    <n v="-12"/>
  </r>
  <r>
    <s v="503"/>
    <n v="54"/>
    <n v="-12"/>
    <x v="373"/>
    <n v="424"/>
    <n v="73"/>
    <s v="Small Market"/>
    <x v="3"/>
    <n v="17"/>
    <x v="1"/>
    <x v="2"/>
    <x v="8"/>
    <n v="28"/>
    <n v="127"/>
    <s v="Oregon"/>
    <n v="50"/>
    <n v="70"/>
    <n v="40"/>
    <n v="120"/>
    <n v="45"/>
    <s v="Regular"/>
    <n v="0.22047244094488189"/>
    <n v="-12"/>
    <n v="7"/>
  </r>
  <r>
    <s v="405"/>
    <n v="65"/>
    <n v="2"/>
    <x v="374"/>
    <n v="403"/>
    <n v="80"/>
    <s v="Small Market"/>
    <x v="1"/>
    <n v="24"/>
    <x v="0"/>
    <x v="0"/>
    <x v="10"/>
    <n v="22"/>
    <n v="145"/>
    <s v="Oklahoma"/>
    <n v="60"/>
    <n v="70"/>
    <n v="20"/>
    <n v="130"/>
    <n v="58"/>
    <s v="Decaf"/>
    <n v="0.15172413793103448"/>
    <n v="2"/>
    <n v="15"/>
  </r>
  <r>
    <s v="435"/>
    <n v="52"/>
    <n v="-4"/>
    <x v="375"/>
    <n v="327"/>
    <n v="75"/>
    <s v="Small Market"/>
    <x v="3"/>
    <n v="16"/>
    <x v="0"/>
    <x v="0"/>
    <x v="10"/>
    <n v="36"/>
    <n v="127"/>
    <s v="Utah"/>
    <n v="40"/>
    <n v="70"/>
    <n v="40"/>
    <n v="110"/>
    <n v="39"/>
    <s v="Decaf"/>
    <n v="0.28346456692913385"/>
    <n v="-4"/>
    <n v="17"/>
  </r>
  <r>
    <s v="801"/>
    <n v="48"/>
    <n v="-12"/>
    <x v="376"/>
    <n v="462"/>
    <n v="74"/>
    <s v="Small Market"/>
    <x v="3"/>
    <n v="15"/>
    <x v="0"/>
    <x v="0"/>
    <x v="0"/>
    <n v="28"/>
    <n v="122"/>
    <s v="Utah"/>
    <n v="40"/>
    <n v="70"/>
    <n v="40"/>
    <n v="110"/>
    <n v="46"/>
    <s v="Decaf"/>
    <n v="0.22950819672131148"/>
    <n v="-12"/>
    <n v="12"/>
  </r>
  <r>
    <s v="425"/>
    <n v="49"/>
    <n v="-4"/>
    <x v="377"/>
    <n v="845"/>
    <n v="71"/>
    <s v="Small Market"/>
    <x v="3"/>
    <n v="13"/>
    <x v="0"/>
    <x v="0"/>
    <x v="0"/>
    <n v="46"/>
    <n v="120"/>
    <s v="Washington"/>
    <n v="40"/>
    <n v="70"/>
    <n v="50"/>
    <n v="110"/>
    <n v="25"/>
    <s v="Decaf"/>
    <n v="0.38333333333333336"/>
    <n v="-4"/>
    <n v="10"/>
  </r>
  <r>
    <s v="860"/>
    <n v="50"/>
    <n v="-3"/>
    <x v="378"/>
    <n v="898"/>
    <n v="73"/>
    <s v="Small Market"/>
    <x v="2"/>
    <n v="14"/>
    <x v="0"/>
    <x v="1"/>
    <x v="2"/>
    <n v="47"/>
    <n v="123"/>
    <s v="Connecticut"/>
    <n v="50"/>
    <n v="70"/>
    <n v="50"/>
    <n v="120"/>
    <n v="26"/>
    <s v="Regular"/>
    <n v="0.38211382113821141"/>
    <n v="-3"/>
    <n v="3"/>
  </r>
  <r>
    <s v="234"/>
    <n v="51"/>
    <n v="-37"/>
    <x v="379"/>
    <n v="503"/>
    <n v="71"/>
    <s v="Major Market"/>
    <x v="0"/>
    <n v="46"/>
    <x v="1"/>
    <x v="3"/>
    <x v="5"/>
    <n v="-7"/>
    <n v="130"/>
    <s v="Ohio"/>
    <n v="40"/>
    <n v="70"/>
    <n v="30"/>
    <n v="110"/>
    <n v="76"/>
    <s v="Decaf"/>
    <n v="-5.3846153846153849E-2"/>
    <n v="-37"/>
    <n v="20"/>
  </r>
  <r>
    <s v="614"/>
    <n v="52"/>
    <n v="-21"/>
    <x v="380"/>
    <n v="405"/>
    <n v="71"/>
    <s v="Major Market"/>
    <x v="0"/>
    <n v="17"/>
    <x v="1"/>
    <x v="3"/>
    <x v="6"/>
    <n v="39"/>
    <n v="131"/>
    <s v="Ohio"/>
    <n v="40"/>
    <n v="70"/>
    <n v="60"/>
    <n v="110"/>
    <n v="45"/>
    <s v="Regular"/>
    <n v="0.29770992366412213"/>
    <n v="-21"/>
    <n v="21"/>
  </r>
  <r>
    <s v="937"/>
    <n v="43"/>
    <n v="-18"/>
    <x v="381"/>
    <n v="419"/>
    <n v="64"/>
    <s v="Major Market"/>
    <x v="0"/>
    <n v="13"/>
    <x v="1"/>
    <x v="3"/>
    <x v="7"/>
    <n v="42"/>
    <n v="114"/>
    <s v="Ohio"/>
    <n v="30"/>
    <n v="70"/>
    <n v="60"/>
    <n v="100"/>
    <n v="36"/>
    <s v="Regular"/>
    <n v="0.36842105263157893"/>
    <n v="-18"/>
    <n v="14"/>
  </r>
  <r>
    <s v="774"/>
    <n v="51"/>
    <n v="-46"/>
    <x v="382"/>
    <n v="542"/>
    <n v="65"/>
    <s v="Major Market"/>
    <x v="2"/>
    <n v="46"/>
    <x v="1"/>
    <x v="2"/>
    <x v="8"/>
    <n v="-16"/>
    <n v="124"/>
    <s v="Massachusetts"/>
    <n v="30"/>
    <n v="70"/>
    <n v="30"/>
    <n v="100"/>
    <n v="76"/>
    <s v="Regular"/>
    <n v="-0.12903225806451613"/>
    <n v="-46"/>
    <n v="24"/>
  </r>
  <r>
    <s v="682"/>
    <n v="72"/>
    <n v="32"/>
    <x v="383"/>
    <n v="-868"/>
    <n v="110"/>
    <s v="Major Market"/>
    <x v="1"/>
    <n v="23"/>
    <x v="1"/>
    <x v="2"/>
    <x v="9"/>
    <n v="82"/>
    <n v="194"/>
    <s v="Texas"/>
    <n v="40"/>
    <n v="70"/>
    <n v="50"/>
    <n v="110"/>
    <n v="55"/>
    <s v="Regular"/>
    <n v="0.42268041237113402"/>
    <n v="32"/>
    <n v="84"/>
  </r>
  <r>
    <s v="772"/>
    <n v="48"/>
    <n v="8"/>
    <x v="384"/>
    <n v="851"/>
    <n v="70"/>
    <s v="Major Market"/>
    <x v="2"/>
    <n v="13"/>
    <x v="0"/>
    <x v="1"/>
    <x v="3"/>
    <n v="68"/>
    <n v="126"/>
    <s v="Florida"/>
    <n v="50"/>
    <n v="70"/>
    <n v="60"/>
    <n v="120"/>
    <n v="24"/>
    <s v="Regular"/>
    <n v="0.53968253968253965"/>
    <n v="8"/>
    <n v="6"/>
  </r>
  <r>
    <s v="225"/>
    <n v="60"/>
    <n v="16"/>
    <x v="385"/>
    <n v="329"/>
    <n v="99"/>
    <s v="Small Market"/>
    <x v="1"/>
    <n v="18"/>
    <x v="1"/>
    <x v="2"/>
    <x v="8"/>
    <n v="86"/>
    <n v="169"/>
    <s v="Louisiana"/>
    <n v="30"/>
    <n v="70"/>
    <n v="70"/>
    <n v="100"/>
    <n v="41"/>
    <s v="Regular"/>
    <n v="0.50887573964497046"/>
    <n v="16"/>
    <n v="69"/>
  </r>
  <r>
    <s v="541"/>
    <n v="52"/>
    <n v="-20"/>
    <x v="386"/>
    <n v="405"/>
    <n v="71"/>
    <s v="Small Market"/>
    <x v="3"/>
    <n v="17"/>
    <x v="1"/>
    <x v="2"/>
    <x v="8"/>
    <n v="40"/>
    <n v="131"/>
    <s v="Oregon"/>
    <n v="30"/>
    <n v="70"/>
    <n v="60"/>
    <n v="100"/>
    <n v="44"/>
    <s v="Regular"/>
    <n v="0.30534351145038169"/>
    <n v="-20"/>
    <n v="31"/>
  </r>
  <r>
    <s v="425"/>
    <n v="56"/>
    <n v="-26"/>
    <x v="387"/>
    <n v="385"/>
    <n v="70"/>
    <s v="Small Market"/>
    <x v="3"/>
    <n v="21"/>
    <x v="1"/>
    <x v="2"/>
    <x v="8"/>
    <n v="24"/>
    <n v="134"/>
    <s v="Washington"/>
    <n v="40"/>
    <n v="70"/>
    <n v="50"/>
    <n v="110"/>
    <n v="54"/>
    <s v="Regular"/>
    <n v="0.17910447761194029"/>
    <n v="-26"/>
    <n v="24"/>
  </r>
  <r>
    <s v="580"/>
    <n v="56"/>
    <n v="-26"/>
    <x v="388"/>
    <n v="385"/>
    <n v="70"/>
    <s v="Small Market"/>
    <x v="1"/>
    <n v="21"/>
    <x v="0"/>
    <x v="0"/>
    <x v="10"/>
    <n v="24"/>
    <n v="134"/>
    <s v="Oklahoma"/>
    <n v="40"/>
    <n v="70"/>
    <n v="50"/>
    <n v="110"/>
    <n v="54"/>
    <s v="Decaf"/>
    <n v="0.17910447761194029"/>
    <n v="-26"/>
    <n v="24"/>
  </r>
  <r>
    <s v="435"/>
    <n v="45"/>
    <n v="-26"/>
    <x v="389"/>
    <n v="447"/>
    <n v="69"/>
    <s v="Small Market"/>
    <x v="3"/>
    <n v="14"/>
    <x v="0"/>
    <x v="0"/>
    <x v="0"/>
    <n v="34"/>
    <n v="121"/>
    <s v="Utah"/>
    <n v="20"/>
    <n v="70"/>
    <n v="60"/>
    <n v="90"/>
    <n v="46"/>
    <s v="Decaf"/>
    <n v="0.28099173553719009"/>
    <n v="-26"/>
    <n v="31"/>
  </r>
  <r>
    <s v="614"/>
    <n v="52"/>
    <n v="-14"/>
    <x v="390"/>
    <n v="509"/>
    <n v="73"/>
    <s v="Major Market"/>
    <x v="0"/>
    <n v="47"/>
    <x v="1"/>
    <x v="3"/>
    <x v="5"/>
    <n v="-4"/>
    <n v="133"/>
    <s v="Ohio"/>
    <n v="50"/>
    <n v="70"/>
    <n v="10"/>
    <n v="120"/>
    <n v="76"/>
    <s v="Decaf"/>
    <n v="-3.007518796992481E-2"/>
    <n v="-14"/>
    <n v="13"/>
  </r>
  <r>
    <s v="234"/>
    <n v="46"/>
    <n v="7"/>
    <x v="391"/>
    <n v="424"/>
    <n v="68"/>
    <s v="Major Market"/>
    <x v="0"/>
    <n v="14"/>
    <x v="1"/>
    <x v="3"/>
    <x v="7"/>
    <n v="47"/>
    <n v="121"/>
    <s v="Ohio"/>
    <n v="40"/>
    <n v="70"/>
    <n v="40"/>
    <n v="110"/>
    <n v="36"/>
    <s v="Regular"/>
    <n v="0.38842975206611569"/>
    <n v="7"/>
    <n v="11"/>
  </r>
  <r>
    <s v="970"/>
    <n v="52"/>
    <n v="-16"/>
    <x v="392"/>
    <n v="509"/>
    <n v="73"/>
    <s v="Major Market"/>
    <x v="0"/>
    <n v="47"/>
    <x v="0"/>
    <x v="0"/>
    <x v="0"/>
    <n v="-6"/>
    <n v="133"/>
    <s v="Colorado"/>
    <n v="40"/>
    <n v="70"/>
    <n v="10"/>
    <n v="110"/>
    <n v="77"/>
    <s v="Decaf"/>
    <n v="-4.5112781954887216E-2"/>
    <n v="-16"/>
    <n v="23"/>
  </r>
  <r>
    <s v="970"/>
    <n v="59"/>
    <n v="7"/>
    <x v="393"/>
    <n v="411"/>
    <n v="79"/>
    <s v="Major Market"/>
    <x v="0"/>
    <n v="19"/>
    <x v="0"/>
    <x v="0"/>
    <x v="1"/>
    <n v="47"/>
    <n v="147"/>
    <s v="Colorado"/>
    <n v="50"/>
    <n v="70"/>
    <n v="40"/>
    <n v="120"/>
    <n v="47"/>
    <s v="Decaf"/>
    <n v="0.31972789115646261"/>
    <n v="7"/>
    <n v="27"/>
  </r>
  <r>
    <s v="936"/>
    <n v="59"/>
    <n v="7"/>
    <x v="394"/>
    <n v="411"/>
    <n v="79"/>
    <s v="Major Market"/>
    <x v="1"/>
    <n v="19"/>
    <x v="0"/>
    <x v="0"/>
    <x v="10"/>
    <n v="47"/>
    <n v="147"/>
    <s v="Texas"/>
    <n v="50"/>
    <n v="70"/>
    <n v="40"/>
    <n v="120"/>
    <n v="47"/>
    <s v="Decaf"/>
    <n v="0.31972789115646261"/>
    <n v="7"/>
    <n v="27"/>
  </r>
  <r>
    <s v="914"/>
    <n v="50"/>
    <n v="20"/>
    <x v="395"/>
    <n v="589"/>
    <n v="73"/>
    <s v="Major Market"/>
    <x v="2"/>
    <n v="14"/>
    <x v="0"/>
    <x v="1"/>
    <x v="3"/>
    <n v="70"/>
    <n v="131"/>
    <s v="New York"/>
    <n v="50"/>
    <n v="70"/>
    <n v="50"/>
    <n v="120"/>
    <n v="26"/>
    <s v="Regular"/>
    <n v="0.53435114503816794"/>
    <n v="20"/>
    <n v="11"/>
  </r>
  <r>
    <s v="203"/>
    <n v="53"/>
    <n v="-1"/>
    <x v="396"/>
    <n v="380"/>
    <n v="71"/>
    <s v="Small Market"/>
    <x v="2"/>
    <n v="17"/>
    <x v="1"/>
    <x v="2"/>
    <x v="4"/>
    <n v="39"/>
    <n v="132"/>
    <s v="Connecticut"/>
    <n v="50"/>
    <n v="70"/>
    <n v="40"/>
    <n v="120"/>
    <n v="45"/>
    <s v="Decaf"/>
    <n v="0.29545454545454547"/>
    <n v="-1"/>
    <n v="12"/>
  </r>
  <r>
    <s v="435"/>
    <n v="54"/>
    <n v="27"/>
    <x v="397"/>
    <n v="885"/>
    <n v="78"/>
    <s v="Small Market"/>
    <x v="3"/>
    <n v="15"/>
    <x v="1"/>
    <x v="2"/>
    <x v="4"/>
    <n v="77"/>
    <n v="141"/>
    <s v="Utah"/>
    <n v="50"/>
    <n v="70"/>
    <n v="50"/>
    <n v="120"/>
    <n v="26"/>
    <s v="Decaf"/>
    <n v="0.54609929078014185"/>
    <n v="27"/>
    <n v="21"/>
  </r>
  <r>
    <s v="505"/>
    <n v="43"/>
    <n v="0"/>
    <x v="398"/>
    <n v="452"/>
    <n v="66"/>
    <s v="Small Market"/>
    <x v="1"/>
    <n v="14"/>
    <x v="1"/>
    <x v="3"/>
    <x v="7"/>
    <n v="30"/>
    <n v="116"/>
    <s v="New Mexico"/>
    <n v="50"/>
    <n v="70"/>
    <n v="30"/>
    <n v="120"/>
    <n v="46"/>
    <s v="Regular"/>
    <n v="0.25862068965517243"/>
    <n v="0"/>
    <n v="-4"/>
  </r>
  <r>
    <s v="318"/>
    <n v="61"/>
    <n v="-9"/>
    <x v="399"/>
    <n v="-906"/>
    <n v="86"/>
    <s v="Small Market"/>
    <x v="1"/>
    <n v="55"/>
    <x v="1"/>
    <x v="2"/>
    <x v="9"/>
    <n v="1"/>
    <n v="157"/>
    <s v="Louisiana"/>
    <n v="40"/>
    <n v="70"/>
    <n v="10"/>
    <n v="110"/>
    <n v="85"/>
    <s v="Regular"/>
    <n v="6.369426751592357E-3"/>
    <n v="-9"/>
    <n v="47"/>
  </r>
  <r>
    <s v="503"/>
    <n v="55"/>
    <n v="-6"/>
    <x v="400"/>
    <n v="410"/>
    <n v="69"/>
    <s v="Small Market"/>
    <x v="3"/>
    <n v="20"/>
    <x v="1"/>
    <x v="2"/>
    <x v="9"/>
    <n v="24"/>
    <n v="132"/>
    <s v="Oregon"/>
    <n v="50"/>
    <n v="70"/>
    <n v="30"/>
    <n v="120"/>
    <n v="53"/>
    <s v="Regular"/>
    <n v="0.18181818181818182"/>
    <n v="-6"/>
    <n v="12"/>
  </r>
  <r>
    <s v="475"/>
    <n v="82"/>
    <n v="26"/>
    <x v="401"/>
    <n v="601"/>
    <n v="102"/>
    <s v="Small Market"/>
    <x v="2"/>
    <n v="31"/>
    <x v="0"/>
    <x v="0"/>
    <x v="0"/>
    <n v="56"/>
    <n v="196"/>
    <s v="Connecticut"/>
    <n v="60"/>
    <n v="70"/>
    <n v="30"/>
    <n v="130"/>
    <n v="64"/>
    <s v="Decaf"/>
    <n v="0.2857142857142857"/>
    <n v="26"/>
    <n v="66"/>
  </r>
  <r>
    <s v="715"/>
    <n v="61"/>
    <n v="3"/>
    <x v="402"/>
    <n v="613"/>
    <n v="86"/>
    <s v="Small Market"/>
    <x v="0"/>
    <n v="55"/>
    <x v="0"/>
    <x v="1"/>
    <x v="11"/>
    <n v="3"/>
    <n v="157"/>
    <s v="Wisconsin"/>
    <n v="50"/>
    <n v="70"/>
    <n v="0"/>
    <n v="120"/>
    <n v="84"/>
    <s v="Regular"/>
    <n v="1.9108280254777069E-2"/>
    <n v="3"/>
    <n v="37"/>
  </r>
  <r>
    <s v="509"/>
    <n v="53"/>
    <n v="23"/>
    <x v="403"/>
    <n v="321"/>
    <n v="88"/>
    <s v="Small Market"/>
    <x v="3"/>
    <n v="16"/>
    <x v="0"/>
    <x v="1"/>
    <x v="2"/>
    <n v="73"/>
    <n v="150"/>
    <s v="Washington"/>
    <n v="30"/>
    <n v="70"/>
    <n v="50"/>
    <n v="100"/>
    <n v="39"/>
    <s v="Regular"/>
    <n v="0.48666666666666669"/>
    <n v="23"/>
    <n v="50"/>
  </r>
  <r>
    <s v="513"/>
    <n v="47"/>
    <n v="-19"/>
    <x v="404"/>
    <n v="521"/>
    <n v="65"/>
    <s v="Major Market"/>
    <x v="0"/>
    <n v="42"/>
    <x v="1"/>
    <x v="3"/>
    <x v="5"/>
    <n v="-9"/>
    <n v="119"/>
    <s v="Ohio"/>
    <n v="40"/>
    <n v="70"/>
    <n v="10"/>
    <n v="110"/>
    <n v="71"/>
    <s v="Decaf"/>
    <n v="-7.5630252100840331E-2"/>
    <n v="-19"/>
    <n v="9"/>
  </r>
  <r>
    <s v="234"/>
    <n v="54"/>
    <n v="3"/>
    <x v="405"/>
    <n v="424"/>
    <n v="73"/>
    <s v="Major Market"/>
    <x v="0"/>
    <n v="17"/>
    <x v="1"/>
    <x v="3"/>
    <x v="6"/>
    <n v="43"/>
    <n v="135"/>
    <s v="Ohio"/>
    <n v="50"/>
    <n v="70"/>
    <n v="40"/>
    <n v="120"/>
    <n v="44"/>
    <s v="Regular"/>
    <n v="0.31851851851851853"/>
    <n v="3"/>
    <n v="15"/>
  </r>
  <r>
    <s v="361"/>
    <n v="67"/>
    <n v="40"/>
    <x v="406"/>
    <n v="-1239"/>
    <n v="101"/>
    <s v="Major Market"/>
    <x v="1"/>
    <n v="22"/>
    <x v="1"/>
    <x v="2"/>
    <x v="9"/>
    <n v="70"/>
    <n v="179"/>
    <s v="Texas"/>
    <n v="50"/>
    <n v="70"/>
    <n v="30"/>
    <n v="120"/>
    <n v="54"/>
    <s v="Regular"/>
    <n v="0.39106145251396646"/>
    <n v="40"/>
    <n v="59"/>
  </r>
  <r>
    <s v="630"/>
    <n v="54"/>
    <n v="29"/>
    <x v="407"/>
    <n v="601"/>
    <n v="79"/>
    <s v="Major Market"/>
    <x v="0"/>
    <n v="15"/>
    <x v="0"/>
    <x v="1"/>
    <x v="2"/>
    <n v="79"/>
    <n v="142"/>
    <s v="Illinois"/>
    <n v="40"/>
    <n v="70"/>
    <n v="50"/>
    <n v="110"/>
    <n v="26"/>
    <s v="Regular"/>
    <n v="0.55633802816901412"/>
    <n v="29"/>
    <n v="32"/>
  </r>
  <r>
    <s v="636"/>
    <n v="63"/>
    <n v="13"/>
    <x v="408"/>
    <n v="1075"/>
    <n v="76"/>
    <s v="Small Market"/>
    <x v="0"/>
    <n v="19"/>
    <x v="1"/>
    <x v="3"/>
    <x v="5"/>
    <n v="53"/>
    <n v="148"/>
    <s v="Missouri"/>
    <n v="60"/>
    <n v="70"/>
    <n v="40"/>
    <n v="130"/>
    <n v="40"/>
    <s v="Decaf"/>
    <n v="0.35810810810810811"/>
    <n v="13"/>
    <n v="18"/>
  </r>
  <r>
    <s v="203"/>
    <n v="49"/>
    <n v="-9"/>
    <x v="409"/>
    <n v="392"/>
    <n v="65"/>
    <s v="Small Market"/>
    <x v="2"/>
    <n v="16"/>
    <x v="1"/>
    <x v="2"/>
    <x v="4"/>
    <n v="31"/>
    <n v="121"/>
    <s v="Connecticut"/>
    <n v="40"/>
    <n v="70"/>
    <n v="40"/>
    <n v="110"/>
    <n v="44"/>
    <s v="Decaf"/>
    <n v="0.256198347107438"/>
    <n v="-9"/>
    <n v="11"/>
  </r>
  <r>
    <s v="435"/>
    <n v="50"/>
    <n v="20"/>
    <x v="410"/>
    <n v="898"/>
    <n v="73"/>
    <s v="Small Market"/>
    <x v="3"/>
    <n v="14"/>
    <x v="1"/>
    <x v="2"/>
    <x v="4"/>
    <n v="70"/>
    <n v="131"/>
    <s v="Utah"/>
    <n v="40"/>
    <n v="70"/>
    <n v="50"/>
    <n v="110"/>
    <n v="26"/>
    <s v="Decaf"/>
    <n v="0.53435114503816794"/>
    <n v="20"/>
    <n v="21"/>
  </r>
  <r>
    <s v="603"/>
    <n v="52"/>
    <n v="5"/>
    <x v="411"/>
    <n v="327"/>
    <n v="75"/>
    <s v="Small Market"/>
    <x v="2"/>
    <n v="16"/>
    <x v="1"/>
    <x v="3"/>
    <x v="6"/>
    <n v="55"/>
    <n v="135"/>
    <s v="New Hampshire"/>
    <n v="40"/>
    <n v="70"/>
    <n v="50"/>
    <n v="110"/>
    <n v="38"/>
    <s v="Regular"/>
    <n v="0.40740740740740738"/>
    <n v="5"/>
    <n v="25"/>
  </r>
  <r>
    <s v="203"/>
    <n v="55"/>
    <n v="-13"/>
    <x v="412"/>
    <n v="627"/>
    <n v="76"/>
    <s v="Small Market"/>
    <x v="2"/>
    <n v="49"/>
    <x v="1"/>
    <x v="2"/>
    <x v="8"/>
    <n v="-3"/>
    <n v="140"/>
    <s v="Connecticut"/>
    <n v="50"/>
    <n v="70"/>
    <n v="10"/>
    <n v="120"/>
    <n v="78"/>
    <s v="Regular"/>
    <n v="-2.1428571428571429E-2"/>
    <n v="-13"/>
    <n v="20"/>
  </r>
  <r>
    <s v="603"/>
    <n v="49"/>
    <n v="-16"/>
    <x v="413"/>
    <n v="335"/>
    <n v="69"/>
    <s v="Small Market"/>
    <x v="2"/>
    <n v="44"/>
    <x v="1"/>
    <x v="2"/>
    <x v="8"/>
    <n v="-6"/>
    <n v="126"/>
    <s v="New Hampshire"/>
    <n v="40"/>
    <n v="70"/>
    <n v="10"/>
    <n v="110"/>
    <n v="73"/>
    <s v="Regular"/>
    <n v="-4.7619047619047616E-2"/>
    <n v="-16"/>
    <n v="16"/>
  </r>
  <r>
    <s v="541"/>
    <n v="41"/>
    <n v="-19"/>
    <x v="414"/>
    <n v="482"/>
    <n v="57"/>
    <s v="Small Market"/>
    <x v="3"/>
    <n v="13"/>
    <x v="1"/>
    <x v="3"/>
    <x v="7"/>
    <n v="1"/>
    <n v="104"/>
    <s v="Oregon"/>
    <n v="40"/>
    <n v="70"/>
    <n v="20"/>
    <n v="110"/>
    <n v="56"/>
    <s v="Regular"/>
    <n v="9.6153846153846159E-3"/>
    <n v="-19"/>
    <n v="-6"/>
  </r>
  <r>
    <s v="503"/>
    <n v="54"/>
    <n v="2"/>
    <x v="415"/>
    <n v="424"/>
    <n v="73"/>
    <s v="Small Market"/>
    <x v="3"/>
    <n v="17"/>
    <x v="1"/>
    <x v="2"/>
    <x v="8"/>
    <n v="42"/>
    <n v="135"/>
    <s v="Oregon"/>
    <n v="50"/>
    <n v="70"/>
    <n v="40"/>
    <n v="120"/>
    <n v="45"/>
    <s v="Regular"/>
    <n v="0.31111111111111112"/>
    <n v="2"/>
    <n v="15"/>
  </r>
  <r>
    <s v="405"/>
    <n v="65"/>
    <n v="13"/>
    <x v="416"/>
    <n v="403"/>
    <n v="80"/>
    <s v="Small Market"/>
    <x v="1"/>
    <n v="24"/>
    <x v="0"/>
    <x v="0"/>
    <x v="10"/>
    <n v="33"/>
    <n v="155"/>
    <s v="Oklahoma"/>
    <n v="60"/>
    <n v="70"/>
    <n v="20"/>
    <n v="130"/>
    <n v="58"/>
    <s v="Decaf"/>
    <n v="0.2129032258064516"/>
    <n v="13"/>
    <n v="25"/>
  </r>
  <r>
    <s v="435"/>
    <n v="52"/>
    <n v="13"/>
    <x v="417"/>
    <n v="327"/>
    <n v="75"/>
    <s v="Small Market"/>
    <x v="3"/>
    <n v="16"/>
    <x v="0"/>
    <x v="0"/>
    <x v="10"/>
    <n v="53"/>
    <n v="135"/>
    <s v="Utah"/>
    <n v="40"/>
    <n v="70"/>
    <n v="40"/>
    <n v="110"/>
    <n v="39"/>
    <s v="Decaf"/>
    <n v="0.3925925925925926"/>
    <n v="13"/>
    <n v="25"/>
  </r>
  <r>
    <s v="435"/>
    <n v="48"/>
    <n v="2"/>
    <x v="418"/>
    <n v="462"/>
    <n v="74"/>
    <s v="Small Market"/>
    <x v="3"/>
    <n v="15"/>
    <x v="0"/>
    <x v="0"/>
    <x v="0"/>
    <n v="42"/>
    <n v="130"/>
    <s v="Utah"/>
    <n v="40"/>
    <n v="70"/>
    <n v="40"/>
    <n v="110"/>
    <n v="46"/>
    <s v="Decaf"/>
    <n v="0.32307692307692309"/>
    <n v="2"/>
    <n v="20"/>
  </r>
  <r>
    <s v="425"/>
    <n v="49"/>
    <n v="18"/>
    <x v="419"/>
    <n v="845"/>
    <n v="71"/>
    <s v="Small Market"/>
    <x v="3"/>
    <n v="13"/>
    <x v="0"/>
    <x v="0"/>
    <x v="0"/>
    <n v="68"/>
    <n v="128"/>
    <s v="Washington"/>
    <n v="40"/>
    <n v="70"/>
    <n v="50"/>
    <n v="110"/>
    <n v="25"/>
    <s v="Decaf"/>
    <n v="0.53125"/>
    <n v="18"/>
    <n v="18"/>
  </r>
  <r>
    <s v="959"/>
    <n v="50"/>
    <n v="20"/>
    <x v="420"/>
    <n v="898"/>
    <n v="73"/>
    <s v="Small Market"/>
    <x v="2"/>
    <n v="14"/>
    <x v="0"/>
    <x v="1"/>
    <x v="2"/>
    <n v="70"/>
    <n v="131"/>
    <s v="Connecticut"/>
    <n v="50"/>
    <n v="70"/>
    <n v="50"/>
    <n v="120"/>
    <n v="26"/>
    <s v="Regular"/>
    <n v="0.53435114503816794"/>
    <n v="20"/>
    <n v="11"/>
  </r>
  <r>
    <s v="937"/>
    <n v="21"/>
    <n v="-14"/>
    <x v="421"/>
    <n v="480"/>
    <n v="32"/>
    <s v="Major Market"/>
    <x v="0"/>
    <n v="5"/>
    <x v="0"/>
    <x v="0"/>
    <x v="10"/>
    <n v="16"/>
    <n v="53"/>
    <s v="Ohio"/>
    <n v="0"/>
    <n v="30"/>
    <n v="30"/>
    <n v="30"/>
    <n v="16"/>
    <s v="Decaf"/>
    <n v="0.30188679245283018"/>
    <n v="-14"/>
    <n v="23"/>
  </r>
  <r>
    <s v="513"/>
    <n v="27"/>
    <n v="-10"/>
    <x v="422"/>
    <n v="859"/>
    <n v="39"/>
    <s v="Major Market"/>
    <x v="0"/>
    <n v="7"/>
    <x v="0"/>
    <x v="0"/>
    <x v="0"/>
    <n v="20"/>
    <n v="66"/>
    <s v="Ohio"/>
    <n v="10"/>
    <n v="30"/>
    <n v="30"/>
    <n v="40"/>
    <n v="19"/>
    <s v="Decaf"/>
    <n v="0.30303030303030304"/>
    <n v="-10"/>
    <n v="26"/>
  </r>
  <r>
    <s v="850"/>
    <n v="56"/>
    <n v="-4"/>
    <x v="423"/>
    <n v="385"/>
    <n v="70"/>
    <s v="Major Market"/>
    <x v="2"/>
    <n v="21"/>
    <x v="0"/>
    <x v="0"/>
    <x v="0"/>
    <n v="16"/>
    <n v="126"/>
    <s v="Florida"/>
    <n v="30"/>
    <n v="30"/>
    <n v="20"/>
    <n v="60"/>
    <n v="54"/>
    <s v="Decaf"/>
    <n v="0.12698412698412698"/>
    <n v="-4"/>
    <n v="66"/>
  </r>
  <r>
    <s v="781"/>
    <n v="54"/>
    <n v="-7"/>
    <x v="424"/>
    <n v="404"/>
    <n v="66"/>
    <s v="Major Market"/>
    <x v="2"/>
    <n v="20"/>
    <x v="0"/>
    <x v="0"/>
    <x v="0"/>
    <n v="13"/>
    <n v="120"/>
    <s v="Massachusetts"/>
    <n v="30"/>
    <n v="30"/>
    <n v="20"/>
    <n v="60"/>
    <n v="53"/>
    <s v="Decaf"/>
    <n v="0.10833333333333334"/>
    <n v="-7"/>
    <n v="60"/>
  </r>
  <r>
    <s v="413"/>
    <n v="21"/>
    <n v="-15"/>
    <x v="425"/>
    <n v="480"/>
    <n v="32"/>
    <s v="Major Market"/>
    <x v="2"/>
    <n v="5"/>
    <x v="0"/>
    <x v="1"/>
    <x v="3"/>
    <n v="15"/>
    <n v="53"/>
    <s v="Massachusetts"/>
    <n v="20"/>
    <n v="30"/>
    <n v="30"/>
    <n v="50"/>
    <n v="17"/>
    <s v="Regular"/>
    <n v="0.28301886792452829"/>
    <n v="-15"/>
    <n v="3"/>
  </r>
  <r>
    <s v="505"/>
    <n v="39"/>
    <n v="-6"/>
    <x v="426"/>
    <n v="244"/>
    <n v="53"/>
    <s v="Small Market"/>
    <x v="1"/>
    <n v="12"/>
    <x v="1"/>
    <x v="2"/>
    <x v="4"/>
    <n v="14"/>
    <n v="92"/>
    <s v="New Mexico"/>
    <n v="20"/>
    <n v="30"/>
    <n v="20"/>
    <n v="50"/>
    <n v="39"/>
    <s v="Decaf"/>
    <n v="0.15217391304347827"/>
    <n v="-6"/>
    <n v="42"/>
  </r>
  <r>
    <s v="702"/>
    <n v="23"/>
    <n v="-13"/>
    <x v="427"/>
    <n v="800"/>
    <n v="35"/>
    <s v="Small Market"/>
    <x v="3"/>
    <n v="6"/>
    <x v="1"/>
    <x v="2"/>
    <x v="4"/>
    <n v="17"/>
    <n v="58"/>
    <s v="Nevada"/>
    <n v="10"/>
    <n v="30"/>
    <n v="30"/>
    <n v="40"/>
    <n v="18"/>
    <s v="Decaf"/>
    <n v="0.29310344827586204"/>
    <n v="-13"/>
    <n v="18"/>
  </r>
  <r>
    <s v="563"/>
    <n v="21"/>
    <n v="-15"/>
    <x v="428"/>
    <n v="846"/>
    <n v="31"/>
    <s v="Small Market"/>
    <x v="0"/>
    <n v="5"/>
    <x v="1"/>
    <x v="3"/>
    <x v="6"/>
    <n v="15"/>
    <n v="52"/>
    <s v="Iowa"/>
    <n v="10"/>
    <n v="30"/>
    <n v="30"/>
    <n v="40"/>
    <n v="16"/>
    <s v="Regular"/>
    <n v="0.28846153846153844"/>
    <n v="-15"/>
    <n v="12"/>
  </r>
  <r>
    <s v="603"/>
    <n v="25"/>
    <n v="-22"/>
    <x v="429"/>
    <n v="209"/>
    <n v="31"/>
    <s v="Small Market"/>
    <x v="2"/>
    <n v="9"/>
    <x v="1"/>
    <x v="2"/>
    <x v="12"/>
    <n v="-12"/>
    <n v="56"/>
    <s v="New Hampshire"/>
    <n v="10"/>
    <n v="30"/>
    <n v="10"/>
    <n v="40"/>
    <n v="43"/>
    <s v="Regular"/>
    <n v="-0.21428571428571427"/>
    <n v="-22"/>
    <n v="16"/>
  </r>
  <r>
    <s v="405"/>
    <n v="21"/>
    <n v="-15"/>
    <x v="430"/>
    <n v="480"/>
    <n v="32"/>
    <s v="Small Market"/>
    <x v="1"/>
    <n v="5"/>
    <x v="1"/>
    <x v="2"/>
    <x v="8"/>
    <n v="15"/>
    <n v="53"/>
    <s v="Oklahoma"/>
    <n v="0"/>
    <n v="30"/>
    <n v="30"/>
    <n v="30"/>
    <n v="17"/>
    <s v="Regular"/>
    <n v="0.28301886792452829"/>
    <n v="-15"/>
    <n v="23"/>
  </r>
  <r>
    <s v="702"/>
    <n v="0"/>
    <n v="2"/>
    <x v="431"/>
    <n v="430"/>
    <n v="43"/>
    <s v="Small Market"/>
    <x v="3"/>
    <n v="0"/>
    <x v="1"/>
    <x v="2"/>
    <x v="9"/>
    <n v="32"/>
    <n v="43"/>
    <s v="Nevada"/>
    <n v="0"/>
    <n v="30"/>
    <n v="30"/>
    <n v="30"/>
    <n v="11"/>
    <s v="Regular"/>
    <n v="0.7441860465116279"/>
    <n v="2"/>
    <n v="13"/>
  </r>
  <r>
    <s v="603"/>
    <n v="34"/>
    <n v="-23"/>
    <x v="432"/>
    <n v="240"/>
    <n v="43"/>
    <s v="Small Market"/>
    <x v="2"/>
    <n v="12"/>
    <x v="0"/>
    <x v="0"/>
    <x v="0"/>
    <n v="-3"/>
    <n v="77"/>
    <s v="New Hampshire"/>
    <n v="10"/>
    <n v="30"/>
    <n v="20"/>
    <n v="40"/>
    <n v="46"/>
    <s v="Decaf"/>
    <n v="-3.896103896103896E-2"/>
    <n v="-23"/>
    <n v="37"/>
  </r>
  <r>
    <s v="505"/>
    <n v="21"/>
    <n v="-16"/>
    <x v="433"/>
    <n v="846"/>
    <n v="31"/>
    <s v="Small Market"/>
    <x v="1"/>
    <n v="5"/>
    <x v="0"/>
    <x v="0"/>
    <x v="10"/>
    <n v="14"/>
    <n v="52"/>
    <s v="New Mexico"/>
    <n v="10"/>
    <n v="30"/>
    <n v="30"/>
    <n v="40"/>
    <n v="17"/>
    <s v="Decaf"/>
    <n v="0.26923076923076922"/>
    <n v="-16"/>
    <n v="12"/>
  </r>
  <r>
    <s v="971"/>
    <n v="25"/>
    <n v="-13"/>
    <x v="434"/>
    <n v="820"/>
    <n v="36"/>
    <s v="Small Market"/>
    <x v="3"/>
    <n v="7"/>
    <x v="0"/>
    <x v="0"/>
    <x v="10"/>
    <n v="17"/>
    <n v="61"/>
    <s v="Oregon"/>
    <n v="10"/>
    <n v="30"/>
    <n v="30"/>
    <n v="40"/>
    <n v="19"/>
    <s v="Decaf"/>
    <n v="0.27868852459016391"/>
    <n v="-13"/>
    <n v="21"/>
  </r>
  <r>
    <s v="314"/>
    <n v="34"/>
    <n v="-13"/>
    <x v="435"/>
    <n v="240"/>
    <n v="43"/>
    <s v="Small Market"/>
    <x v="0"/>
    <n v="12"/>
    <x v="0"/>
    <x v="1"/>
    <x v="3"/>
    <n v="-3"/>
    <n v="77"/>
    <s v="Missouri"/>
    <n v="10"/>
    <n v="30"/>
    <n v="10"/>
    <n v="40"/>
    <n v="46"/>
    <s v="Regular"/>
    <n v="-3.896103896103896E-2"/>
    <n v="-13"/>
    <n v="37"/>
  </r>
  <r>
    <s v="603"/>
    <n v="21"/>
    <n v="-16"/>
    <x v="436"/>
    <n v="846"/>
    <n v="31"/>
    <s v="Small Market"/>
    <x v="2"/>
    <n v="5"/>
    <x v="0"/>
    <x v="1"/>
    <x v="2"/>
    <n v="14"/>
    <n v="52"/>
    <s v="New Hampshire"/>
    <n v="20"/>
    <n v="30"/>
    <n v="30"/>
    <n v="50"/>
    <n v="17"/>
    <s v="Regular"/>
    <n v="0.26923076923076922"/>
    <n v="-16"/>
    <n v="2"/>
  </r>
  <r>
    <s v="435"/>
    <n v="39"/>
    <n v="-6"/>
    <x v="437"/>
    <n v="244"/>
    <n v="53"/>
    <s v="Small Market"/>
    <x v="3"/>
    <n v="12"/>
    <x v="0"/>
    <x v="1"/>
    <x v="11"/>
    <n v="14"/>
    <n v="92"/>
    <s v="Utah"/>
    <n v="10"/>
    <n v="30"/>
    <n v="20"/>
    <n v="40"/>
    <n v="39"/>
    <s v="Regular"/>
    <n v="0.15217391304347827"/>
    <n v="-6"/>
    <n v="52"/>
  </r>
  <r>
    <s v="360"/>
    <n v="46"/>
    <n v="1"/>
    <x v="438"/>
    <n v="449"/>
    <n v="67"/>
    <s v="Small Market"/>
    <x v="3"/>
    <n v="14"/>
    <x v="0"/>
    <x v="1"/>
    <x v="11"/>
    <n v="31"/>
    <n v="113"/>
    <s v="Washington"/>
    <n v="20"/>
    <n v="30"/>
    <n v="30"/>
    <n v="50"/>
    <n v="36"/>
    <s v="Regular"/>
    <n v="0.27433628318584069"/>
    <n v="1"/>
    <n v="63"/>
  </r>
  <r>
    <s v="775"/>
    <n v="22"/>
    <n v="-3"/>
    <x v="439"/>
    <n v="802"/>
    <n v="34"/>
    <s v="Small Market"/>
    <x v="3"/>
    <n v="6"/>
    <x v="1"/>
    <x v="2"/>
    <x v="4"/>
    <n v="17"/>
    <n v="56"/>
    <s v="Nevada"/>
    <n v="20"/>
    <n v="30"/>
    <n v="20"/>
    <n v="50"/>
    <n v="17"/>
    <s v="Decaf"/>
    <n v="0.30357142857142855"/>
    <n v="-3"/>
    <n v="6"/>
  </r>
  <r>
    <s v="505"/>
    <n v="34"/>
    <n v="6"/>
    <x v="440"/>
    <n v="-522"/>
    <n v="42"/>
    <s v="Small Market"/>
    <x v="1"/>
    <n v="12"/>
    <x v="1"/>
    <x v="2"/>
    <x v="9"/>
    <n v="-4"/>
    <n v="76"/>
    <s v="New Mexico"/>
    <n v="20"/>
    <n v="30"/>
    <n v="-10"/>
    <n v="50"/>
    <n v="46"/>
    <s v="Regular"/>
    <n v="-5.2631578947368418E-2"/>
    <n v="6"/>
    <n v="26"/>
  </r>
  <r>
    <s v="253"/>
    <n v="22"/>
    <n v="-9"/>
    <x v="441"/>
    <n v="570"/>
    <n v="30"/>
    <s v="Small Market"/>
    <x v="3"/>
    <n v="7"/>
    <x v="1"/>
    <x v="2"/>
    <x v="9"/>
    <n v="11"/>
    <n v="52"/>
    <s v="Washington"/>
    <n v="20"/>
    <n v="30"/>
    <n v="20"/>
    <n v="50"/>
    <n v="19"/>
    <s v="Regular"/>
    <n v="0.21153846153846154"/>
    <n v="-9"/>
    <n v="2"/>
  </r>
  <r>
    <s v="603"/>
    <n v="33"/>
    <n v="-4"/>
    <x v="442"/>
    <n v="243"/>
    <n v="41"/>
    <s v="Small Market"/>
    <x v="2"/>
    <n v="12"/>
    <x v="0"/>
    <x v="0"/>
    <x v="0"/>
    <n v="-4"/>
    <n v="74"/>
    <s v="New Hampshire"/>
    <n v="20"/>
    <n v="30"/>
    <n v="0"/>
    <n v="50"/>
    <n v="45"/>
    <s v="Decaf"/>
    <n v="-5.4054054054054057E-2"/>
    <n v="-4"/>
    <n v="24"/>
  </r>
  <r>
    <s v="505"/>
    <n v="29"/>
    <n v="-5"/>
    <x v="443"/>
    <n v="1003"/>
    <n v="35"/>
    <s v="Small Market"/>
    <x v="1"/>
    <n v="8"/>
    <x v="0"/>
    <x v="0"/>
    <x v="0"/>
    <n v="5"/>
    <n v="64"/>
    <s v="New Mexico"/>
    <n v="20"/>
    <n v="30"/>
    <n v="10"/>
    <n v="50"/>
    <n v="30"/>
    <s v="Decaf"/>
    <n v="7.8125E-2"/>
    <n v="-5"/>
    <n v="14"/>
  </r>
  <r>
    <s v="503"/>
    <n v="25"/>
    <n v="-1"/>
    <x v="444"/>
    <n v="823"/>
    <n v="38"/>
    <s v="Small Market"/>
    <x v="3"/>
    <n v="7"/>
    <x v="0"/>
    <x v="0"/>
    <x v="10"/>
    <n v="19"/>
    <n v="63"/>
    <s v="Oregon"/>
    <n v="20"/>
    <n v="30"/>
    <n v="20"/>
    <n v="50"/>
    <n v="19"/>
    <s v="Decaf"/>
    <n v="0.30158730158730157"/>
    <n v="-1"/>
    <n v="13"/>
  </r>
  <r>
    <s v="603"/>
    <n v="15"/>
    <n v="-12"/>
    <x v="445"/>
    <n v="848"/>
    <n v="24"/>
    <s v="Small Market"/>
    <x v="2"/>
    <n v="4"/>
    <x v="0"/>
    <x v="1"/>
    <x v="2"/>
    <n v="8"/>
    <n v="39"/>
    <s v="New Hampshire"/>
    <n v="10"/>
    <n v="30"/>
    <n v="20"/>
    <n v="40"/>
    <n v="16"/>
    <s v="Regular"/>
    <n v="0.20512820512820512"/>
    <n v="-12"/>
    <n v="-1"/>
  </r>
  <r>
    <s v="541"/>
    <n v="32"/>
    <n v="-2"/>
    <x v="446"/>
    <n v="482"/>
    <n v="48"/>
    <s v="Small Market"/>
    <x v="3"/>
    <n v="8"/>
    <x v="0"/>
    <x v="1"/>
    <x v="2"/>
    <n v="28"/>
    <n v="80"/>
    <s v="Oregon"/>
    <n v="20"/>
    <n v="30"/>
    <n v="30"/>
    <n v="50"/>
    <n v="20"/>
    <s v="Regular"/>
    <n v="0.35"/>
    <n v="-2"/>
    <n v="30"/>
  </r>
  <r>
    <s v="435"/>
    <n v="35"/>
    <n v="-1"/>
    <x v="447"/>
    <n v="248"/>
    <n v="47"/>
    <s v="Small Market"/>
    <x v="3"/>
    <n v="11"/>
    <x v="0"/>
    <x v="1"/>
    <x v="11"/>
    <n v="9"/>
    <n v="82"/>
    <s v="Utah"/>
    <n v="20"/>
    <n v="30"/>
    <n v="10"/>
    <n v="50"/>
    <n v="38"/>
    <s v="Regular"/>
    <n v="0.10975609756097561"/>
    <n v="-1"/>
    <n v="32"/>
  </r>
  <r>
    <s v="801"/>
    <n v="34"/>
    <n v="-3"/>
    <x v="448"/>
    <n v="211"/>
    <n v="42"/>
    <s v="Small Market"/>
    <x v="3"/>
    <n v="12"/>
    <x v="0"/>
    <x v="1"/>
    <x v="3"/>
    <n v="-3"/>
    <n v="76"/>
    <s v="Utah"/>
    <n v="20"/>
    <n v="30"/>
    <n v="0"/>
    <n v="50"/>
    <n v="45"/>
    <s v="Regular"/>
    <n v="-3.9473684210526314E-2"/>
    <n v="-3"/>
    <n v="26"/>
  </r>
  <r>
    <s v="772"/>
    <n v="24"/>
    <n v="-8"/>
    <x v="449"/>
    <n v="567"/>
    <n v="32"/>
    <s v="Major Market"/>
    <x v="2"/>
    <n v="7"/>
    <x v="0"/>
    <x v="0"/>
    <x v="10"/>
    <n v="12"/>
    <n v="56"/>
    <s v="Florida"/>
    <n v="10"/>
    <n v="30"/>
    <n v="20"/>
    <n v="40"/>
    <n v="20"/>
    <s v="Decaf"/>
    <n v="0.21428571428571427"/>
    <n v="-8"/>
    <n v="16"/>
  </r>
  <r>
    <s v="505"/>
    <n v="38"/>
    <n v="12"/>
    <x v="450"/>
    <n v="256"/>
    <n v="51"/>
    <s v="Small Market"/>
    <x v="1"/>
    <n v="12"/>
    <x v="1"/>
    <x v="2"/>
    <x v="4"/>
    <n v="12"/>
    <n v="89"/>
    <s v="New Mexico"/>
    <n v="30"/>
    <n v="30"/>
    <n v="0"/>
    <n v="60"/>
    <n v="39"/>
    <s v="Decaf"/>
    <n v="0.1348314606741573"/>
    <n v="12"/>
    <n v="29"/>
  </r>
  <r>
    <s v="702"/>
    <n v="23"/>
    <n v="-3"/>
    <x v="451"/>
    <n v="807"/>
    <n v="35"/>
    <s v="Small Market"/>
    <x v="3"/>
    <n v="6"/>
    <x v="1"/>
    <x v="2"/>
    <x v="4"/>
    <n v="17"/>
    <n v="58"/>
    <s v="Nevada"/>
    <n v="20"/>
    <n v="30"/>
    <n v="20"/>
    <n v="50"/>
    <n v="18"/>
    <s v="Decaf"/>
    <n v="0.29310344827586204"/>
    <n v="-3"/>
    <n v="8"/>
  </r>
  <r>
    <s v="641"/>
    <n v="16"/>
    <n v="-10"/>
    <x v="452"/>
    <n v="851"/>
    <n v="25"/>
    <s v="Small Market"/>
    <x v="0"/>
    <n v="4"/>
    <x v="1"/>
    <x v="3"/>
    <x v="6"/>
    <n v="10"/>
    <n v="41"/>
    <s v="Iowa"/>
    <n v="10"/>
    <n v="30"/>
    <n v="20"/>
    <n v="40"/>
    <n v="15"/>
    <s v="Regular"/>
    <n v="0.24390243902439024"/>
    <n v="-10"/>
    <n v="1"/>
  </r>
  <r>
    <s v="563"/>
    <n v="31"/>
    <n v="-2"/>
    <x v="453"/>
    <n v="1009"/>
    <n v="38"/>
    <s v="Small Market"/>
    <x v="0"/>
    <n v="9"/>
    <x v="1"/>
    <x v="3"/>
    <x v="7"/>
    <n v="8"/>
    <n v="69"/>
    <s v="Iowa"/>
    <n v="30"/>
    <n v="30"/>
    <n v="10"/>
    <n v="60"/>
    <n v="30"/>
    <s v="Regular"/>
    <n v="0.11594202898550725"/>
    <n v="-2"/>
    <n v="9"/>
  </r>
  <r>
    <s v="603"/>
    <n v="20"/>
    <n v="-16"/>
    <x v="454"/>
    <n v="218"/>
    <n v="25"/>
    <s v="Small Market"/>
    <x v="2"/>
    <n v="7"/>
    <x v="1"/>
    <x v="2"/>
    <x v="12"/>
    <n v="-16"/>
    <n v="45"/>
    <s v="New Hampshire"/>
    <n v="10"/>
    <n v="30"/>
    <n v="0"/>
    <n v="40"/>
    <n v="41"/>
    <s v="Regular"/>
    <n v="-0.35555555555555557"/>
    <n v="-16"/>
    <n v="5"/>
  </r>
  <r>
    <s v="580"/>
    <n v="29"/>
    <n v="4"/>
    <x v="455"/>
    <n v="490"/>
    <n v="44"/>
    <s v="Small Market"/>
    <x v="1"/>
    <n v="8"/>
    <x v="1"/>
    <x v="2"/>
    <x v="8"/>
    <n v="24"/>
    <n v="73"/>
    <s v="Oklahoma"/>
    <n v="20"/>
    <n v="30"/>
    <n v="20"/>
    <n v="50"/>
    <n v="20"/>
    <s v="Regular"/>
    <n v="0.32876712328767121"/>
    <n v="4"/>
    <n v="23"/>
  </r>
  <r>
    <s v="253"/>
    <n v="24"/>
    <n v="-7"/>
    <x v="456"/>
    <n v="567"/>
    <n v="32"/>
    <s v="Small Market"/>
    <x v="3"/>
    <n v="7"/>
    <x v="1"/>
    <x v="2"/>
    <x v="9"/>
    <n v="13"/>
    <n v="56"/>
    <s v="Washington"/>
    <n v="20"/>
    <n v="30"/>
    <n v="20"/>
    <n v="50"/>
    <n v="19"/>
    <s v="Regular"/>
    <n v="0.23214285714285715"/>
    <n v="-7"/>
    <n v="6"/>
  </r>
  <r>
    <s v="541"/>
    <n v="24"/>
    <n v="-1"/>
    <x v="457"/>
    <n v="829"/>
    <n v="36"/>
    <s v="Small Market"/>
    <x v="3"/>
    <n v="6"/>
    <x v="0"/>
    <x v="0"/>
    <x v="10"/>
    <n v="19"/>
    <n v="60"/>
    <s v="Oregon"/>
    <n v="20"/>
    <n v="30"/>
    <n v="20"/>
    <n v="50"/>
    <n v="17"/>
    <s v="Decaf"/>
    <n v="0.31666666666666665"/>
    <n v="-1"/>
    <n v="10"/>
  </r>
  <r>
    <s v="603"/>
    <n v="16"/>
    <n v="-10"/>
    <x v="458"/>
    <n v="851"/>
    <n v="25"/>
    <s v="Small Market"/>
    <x v="2"/>
    <n v="4"/>
    <x v="0"/>
    <x v="1"/>
    <x v="2"/>
    <n v="10"/>
    <n v="41"/>
    <s v="New Hampshire"/>
    <n v="10"/>
    <n v="30"/>
    <n v="20"/>
    <n v="40"/>
    <n v="15"/>
    <s v="Regular"/>
    <n v="0.24390243902439024"/>
    <n v="-10"/>
    <n v="1"/>
  </r>
  <r>
    <s v="971"/>
    <n v="29"/>
    <n v="-5"/>
    <x v="459"/>
    <n v="490"/>
    <n v="44"/>
    <s v="Small Market"/>
    <x v="3"/>
    <n v="8"/>
    <x v="0"/>
    <x v="1"/>
    <x v="2"/>
    <n v="25"/>
    <n v="73"/>
    <s v="Oregon"/>
    <n v="20"/>
    <n v="30"/>
    <n v="30"/>
    <n v="50"/>
    <n v="19"/>
    <s v="Regular"/>
    <n v="0.34246575342465752"/>
    <n v="-5"/>
    <n v="23"/>
  </r>
  <r>
    <s v="937"/>
    <n v="21"/>
    <n v="-6"/>
    <x v="460"/>
    <n v="480"/>
    <n v="32"/>
    <s v="Major Market"/>
    <x v="0"/>
    <n v="5"/>
    <x v="0"/>
    <x v="0"/>
    <x v="10"/>
    <n v="24"/>
    <n v="56"/>
    <s v="Ohio"/>
    <n v="0"/>
    <n v="30"/>
    <n v="30"/>
    <n v="30"/>
    <n v="16"/>
    <s v="Decaf"/>
    <n v="0.42857142857142855"/>
    <n v="-6"/>
    <n v="26"/>
  </r>
  <r>
    <s v="937"/>
    <n v="27"/>
    <n v="0"/>
    <x v="461"/>
    <n v="859"/>
    <n v="39"/>
    <s v="Major Market"/>
    <x v="0"/>
    <n v="7"/>
    <x v="0"/>
    <x v="0"/>
    <x v="0"/>
    <n v="30"/>
    <n v="70"/>
    <s v="Ohio"/>
    <n v="10"/>
    <n v="30"/>
    <n v="30"/>
    <n v="40"/>
    <n v="19"/>
    <s v="Decaf"/>
    <n v="0.42857142857142855"/>
    <n v="0"/>
    <n v="30"/>
  </r>
  <r>
    <s v="786"/>
    <n v="56"/>
    <n v="4"/>
    <x v="462"/>
    <n v="385"/>
    <n v="70"/>
    <s v="Major Market"/>
    <x v="2"/>
    <n v="21"/>
    <x v="0"/>
    <x v="0"/>
    <x v="0"/>
    <n v="24"/>
    <n v="134"/>
    <s v="Florida"/>
    <n v="30"/>
    <n v="30"/>
    <n v="20"/>
    <n v="60"/>
    <n v="54"/>
    <s v="Decaf"/>
    <n v="0.17910447761194029"/>
    <n v="4"/>
    <n v="74"/>
  </r>
  <r>
    <s v="339"/>
    <n v="54"/>
    <n v="-1"/>
    <x v="463"/>
    <n v="404"/>
    <n v="66"/>
    <s v="Major Market"/>
    <x v="2"/>
    <n v="20"/>
    <x v="0"/>
    <x v="0"/>
    <x v="0"/>
    <n v="19"/>
    <n v="128"/>
    <s v="Massachusetts"/>
    <n v="30"/>
    <n v="30"/>
    <n v="20"/>
    <n v="60"/>
    <n v="53"/>
    <s v="Decaf"/>
    <n v="0.1484375"/>
    <n v="-1"/>
    <n v="68"/>
  </r>
  <r>
    <s v="781"/>
    <n v="21"/>
    <n v="-8"/>
    <x v="464"/>
    <n v="480"/>
    <n v="32"/>
    <s v="Major Market"/>
    <x v="2"/>
    <n v="5"/>
    <x v="0"/>
    <x v="1"/>
    <x v="3"/>
    <n v="22"/>
    <n v="56"/>
    <s v="Massachusetts"/>
    <n v="20"/>
    <n v="30"/>
    <n v="30"/>
    <n v="50"/>
    <n v="17"/>
    <s v="Regular"/>
    <n v="0.39285714285714285"/>
    <n v="-8"/>
    <n v="6"/>
  </r>
  <r>
    <s v="505"/>
    <n v="39"/>
    <n v="1"/>
    <x v="465"/>
    <n v="244"/>
    <n v="53"/>
    <s v="Small Market"/>
    <x v="1"/>
    <n v="12"/>
    <x v="1"/>
    <x v="2"/>
    <x v="4"/>
    <n v="21"/>
    <n v="98"/>
    <s v="New Mexico"/>
    <n v="20"/>
    <n v="30"/>
    <n v="20"/>
    <n v="50"/>
    <n v="39"/>
    <s v="Decaf"/>
    <n v="0.21428571428571427"/>
    <n v="1"/>
    <n v="48"/>
  </r>
  <r>
    <s v="775"/>
    <n v="23"/>
    <n v="-5"/>
    <x v="466"/>
    <n v="800"/>
    <n v="35"/>
    <s v="Small Market"/>
    <x v="3"/>
    <n v="6"/>
    <x v="1"/>
    <x v="2"/>
    <x v="4"/>
    <n v="25"/>
    <n v="62"/>
    <s v="Nevada"/>
    <n v="10"/>
    <n v="30"/>
    <n v="30"/>
    <n v="40"/>
    <n v="18"/>
    <s v="Decaf"/>
    <n v="0.40322580645161288"/>
    <n v="-5"/>
    <n v="22"/>
  </r>
  <r>
    <s v="515"/>
    <n v="21"/>
    <n v="-8"/>
    <x v="467"/>
    <n v="846"/>
    <n v="31"/>
    <s v="Small Market"/>
    <x v="0"/>
    <n v="5"/>
    <x v="1"/>
    <x v="3"/>
    <x v="6"/>
    <n v="22"/>
    <n v="55"/>
    <s v="Iowa"/>
    <n v="10"/>
    <n v="30"/>
    <n v="30"/>
    <n v="40"/>
    <n v="16"/>
    <s v="Regular"/>
    <n v="0.4"/>
    <n v="-8"/>
    <n v="15"/>
  </r>
  <r>
    <s v="603"/>
    <n v="25"/>
    <n v="-28"/>
    <x v="468"/>
    <n v="209"/>
    <n v="31"/>
    <s v="Small Market"/>
    <x v="2"/>
    <n v="9"/>
    <x v="1"/>
    <x v="2"/>
    <x v="12"/>
    <n v="-18"/>
    <n v="60"/>
    <s v="New Hampshire"/>
    <n v="10"/>
    <n v="30"/>
    <n v="10"/>
    <n v="40"/>
    <n v="43"/>
    <s v="Regular"/>
    <n v="-0.3"/>
    <n v="-28"/>
    <n v="20"/>
  </r>
  <r>
    <s v="580"/>
    <n v="21"/>
    <n v="-8"/>
    <x v="469"/>
    <n v="480"/>
    <n v="32"/>
    <s v="Small Market"/>
    <x v="1"/>
    <n v="5"/>
    <x v="1"/>
    <x v="2"/>
    <x v="8"/>
    <n v="22"/>
    <n v="56"/>
    <s v="Oklahoma"/>
    <n v="0"/>
    <n v="30"/>
    <n v="30"/>
    <n v="30"/>
    <n v="17"/>
    <s v="Regular"/>
    <n v="0.39285714285714285"/>
    <n v="-8"/>
    <n v="26"/>
  </r>
  <r>
    <s v="702"/>
    <n v="0"/>
    <n v="17"/>
    <x v="470"/>
    <n v="430"/>
    <n v="43"/>
    <s v="Small Market"/>
    <x v="3"/>
    <n v="0"/>
    <x v="1"/>
    <x v="2"/>
    <x v="9"/>
    <n v="47"/>
    <n v="46"/>
    <s v="Nevada"/>
    <n v="0"/>
    <n v="30"/>
    <n v="30"/>
    <n v="30"/>
    <n v="11"/>
    <s v="Regular"/>
    <n v="1.0217391304347827"/>
    <n v="17"/>
    <n v="16"/>
  </r>
  <r>
    <s v="603"/>
    <n v="34"/>
    <n v="-24"/>
    <x v="471"/>
    <n v="240"/>
    <n v="43"/>
    <s v="Small Market"/>
    <x v="2"/>
    <n v="12"/>
    <x v="0"/>
    <x v="0"/>
    <x v="0"/>
    <n v="-4"/>
    <n v="82"/>
    <s v="New Hampshire"/>
    <n v="10"/>
    <n v="30"/>
    <n v="20"/>
    <n v="40"/>
    <n v="46"/>
    <s v="Decaf"/>
    <n v="-4.878048780487805E-2"/>
    <n v="-24"/>
    <n v="42"/>
  </r>
  <r>
    <s v="505"/>
    <n v="21"/>
    <n v="-9"/>
    <x v="472"/>
    <n v="846"/>
    <n v="31"/>
    <s v="Small Market"/>
    <x v="1"/>
    <n v="5"/>
    <x v="0"/>
    <x v="0"/>
    <x v="10"/>
    <n v="21"/>
    <n v="55"/>
    <s v="New Mexico"/>
    <n v="10"/>
    <n v="30"/>
    <n v="30"/>
    <n v="40"/>
    <n v="17"/>
    <s v="Decaf"/>
    <n v="0.38181818181818183"/>
    <n v="-9"/>
    <n v="15"/>
  </r>
  <r>
    <s v="971"/>
    <n v="25"/>
    <n v="-5"/>
    <x v="473"/>
    <n v="820"/>
    <n v="36"/>
    <s v="Small Market"/>
    <x v="3"/>
    <n v="7"/>
    <x v="0"/>
    <x v="0"/>
    <x v="10"/>
    <n v="25"/>
    <n v="65"/>
    <s v="Oregon"/>
    <n v="10"/>
    <n v="30"/>
    <n v="30"/>
    <n v="40"/>
    <n v="19"/>
    <s v="Decaf"/>
    <n v="0.38461538461538464"/>
    <n v="-5"/>
    <n v="25"/>
  </r>
  <r>
    <s v="314"/>
    <n v="34"/>
    <n v="-14"/>
    <x v="474"/>
    <n v="240"/>
    <n v="43"/>
    <s v="Small Market"/>
    <x v="0"/>
    <n v="12"/>
    <x v="0"/>
    <x v="1"/>
    <x v="3"/>
    <n v="-4"/>
    <n v="82"/>
    <s v="Missouri"/>
    <n v="10"/>
    <n v="30"/>
    <n v="10"/>
    <n v="40"/>
    <n v="46"/>
    <s v="Regular"/>
    <n v="-4.878048780487805E-2"/>
    <n v="-14"/>
    <n v="42"/>
  </r>
  <r>
    <s v="603"/>
    <n v="21"/>
    <n v="-9"/>
    <x v="475"/>
    <n v="846"/>
    <n v="31"/>
    <s v="Small Market"/>
    <x v="2"/>
    <n v="5"/>
    <x v="0"/>
    <x v="1"/>
    <x v="2"/>
    <n v="21"/>
    <n v="55"/>
    <s v="New Hampshire"/>
    <n v="20"/>
    <n v="30"/>
    <n v="30"/>
    <n v="50"/>
    <n v="17"/>
    <s v="Regular"/>
    <n v="0.38181818181818183"/>
    <n v="-9"/>
    <n v="5"/>
  </r>
  <r>
    <s v="435"/>
    <n v="39"/>
    <n v="1"/>
    <x v="476"/>
    <n v="244"/>
    <n v="53"/>
    <s v="Small Market"/>
    <x v="3"/>
    <n v="12"/>
    <x v="0"/>
    <x v="1"/>
    <x v="11"/>
    <n v="21"/>
    <n v="98"/>
    <s v="Utah"/>
    <n v="10"/>
    <n v="30"/>
    <n v="20"/>
    <n v="40"/>
    <n v="39"/>
    <s v="Regular"/>
    <n v="0.21428571428571427"/>
    <n v="1"/>
    <n v="58"/>
  </r>
  <r>
    <s v="509"/>
    <n v="46"/>
    <n v="16"/>
    <x v="477"/>
    <n v="449"/>
    <n v="67"/>
    <s v="Small Market"/>
    <x v="3"/>
    <n v="14"/>
    <x v="0"/>
    <x v="1"/>
    <x v="11"/>
    <n v="46"/>
    <n v="120"/>
    <s v="Washington"/>
    <n v="20"/>
    <n v="30"/>
    <n v="30"/>
    <n v="50"/>
    <n v="36"/>
    <s v="Regular"/>
    <n v="0.38333333333333336"/>
    <n v="16"/>
    <n v="70"/>
  </r>
  <r>
    <s v="775"/>
    <n v="22"/>
    <n v="5"/>
    <x v="478"/>
    <n v="802"/>
    <n v="34"/>
    <s v="Small Market"/>
    <x v="3"/>
    <n v="6"/>
    <x v="1"/>
    <x v="2"/>
    <x v="4"/>
    <n v="25"/>
    <n v="60"/>
    <s v="Nevada"/>
    <n v="20"/>
    <n v="30"/>
    <n v="20"/>
    <n v="50"/>
    <n v="17"/>
    <s v="Decaf"/>
    <n v="0.41666666666666669"/>
    <n v="5"/>
    <n v="10"/>
  </r>
  <r>
    <s v="505"/>
    <n v="34"/>
    <n v="4"/>
    <x v="479"/>
    <n v="-522"/>
    <n v="42"/>
    <s v="Small Market"/>
    <x v="1"/>
    <n v="12"/>
    <x v="1"/>
    <x v="2"/>
    <x v="9"/>
    <n v="-6"/>
    <n v="81"/>
    <s v="New Mexico"/>
    <n v="20"/>
    <n v="30"/>
    <n v="-10"/>
    <n v="50"/>
    <n v="46"/>
    <s v="Regular"/>
    <n v="-7.407407407407407E-2"/>
    <n v="4"/>
    <n v="31"/>
  </r>
  <r>
    <s v="425"/>
    <n v="22"/>
    <n v="-4"/>
    <x v="480"/>
    <n v="570"/>
    <n v="30"/>
    <s v="Small Market"/>
    <x v="3"/>
    <n v="7"/>
    <x v="1"/>
    <x v="2"/>
    <x v="9"/>
    <n v="16"/>
    <n v="55"/>
    <s v="Washington"/>
    <n v="20"/>
    <n v="30"/>
    <n v="20"/>
    <n v="50"/>
    <n v="19"/>
    <s v="Regular"/>
    <n v="0.29090909090909089"/>
    <n v="-4"/>
    <n v="5"/>
  </r>
  <r>
    <s v="603"/>
    <n v="33"/>
    <n v="-6"/>
    <x v="481"/>
    <n v="243"/>
    <n v="41"/>
    <s v="Small Market"/>
    <x v="2"/>
    <n v="12"/>
    <x v="0"/>
    <x v="0"/>
    <x v="0"/>
    <n v="-6"/>
    <n v="79"/>
    <s v="New Hampshire"/>
    <n v="20"/>
    <n v="30"/>
    <n v="0"/>
    <n v="50"/>
    <n v="45"/>
    <s v="Decaf"/>
    <n v="-7.5949367088607597E-2"/>
    <n v="-6"/>
    <n v="29"/>
  </r>
  <r>
    <s v="505"/>
    <n v="29"/>
    <n v="-3"/>
    <x v="482"/>
    <n v="1003"/>
    <n v="35"/>
    <s v="Small Market"/>
    <x v="1"/>
    <n v="8"/>
    <x v="0"/>
    <x v="0"/>
    <x v="0"/>
    <n v="7"/>
    <n v="68"/>
    <s v="New Mexico"/>
    <n v="20"/>
    <n v="30"/>
    <n v="10"/>
    <n v="50"/>
    <n v="30"/>
    <s v="Decaf"/>
    <n v="0.10294117647058823"/>
    <n v="-3"/>
    <n v="18"/>
  </r>
  <r>
    <s v="541"/>
    <n v="25"/>
    <n v="8"/>
    <x v="483"/>
    <n v="823"/>
    <n v="38"/>
    <s v="Small Market"/>
    <x v="3"/>
    <n v="7"/>
    <x v="0"/>
    <x v="0"/>
    <x v="10"/>
    <n v="28"/>
    <n v="67"/>
    <s v="Oregon"/>
    <n v="20"/>
    <n v="30"/>
    <n v="20"/>
    <n v="50"/>
    <n v="19"/>
    <s v="Decaf"/>
    <n v="0.41791044776119401"/>
    <n v="8"/>
    <n v="17"/>
  </r>
  <r>
    <s v="603"/>
    <n v="15"/>
    <n v="-8"/>
    <x v="484"/>
    <n v="848"/>
    <n v="24"/>
    <s v="Small Market"/>
    <x v="2"/>
    <n v="4"/>
    <x v="0"/>
    <x v="1"/>
    <x v="2"/>
    <n v="12"/>
    <n v="42"/>
    <s v="New Hampshire"/>
    <n v="10"/>
    <n v="30"/>
    <n v="20"/>
    <n v="40"/>
    <n v="16"/>
    <s v="Regular"/>
    <n v="0.2857142857142857"/>
    <n v="-8"/>
    <n v="2"/>
  </r>
  <r>
    <s v="503"/>
    <n v="32"/>
    <n v="12"/>
    <x v="485"/>
    <n v="482"/>
    <n v="48"/>
    <s v="Small Market"/>
    <x v="3"/>
    <n v="8"/>
    <x v="0"/>
    <x v="1"/>
    <x v="2"/>
    <n v="42"/>
    <n v="85"/>
    <s v="Oregon"/>
    <n v="20"/>
    <n v="30"/>
    <n v="30"/>
    <n v="50"/>
    <n v="20"/>
    <s v="Regular"/>
    <n v="0.49411764705882355"/>
    <n v="12"/>
    <n v="35"/>
  </r>
  <r>
    <s v="435"/>
    <n v="35"/>
    <n v="3"/>
    <x v="486"/>
    <n v="248"/>
    <n v="47"/>
    <s v="Small Market"/>
    <x v="3"/>
    <n v="11"/>
    <x v="0"/>
    <x v="1"/>
    <x v="11"/>
    <n v="13"/>
    <n v="87"/>
    <s v="Utah"/>
    <n v="20"/>
    <n v="30"/>
    <n v="10"/>
    <n v="50"/>
    <n v="38"/>
    <s v="Regular"/>
    <n v="0.14942528735632185"/>
    <n v="3"/>
    <n v="37"/>
  </r>
  <r>
    <s v="435"/>
    <n v="34"/>
    <n v="-4"/>
    <x v="487"/>
    <n v="211"/>
    <n v="42"/>
    <s v="Small Market"/>
    <x v="3"/>
    <n v="12"/>
    <x v="0"/>
    <x v="1"/>
    <x v="3"/>
    <n v="-4"/>
    <n v="81"/>
    <s v="Utah"/>
    <n v="20"/>
    <n v="30"/>
    <n v="0"/>
    <n v="50"/>
    <n v="45"/>
    <s v="Regular"/>
    <n v="-4.9382716049382713E-2"/>
    <n v="-4"/>
    <n v="31"/>
  </r>
  <r>
    <s v="904"/>
    <n v="24"/>
    <n v="-2"/>
    <x v="488"/>
    <n v="567"/>
    <n v="32"/>
    <s v="Major Market"/>
    <x v="2"/>
    <n v="7"/>
    <x v="0"/>
    <x v="0"/>
    <x v="10"/>
    <n v="18"/>
    <n v="60"/>
    <s v="Florida"/>
    <n v="10"/>
    <n v="30"/>
    <n v="20"/>
    <n v="40"/>
    <n v="20"/>
    <s v="Decaf"/>
    <n v="0.3"/>
    <n v="-2"/>
    <n v="20"/>
  </r>
  <r>
    <s v="505"/>
    <n v="38"/>
    <n v="18"/>
    <x v="489"/>
    <n v="256"/>
    <n v="51"/>
    <s v="Small Market"/>
    <x v="1"/>
    <n v="12"/>
    <x v="1"/>
    <x v="2"/>
    <x v="4"/>
    <n v="18"/>
    <n v="95"/>
    <s v="New Mexico"/>
    <n v="30"/>
    <n v="30"/>
    <n v="0"/>
    <n v="60"/>
    <n v="39"/>
    <s v="Decaf"/>
    <n v="0.18947368421052632"/>
    <n v="18"/>
    <n v="35"/>
  </r>
  <r>
    <s v="775"/>
    <n v="23"/>
    <n v="5"/>
    <x v="490"/>
    <n v="807"/>
    <n v="35"/>
    <s v="Small Market"/>
    <x v="3"/>
    <n v="6"/>
    <x v="1"/>
    <x v="2"/>
    <x v="4"/>
    <n v="25"/>
    <n v="62"/>
    <s v="Nevada"/>
    <n v="20"/>
    <n v="30"/>
    <n v="20"/>
    <n v="50"/>
    <n v="18"/>
    <s v="Decaf"/>
    <n v="0.40322580645161288"/>
    <n v="5"/>
    <n v="12"/>
  </r>
  <r>
    <s v="563"/>
    <n v="16"/>
    <n v="-5"/>
    <x v="491"/>
    <n v="851"/>
    <n v="25"/>
    <s v="Small Market"/>
    <x v="0"/>
    <n v="4"/>
    <x v="1"/>
    <x v="3"/>
    <x v="6"/>
    <n v="15"/>
    <n v="44"/>
    <s v="Iowa"/>
    <n v="10"/>
    <n v="30"/>
    <n v="20"/>
    <n v="40"/>
    <n v="15"/>
    <s v="Regular"/>
    <n v="0.34090909090909088"/>
    <n v="-5"/>
    <n v="4"/>
  </r>
  <r>
    <s v="641"/>
    <n v="31"/>
    <n v="2"/>
    <x v="492"/>
    <n v="1009"/>
    <n v="38"/>
    <s v="Small Market"/>
    <x v="0"/>
    <n v="9"/>
    <x v="1"/>
    <x v="3"/>
    <x v="7"/>
    <n v="12"/>
    <n v="74"/>
    <s v="Iowa"/>
    <n v="30"/>
    <n v="30"/>
    <n v="10"/>
    <n v="60"/>
    <n v="30"/>
    <s v="Regular"/>
    <n v="0.16216216216216217"/>
    <n v="2"/>
    <n v="14"/>
  </r>
  <r>
    <s v="603"/>
    <n v="20"/>
    <n v="-24"/>
    <x v="493"/>
    <n v="218"/>
    <n v="25"/>
    <s v="Small Market"/>
    <x v="2"/>
    <n v="7"/>
    <x v="1"/>
    <x v="2"/>
    <x v="12"/>
    <n v="-24"/>
    <n v="48"/>
    <s v="New Hampshire"/>
    <n v="10"/>
    <n v="30"/>
    <n v="0"/>
    <n v="40"/>
    <n v="41"/>
    <s v="Regular"/>
    <n v="-0.5"/>
    <n v="-24"/>
    <n v="8"/>
  </r>
  <r>
    <s v="580"/>
    <n v="29"/>
    <n v="16"/>
    <x v="494"/>
    <n v="490"/>
    <n v="44"/>
    <s v="Small Market"/>
    <x v="1"/>
    <n v="8"/>
    <x v="1"/>
    <x v="2"/>
    <x v="8"/>
    <n v="36"/>
    <n v="78"/>
    <s v="Oklahoma"/>
    <n v="20"/>
    <n v="30"/>
    <n v="20"/>
    <n v="50"/>
    <n v="20"/>
    <s v="Regular"/>
    <n v="0.46153846153846156"/>
    <n v="16"/>
    <n v="28"/>
  </r>
  <r>
    <s v="206"/>
    <n v="24"/>
    <n v="-1"/>
    <x v="495"/>
    <n v="567"/>
    <n v="32"/>
    <s v="Small Market"/>
    <x v="3"/>
    <n v="7"/>
    <x v="1"/>
    <x v="2"/>
    <x v="9"/>
    <n v="19"/>
    <n v="60"/>
    <s v="Washington"/>
    <n v="20"/>
    <n v="30"/>
    <n v="20"/>
    <n v="50"/>
    <n v="19"/>
    <s v="Regular"/>
    <n v="0.31666666666666665"/>
    <n v="-1"/>
    <n v="10"/>
  </r>
  <r>
    <s v="503"/>
    <n v="24"/>
    <n v="8"/>
    <x v="496"/>
    <n v="829"/>
    <n v="36"/>
    <s v="Small Market"/>
    <x v="3"/>
    <n v="6"/>
    <x v="0"/>
    <x v="0"/>
    <x v="10"/>
    <n v="28"/>
    <n v="64"/>
    <s v="Oregon"/>
    <n v="20"/>
    <n v="30"/>
    <n v="20"/>
    <n v="50"/>
    <n v="17"/>
    <s v="Decaf"/>
    <n v="0.4375"/>
    <n v="8"/>
    <n v="14"/>
  </r>
  <r>
    <s v="603"/>
    <n v="16"/>
    <n v="-5"/>
    <x v="497"/>
    <n v="851"/>
    <n v="25"/>
    <s v="Small Market"/>
    <x v="2"/>
    <n v="4"/>
    <x v="0"/>
    <x v="1"/>
    <x v="2"/>
    <n v="15"/>
    <n v="44"/>
    <s v="New Hampshire"/>
    <n v="10"/>
    <n v="30"/>
    <n v="20"/>
    <n v="40"/>
    <n v="15"/>
    <s v="Regular"/>
    <n v="0.34090909090909088"/>
    <n v="-5"/>
    <n v="4"/>
  </r>
  <r>
    <s v="541"/>
    <n v="29"/>
    <n v="7"/>
    <x v="498"/>
    <n v="490"/>
    <n v="44"/>
    <s v="Small Market"/>
    <x v="3"/>
    <n v="8"/>
    <x v="0"/>
    <x v="1"/>
    <x v="2"/>
    <n v="37"/>
    <n v="78"/>
    <s v="Oregon"/>
    <n v="20"/>
    <n v="30"/>
    <n v="30"/>
    <n v="50"/>
    <n v="19"/>
    <s v="Regular"/>
    <n v="0.47435897435897434"/>
    <n v="7"/>
    <n v="28"/>
  </r>
  <r>
    <s v="915"/>
    <n v="76"/>
    <n v="-2"/>
    <x v="499"/>
    <n v="580"/>
    <n v="111"/>
    <s v="Major Market"/>
    <x v="1"/>
    <n v="21"/>
    <x v="1"/>
    <x v="2"/>
    <x v="4"/>
    <n v="78"/>
    <n v="187"/>
    <s v="Texas"/>
    <n v="40"/>
    <n v="80"/>
    <n v="80"/>
    <n v="120"/>
    <n v="33"/>
    <s v="Decaf"/>
    <n v="0.41711229946524064"/>
    <n v="-2"/>
    <n v="67"/>
  </r>
  <r>
    <s v="713"/>
    <n v="52"/>
    <n v="-44"/>
    <x v="500"/>
    <n v="405"/>
    <n v="71"/>
    <s v="Major Market"/>
    <x v="1"/>
    <n v="17"/>
    <x v="0"/>
    <x v="0"/>
    <x v="10"/>
    <n v="26"/>
    <n v="123"/>
    <s v="Texas"/>
    <n v="30"/>
    <n v="80"/>
    <n v="70"/>
    <n v="110"/>
    <n v="45"/>
    <s v="Decaf"/>
    <n v="0.21138211382113822"/>
    <n v="-44"/>
    <n v="13"/>
  </r>
  <r>
    <s v="217"/>
    <n v="76"/>
    <n v="-2"/>
    <x v="501"/>
    <n v="580"/>
    <n v="111"/>
    <s v="Major Market"/>
    <x v="0"/>
    <n v="21"/>
    <x v="0"/>
    <x v="1"/>
    <x v="2"/>
    <n v="78"/>
    <n v="187"/>
    <s v="Illinois"/>
    <n v="50"/>
    <n v="80"/>
    <n v="80"/>
    <n v="130"/>
    <n v="33"/>
    <s v="Regular"/>
    <n v="0.41711229946524064"/>
    <n v="-2"/>
    <n v="57"/>
  </r>
  <r>
    <s v="847"/>
    <n v="72"/>
    <n v="5"/>
    <x v="502"/>
    <n v="650"/>
    <n v="110"/>
    <s v="Major Market"/>
    <x v="0"/>
    <n v="23"/>
    <x v="0"/>
    <x v="1"/>
    <x v="11"/>
    <n v="55"/>
    <n v="182"/>
    <s v="Illinois"/>
    <n v="50"/>
    <n v="80"/>
    <n v="50"/>
    <n v="130"/>
    <n v="55"/>
    <s v="Regular"/>
    <n v="0.30219780219780218"/>
    <n v="5"/>
    <n v="52"/>
  </r>
  <r>
    <s v="660"/>
    <n v="65"/>
    <n v="-35"/>
    <x v="503"/>
    <n v="1053"/>
    <n v="77"/>
    <s v="Small Market"/>
    <x v="0"/>
    <n v="20"/>
    <x v="1"/>
    <x v="3"/>
    <x v="5"/>
    <n v="35"/>
    <n v="142"/>
    <s v="Missouri"/>
    <n v="50"/>
    <n v="80"/>
    <n v="70"/>
    <n v="130"/>
    <n v="42"/>
    <s v="Decaf"/>
    <n v="0.24647887323943662"/>
    <n v="-35"/>
    <n v="12"/>
  </r>
  <r>
    <s v="660"/>
    <n v="32"/>
    <n v="-52"/>
    <x v="504"/>
    <n v="833"/>
    <n v="47"/>
    <s v="Small Market"/>
    <x v="0"/>
    <n v="8"/>
    <x v="1"/>
    <x v="2"/>
    <x v="4"/>
    <n v="28"/>
    <n v="79"/>
    <s v="Missouri"/>
    <n v="30"/>
    <n v="80"/>
    <n v="80"/>
    <n v="110"/>
    <n v="19"/>
    <s v="Decaf"/>
    <n v="0.35443037974683544"/>
    <n v="-52"/>
    <n v="-31"/>
  </r>
  <r>
    <s v="405"/>
    <n v="82"/>
    <n v="5"/>
    <x v="505"/>
    <n v="788"/>
    <n v="123"/>
    <s v="Small Market"/>
    <x v="1"/>
    <n v="27"/>
    <x v="1"/>
    <x v="2"/>
    <x v="4"/>
    <n v="65"/>
    <n v="205"/>
    <s v="Oklahoma"/>
    <n v="50"/>
    <n v="80"/>
    <n v="60"/>
    <n v="130"/>
    <n v="58"/>
    <s v="Decaf"/>
    <n v="0.31707317073170732"/>
    <n v="5"/>
    <n v="75"/>
  </r>
  <r>
    <s v="715"/>
    <n v="56"/>
    <n v="-35"/>
    <x v="506"/>
    <n v="385"/>
    <n v="70"/>
    <s v="Small Market"/>
    <x v="0"/>
    <n v="21"/>
    <x v="1"/>
    <x v="3"/>
    <x v="6"/>
    <n v="15"/>
    <n v="126"/>
    <s v="Wisconsin"/>
    <n v="40"/>
    <n v="80"/>
    <n v="50"/>
    <n v="120"/>
    <n v="55"/>
    <s v="Regular"/>
    <n v="0.11904761904761904"/>
    <n v="-35"/>
    <n v="6"/>
  </r>
  <r>
    <s v="405"/>
    <n v="91"/>
    <n v="6"/>
    <x v="507"/>
    <n v="-1785"/>
    <n v="127"/>
    <s v="Small Market"/>
    <x v="1"/>
    <n v="28"/>
    <x v="1"/>
    <x v="2"/>
    <x v="9"/>
    <n v="76"/>
    <n v="218"/>
    <s v="Oklahoma"/>
    <n v="50"/>
    <n v="80"/>
    <n v="70"/>
    <n v="130"/>
    <n v="51"/>
    <s v="Regular"/>
    <n v="0.34862385321100919"/>
    <n v="6"/>
    <n v="88"/>
  </r>
  <r>
    <s v="414"/>
    <n v="60"/>
    <n v="-23"/>
    <x v="508"/>
    <n v="329"/>
    <n v="99"/>
    <s v="Small Market"/>
    <x v="0"/>
    <n v="18"/>
    <x v="0"/>
    <x v="0"/>
    <x v="10"/>
    <n v="57"/>
    <n v="159"/>
    <s v="Wisconsin"/>
    <n v="40"/>
    <n v="80"/>
    <n v="80"/>
    <n v="120"/>
    <n v="42"/>
    <s v="Decaf"/>
    <n v="0.35849056603773582"/>
    <n v="-23"/>
    <n v="39"/>
  </r>
  <r>
    <s v="419"/>
    <n v="55"/>
    <n v="-24"/>
    <x v="509"/>
    <n v="410"/>
    <n v="69"/>
    <s v="Major Market"/>
    <x v="0"/>
    <n v="20"/>
    <x v="1"/>
    <x v="2"/>
    <x v="4"/>
    <n v="16"/>
    <n v="124"/>
    <s v="Ohio"/>
    <n v="70"/>
    <n v="80"/>
    <n v="40"/>
    <n v="150"/>
    <n v="53"/>
    <s v="Decaf"/>
    <n v="0.12903225806451613"/>
    <n v="-24"/>
    <n v="-26"/>
  </r>
  <r>
    <s v="330"/>
    <n v="59"/>
    <n v="-17"/>
    <x v="510"/>
    <n v="411"/>
    <n v="79"/>
    <s v="Major Market"/>
    <x v="0"/>
    <n v="19"/>
    <x v="1"/>
    <x v="3"/>
    <x v="6"/>
    <n v="33"/>
    <n v="138"/>
    <s v="Ohio"/>
    <n v="50"/>
    <n v="80"/>
    <n v="50"/>
    <n v="130"/>
    <n v="46"/>
    <s v="Regular"/>
    <n v="0.2391304347826087"/>
    <n v="-17"/>
    <n v="8"/>
  </r>
  <r>
    <s v="650"/>
    <n v="75"/>
    <n v="19"/>
    <x v="511"/>
    <n v="659"/>
    <n v="114"/>
    <s v="Major Market"/>
    <x v="3"/>
    <n v="24"/>
    <x v="0"/>
    <x v="1"/>
    <x v="3"/>
    <n v="59"/>
    <n v="189"/>
    <s v="California"/>
    <n v="50"/>
    <n v="80"/>
    <n v="40"/>
    <n v="130"/>
    <n v="55"/>
    <s v="Regular"/>
    <n v="0.31216931216931215"/>
    <n v="19"/>
    <n v="59"/>
  </r>
  <r>
    <s v="314"/>
    <n v="69"/>
    <n v="-2"/>
    <x v="512"/>
    <n v="1060"/>
    <n v="81"/>
    <s v="Small Market"/>
    <x v="0"/>
    <n v="21"/>
    <x v="1"/>
    <x v="3"/>
    <x v="5"/>
    <n v="38"/>
    <n v="150"/>
    <s v="Missouri"/>
    <n v="60"/>
    <n v="80"/>
    <n v="40"/>
    <n v="140"/>
    <n v="43"/>
    <s v="Decaf"/>
    <n v="0.25333333333333335"/>
    <n v="-2"/>
    <n v="10"/>
  </r>
  <r>
    <s v="503"/>
    <n v="46"/>
    <n v="-18"/>
    <x v="513"/>
    <n v="424"/>
    <n v="68"/>
    <s v="Small Market"/>
    <x v="3"/>
    <n v="14"/>
    <x v="1"/>
    <x v="3"/>
    <x v="5"/>
    <n v="32"/>
    <n v="114"/>
    <s v="Oregon"/>
    <n v="50"/>
    <n v="80"/>
    <n v="50"/>
    <n v="130"/>
    <n v="36"/>
    <s v="Decaf"/>
    <n v="0.2807017543859649"/>
    <n v="-18"/>
    <n v="-16"/>
  </r>
  <r>
    <s v="206"/>
    <n v="75"/>
    <n v="5"/>
    <x v="514"/>
    <n v="1063"/>
    <n v="89"/>
    <s v="Small Market"/>
    <x v="3"/>
    <n v="23"/>
    <x v="1"/>
    <x v="2"/>
    <x v="4"/>
    <n v="45"/>
    <n v="164"/>
    <s v="Washington"/>
    <n v="70"/>
    <n v="80"/>
    <n v="40"/>
    <n v="150"/>
    <n v="44"/>
    <s v="Decaf"/>
    <n v="0.27439024390243905"/>
    <n v="5"/>
    <n v="14"/>
  </r>
  <r>
    <s v="203"/>
    <n v="61"/>
    <n v="-8"/>
    <x v="515"/>
    <n v="613"/>
    <n v="86"/>
    <s v="Small Market"/>
    <x v="2"/>
    <n v="55"/>
    <x v="1"/>
    <x v="2"/>
    <x v="8"/>
    <n v="2"/>
    <n v="147"/>
    <s v="Connecticut"/>
    <n v="60"/>
    <n v="80"/>
    <n v="10"/>
    <n v="140"/>
    <n v="84"/>
    <s v="Regular"/>
    <n v="1.3605442176870748E-2"/>
    <n v="-8"/>
    <n v="7"/>
  </r>
  <r>
    <s v="225"/>
    <n v="47"/>
    <n v="-16"/>
    <x v="516"/>
    <n v="834"/>
    <n v="68"/>
    <s v="Small Market"/>
    <x v="1"/>
    <n v="13"/>
    <x v="1"/>
    <x v="3"/>
    <x v="7"/>
    <n v="44"/>
    <n v="115"/>
    <s v="Louisiana"/>
    <n v="50"/>
    <n v="80"/>
    <n v="60"/>
    <n v="130"/>
    <n v="24"/>
    <s v="Regular"/>
    <n v="0.38260869565217392"/>
    <n v="-16"/>
    <n v="-15"/>
  </r>
  <r>
    <s v="541"/>
    <n v="52"/>
    <n v="-14"/>
    <x v="517"/>
    <n v="509"/>
    <n v="73"/>
    <s v="Small Market"/>
    <x v="3"/>
    <n v="47"/>
    <x v="1"/>
    <x v="3"/>
    <x v="6"/>
    <n v="-4"/>
    <n v="125"/>
    <s v="Oregon"/>
    <n v="60"/>
    <n v="80"/>
    <n v="10"/>
    <n v="140"/>
    <n v="77"/>
    <s v="Regular"/>
    <n v="-3.2000000000000001E-2"/>
    <n v="-14"/>
    <n v="-15"/>
  </r>
  <r>
    <s v="435"/>
    <n v="53"/>
    <n v="-23"/>
    <x v="518"/>
    <n v="380"/>
    <n v="71"/>
    <s v="Small Market"/>
    <x v="3"/>
    <n v="17"/>
    <x v="1"/>
    <x v="3"/>
    <x v="7"/>
    <n v="27"/>
    <n v="124"/>
    <s v="Utah"/>
    <n v="60"/>
    <n v="80"/>
    <n v="50"/>
    <n v="140"/>
    <n v="44"/>
    <s v="Regular"/>
    <n v="0.21774193548387097"/>
    <n v="-23"/>
    <n v="-16"/>
  </r>
  <r>
    <s v="503"/>
    <n v="59"/>
    <n v="-17"/>
    <x v="519"/>
    <n v="411"/>
    <n v="79"/>
    <s v="Small Market"/>
    <x v="3"/>
    <n v="19"/>
    <x v="1"/>
    <x v="2"/>
    <x v="8"/>
    <n v="33"/>
    <n v="138"/>
    <s v="Oregon"/>
    <n v="50"/>
    <n v="80"/>
    <n v="50"/>
    <n v="130"/>
    <n v="46"/>
    <s v="Regular"/>
    <n v="0.2391304347826087"/>
    <n v="-17"/>
    <n v="8"/>
  </r>
  <r>
    <s v="920"/>
    <n v="53"/>
    <n v="-2"/>
    <x v="520"/>
    <n v="321"/>
    <n v="88"/>
    <s v="Small Market"/>
    <x v="0"/>
    <n v="16"/>
    <x v="0"/>
    <x v="0"/>
    <x v="10"/>
    <n v="48"/>
    <n v="141"/>
    <s v="Wisconsin"/>
    <n v="50"/>
    <n v="80"/>
    <n v="50"/>
    <n v="130"/>
    <n v="40"/>
    <s v="Decaf"/>
    <n v="0.34042553191489361"/>
    <n v="-2"/>
    <n v="11"/>
  </r>
  <r>
    <s v="959"/>
    <n v="54"/>
    <n v="-9"/>
    <x v="521"/>
    <n v="885"/>
    <n v="78"/>
    <s v="Small Market"/>
    <x v="2"/>
    <n v="15"/>
    <x v="0"/>
    <x v="1"/>
    <x v="2"/>
    <n v="51"/>
    <n v="132"/>
    <s v="Connecticut"/>
    <n v="50"/>
    <n v="80"/>
    <n v="60"/>
    <n v="130"/>
    <n v="27"/>
    <s v="Regular"/>
    <n v="0.38636363636363635"/>
    <n v="-9"/>
    <n v="2"/>
  </r>
  <r>
    <s v="740"/>
    <n v="46"/>
    <n v="-34"/>
    <x v="522"/>
    <n v="422"/>
    <n v="57"/>
    <s v="Major Market"/>
    <x v="0"/>
    <n v="17"/>
    <x v="1"/>
    <x v="2"/>
    <x v="4"/>
    <n v="6"/>
    <n v="103"/>
    <s v="Ohio"/>
    <n v="50"/>
    <n v="80"/>
    <n v="40"/>
    <n v="130"/>
    <n v="51"/>
    <s v="Decaf"/>
    <n v="5.8252427184466021E-2"/>
    <n v="-34"/>
    <n v="-27"/>
  </r>
  <r>
    <s v="630"/>
    <n v="67"/>
    <n v="7"/>
    <x v="523"/>
    <n v="677"/>
    <n v="101"/>
    <s v="Major Market"/>
    <x v="0"/>
    <n v="22"/>
    <x v="0"/>
    <x v="1"/>
    <x v="11"/>
    <n v="47"/>
    <n v="168"/>
    <s v="Illinois"/>
    <n v="50"/>
    <n v="80"/>
    <n v="40"/>
    <n v="130"/>
    <n v="54"/>
    <s v="Regular"/>
    <n v="0.27976190476190477"/>
    <n v="7"/>
    <n v="38"/>
  </r>
  <r>
    <s v="518"/>
    <n v="54"/>
    <n v="-8"/>
    <x v="524"/>
    <n v="601"/>
    <n v="79"/>
    <s v="Major Market"/>
    <x v="2"/>
    <n v="15"/>
    <x v="0"/>
    <x v="1"/>
    <x v="3"/>
    <n v="52"/>
    <n v="133"/>
    <s v="New York"/>
    <n v="50"/>
    <n v="80"/>
    <n v="60"/>
    <n v="130"/>
    <n v="27"/>
    <s v="Regular"/>
    <n v="0.39097744360902253"/>
    <n v="-8"/>
    <n v="3"/>
  </r>
  <r>
    <s v="213"/>
    <n v="67"/>
    <n v="-3"/>
    <x v="525"/>
    <n v="677"/>
    <n v="101"/>
    <s v="Major Market"/>
    <x v="3"/>
    <n v="22"/>
    <x v="0"/>
    <x v="1"/>
    <x v="3"/>
    <n v="47"/>
    <n v="168"/>
    <s v="California"/>
    <n v="40"/>
    <n v="80"/>
    <n v="50"/>
    <n v="120"/>
    <n v="54"/>
    <s v="Regular"/>
    <n v="0.27976190476190477"/>
    <n v="-3"/>
    <n v="48"/>
  </r>
  <r>
    <s v="503"/>
    <n v="41"/>
    <n v="-25"/>
    <x v="526"/>
    <n v="435"/>
    <n v="60"/>
    <s v="Small Market"/>
    <x v="3"/>
    <n v="13"/>
    <x v="1"/>
    <x v="3"/>
    <x v="5"/>
    <n v="25"/>
    <n v="101"/>
    <s v="Oregon"/>
    <n v="40"/>
    <n v="80"/>
    <n v="50"/>
    <n v="120"/>
    <n v="35"/>
    <s v="Decaf"/>
    <n v="0.24752475247524752"/>
    <n v="-25"/>
    <n v="-19"/>
  </r>
  <r>
    <s v="715"/>
    <n v="65"/>
    <n v="-8"/>
    <x v="527"/>
    <n v="403"/>
    <n v="80"/>
    <s v="Small Market"/>
    <x v="0"/>
    <n v="24"/>
    <x v="1"/>
    <x v="3"/>
    <x v="6"/>
    <n v="22"/>
    <n v="145"/>
    <s v="Wisconsin"/>
    <n v="60"/>
    <n v="80"/>
    <n v="30"/>
    <n v="140"/>
    <n v="58"/>
    <s v="Regular"/>
    <n v="0.15172413793103448"/>
    <n v="-8"/>
    <n v="5"/>
  </r>
  <r>
    <s v="503"/>
    <n v="47"/>
    <n v="-27"/>
    <x v="528"/>
    <n v="521"/>
    <n v="65"/>
    <s v="Small Market"/>
    <x v="3"/>
    <n v="42"/>
    <x v="1"/>
    <x v="3"/>
    <x v="6"/>
    <n v="-7"/>
    <n v="112"/>
    <s v="Oregon"/>
    <n v="50"/>
    <n v="80"/>
    <n v="20"/>
    <n v="130"/>
    <n v="72"/>
    <s v="Regular"/>
    <n v="-6.25E-2"/>
    <n v="-27"/>
    <n v="-18"/>
  </r>
  <r>
    <s v="801"/>
    <n v="49"/>
    <n v="-29"/>
    <x v="529"/>
    <n v="392"/>
    <n v="65"/>
    <s v="Small Market"/>
    <x v="3"/>
    <n v="16"/>
    <x v="1"/>
    <x v="3"/>
    <x v="7"/>
    <n v="21"/>
    <n v="114"/>
    <s v="Utah"/>
    <n v="50"/>
    <n v="80"/>
    <n v="50"/>
    <n v="130"/>
    <n v="44"/>
    <s v="Regular"/>
    <n v="0.18421052631578946"/>
    <n v="-29"/>
    <n v="-16"/>
  </r>
  <r>
    <s v="509"/>
    <n v="65"/>
    <n v="-7"/>
    <x v="530"/>
    <n v="403"/>
    <n v="80"/>
    <s v="Small Market"/>
    <x v="3"/>
    <n v="24"/>
    <x v="1"/>
    <x v="2"/>
    <x v="8"/>
    <n v="23"/>
    <n v="145"/>
    <s v="Washington"/>
    <n v="60"/>
    <n v="80"/>
    <n v="30"/>
    <n v="140"/>
    <n v="57"/>
    <s v="Regular"/>
    <n v="0.15862068965517243"/>
    <n v="-7"/>
    <n v="5"/>
  </r>
  <r>
    <s v="985"/>
    <n v="68"/>
    <n v="-4"/>
    <x v="531"/>
    <n v="619"/>
    <n v="85"/>
    <s v="Small Market"/>
    <x v="1"/>
    <n v="25"/>
    <x v="0"/>
    <x v="0"/>
    <x v="0"/>
    <n v="26"/>
    <n v="153"/>
    <s v="Louisiana"/>
    <n v="60"/>
    <n v="80"/>
    <n v="30"/>
    <n v="140"/>
    <n v="59"/>
    <s v="Decaf"/>
    <n v="0.16993464052287582"/>
    <n v="-4"/>
    <n v="13"/>
  </r>
  <r>
    <s v="432"/>
    <n v="76"/>
    <n v="36"/>
    <x v="532"/>
    <n v="580"/>
    <n v="111"/>
    <s v="Major Market"/>
    <x v="1"/>
    <n v="21"/>
    <x v="1"/>
    <x v="2"/>
    <x v="4"/>
    <n v="116"/>
    <n v="199"/>
    <s v="Texas"/>
    <n v="40"/>
    <n v="80"/>
    <n v="80"/>
    <n v="120"/>
    <n v="33"/>
    <s v="Decaf"/>
    <n v="0.58291457286432158"/>
    <n v="36"/>
    <n v="79"/>
  </r>
  <r>
    <s v="325"/>
    <n v="52"/>
    <n v="-31"/>
    <x v="533"/>
    <n v="405"/>
    <n v="71"/>
    <s v="Major Market"/>
    <x v="1"/>
    <n v="17"/>
    <x v="0"/>
    <x v="0"/>
    <x v="10"/>
    <n v="39"/>
    <n v="131"/>
    <s v="Texas"/>
    <n v="30"/>
    <n v="80"/>
    <n v="70"/>
    <n v="110"/>
    <n v="45"/>
    <s v="Decaf"/>
    <n v="0.29770992366412213"/>
    <n v="-31"/>
    <n v="21"/>
  </r>
  <r>
    <s v="815"/>
    <n v="76"/>
    <n v="36"/>
    <x v="534"/>
    <n v="580"/>
    <n v="111"/>
    <s v="Major Market"/>
    <x v="0"/>
    <n v="21"/>
    <x v="0"/>
    <x v="1"/>
    <x v="2"/>
    <n v="116"/>
    <n v="199"/>
    <s v="Illinois"/>
    <n v="50"/>
    <n v="80"/>
    <n v="80"/>
    <n v="130"/>
    <n v="33"/>
    <s v="Regular"/>
    <n v="0.58291457286432158"/>
    <n v="36"/>
    <n v="69"/>
  </r>
  <r>
    <s v="815"/>
    <n v="72"/>
    <n v="32"/>
    <x v="535"/>
    <n v="650"/>
    <n v="110"/>
    <s v="Major Market"/>
    <x v="0"/>
    <n v="23"/>
    <x v="0"/>
    <x v="1"/>
    <x v="11"/>
    <n v="82"/>
    <n v="194"/>
    <s v="Illinois"/>
    <n v="50"/>
    <n v="80"/>
    <n v="50"/>
    <n v="130"/>
    <n v="55"/>
    <s v="Regular"/>
    <n v="0.42268041237113402"/>
    <n v="32"/>
    <n v="64"/>
  </r>
  <r>
    <s v="636"/>
    <n v="65"/>
    <n v="-18"/>
    <x v="536"/>
    <n v="1053"/>
    <n v="77"/>
    <s v="Small Market"/>
    <x v="0"/>
    <n v="20"/>
    <x v="1"/>
    <x v="3"/>
    <x v="5"/>
    <n v="52"/>
    <n v="151"/>
    <s v="Missouri"/>
    <n v="50"/>
    <n v="80"/>
    <n v="70"/>
    <n v="130"/>
    <n v="42"/>
    <s v="Decaf"/>
    <n v="0.3443708609271523"/>
    <n v="-18"/>
    <n v="21"/>
  </r>
  <r>
    <s v="417"/>
    <n v="32"/>
    <n v="-38"/>
    <x v="537"/>
    <n v="833"/>
    <n v="47"/>
    <s v="Small Market"/>
    <x v="0"/>
    <n v="8"/>
    <x v="1"/>
    <x v="2"/>
    <x v="4"/>
    <n v="42"/>
    <n v="84"/>
    <s v="Missouri"/>
    <n v="30"/>
    <n v="80"/>
    <n v="80"/>
    <n v="110"/>
    <n v="19"/>
    <s v="Decaf"/>
    <n v="0.5"/>
    <n v="-38"/>
    <n v="-26"/>
  </r>
  <r>
    <s v="405"/>
    <n v="82"/>
    <n v="36"/>
    <x v="538"/>
    <n v="788"/>
    <n v="123"/>
    <s v="Small Market"/>
    <x v="1"/>
    <n v="27"/>
    <x v="1"/>
    <x v="2"/>
    <x v="4"/>
    <n v="96"/>
    <n v="218"/>
    <s v="Oklahoma"/>
    <n v="50"/>
    <n v="80"/>
    <n v="60"/>
    <n v="130"/>
    <n v="58"/>
    <s v="Decaf"/>
    <n v="0.44036697247706424"/>
    <n v="36"/>
    <n v="88"/>
  </r>
  <r>
    <s v="414"/>
    <n v="56"/>
    <n v="-28"/>
    <x v="539"/>
    <n v="385"/>
    <n v="70"/>
    <s v="Small Market"/>
    <x v="0"/>
    <n v="21"/>
    <x v="1"/>
    <x v="3"/>
    <x v="6"/>
    <n v="22"/>
    <n v="134"/>
    <s v="Wisconsin"/>
    <n v="40"/>
    <n v="80"/>
    <n v="50"/>
    <n v="120"/>
    <n v="55"/>
    <s v="Regular"/>
    <n v="0.16417910447761194"/>
    <n v="-28"/>
    <n v="14"/>
  </r>
  <r>
    <s v="405"/>
    <n v="91"/>
    <n v="43"/>
    <x v="540"/>
    <n v="-1785"/>
    <n v="127"/>
    <s v="Small Market"/>
    <x v="1"/>
    <n v="28"/>
    <x v="1"/>
    <x v="2"/>
    <x v="9"/>
    <n v="113"/>
    <n v="232"/>
    <s v="Oklahoma"/>
    <n v="50"/>
    <n v="80"/>
    <n v="70"/>
    <n v="130"/>
    <n v="51"/>
    <s v="Regular"/>
    <n v="0.48706896551724138"/>
    <n v="43"/>
    <n v="102"/>
  </r>
  <r>
    <s v="715"/>
    <n v="60"/>
    <n v="5"/>
    <x v="541"/>
    <n v="329"/>
    <n v="99"/>
    <s v="Small Market"/>
    <x v="0"/>
    <n v="18"/>
    <x v="0"/>
    <x v="0"/>
    <x v="10"/>
    <n v="85"/>
    <n v="169"/>
    <s v="Wisconsin"/>
    <n v="40"/>
    <n v="80"/>
    <n v="80"/>
    <n v="120"/>
    <n v="42"/>
    <s v="Decaf"/>
    <n v="0.50295857988165682"/>
    <n v="5"/>
    <n v="49"/>
  </r>
  <r>
    <s v="937"/>
    <n v="55"/>
    <n v="-16"/>
    <x v="542"/>
    <n v="410"/>
    <n v="69"/>
    <s v="Major Market"/>
    <x v="0"/>
    <n v="20"/>
    <x v="1"/>
    <x v="2"/>
    <x v="4"/>
    <n v="24"/>
    <n v="132"/>
    <s v="Ohio"/>
    <n v="70"/>
    <n v="80"/>
    <n v="40"/>
    <n v="150"/>
    <n v="53"/>
    <s v="Decaf"/>
    <n v="0.18181818181818182"/>
    <n v="-16"/>
    <n v="-18"/>
  </r>
  <r>
    <s v="234"/>
    <n v="59"/>
    <n v="-1"/>
    <x v="543"/>
    <n v="411"/>
    <n v="79"/>
    <s v="Major Market"/>
    <x v="0"/>
    <n v="19"/>
    <x v="1"/>
    <x v="3"/>
    <x v="6"/>
    <n v="49"/>
    <n v="147"/>
    <s v="Ohio"/>
    <n v="50"/>
    <n v="80"/>
    <n v="50"/>
    <n v="130"/>
    <n v="46"/>
    <s v="Regular"/>
    <n v="0.33333333333333331"/>
    <n v="-1"/>
    <n v="17"/>
  </r>
  <r>
    <s v="209"/>
    <n v="75"/>
    <n v="48"/>
    <x v="544"/>
    <n v="659"/>
    <n v="114"/>
    <s v="Major Market"/>
    <x v="3"/>
    <n v="24"/>
    <x v="0"/>
    <x v="1"/>
    <x v="3"/>
    <n v="88"/>
    <n v="201"/>
    <s v="California"/>
    <n v="50"/>
    <n v="80"/>
    <n v="40"/>
    <n v="130"/>
    <n v="55"/>
    <s v="Regular"/>
    <n v="0.43781094527363185"/>
    <n v="48"/>
    <n v="71"/>
  </r>
  <r>
    <s v="417"/>
    <n v="69"/>
    <n v="16"/>
    <x v="545"/>
    <n v="1060"/>
    <n v="81"/>
    <s v="Small Market"/>
    <x v="0"/>
    <n v="21"/>
    <x v="1"/>
    <x v="3"/>
    <x v="5"/>
    <n v="56"/>
    <n v="160"/>
    <s v="Missouri"/>
    <n v="60"/>
    <n v="80"/>
    <n v="40"/>
    <n v="140"/>
    <n v="43"/>
    <s v="Decaf"/>
    <n v="0.35"/>
    <n v="16"/>
    <n v="20"/>
  </r>
  <r>
    <s v="503"/>
    <n v="46"/>
    <n v="-3"/>
    <x v="546"/>
    <n v="424"/>
    <n v="68"/>
    <s v="Small Market"/>
    <x v="3"/>
    <n v="14"/>
    <x v="1"/>
    <x v="3"/>
    <x v="5"/>
    <n v="47"/>
    <n v="121"/>
    <s v="Oregon"/>
    <n v="50"/>
    <n v="80"/>
    <n v="50"/>
    <n v="130"/>
    <n v="36"/>
    <s v="Decaf"/>
    <n v="0.38842975206611569"/>
    <n v="-3"/>
    <n v="-9"/>
  </r>
  <r>
    <s v="425"/>
    <n v="75"/>
    <n v="27"/>
    <x v="547"/>
    <n v="1063"/>
    <n v="89"/>
    <s v="Small Market"/>
    <x v="3"/>
    <n v="23"/>
    <x v="1"/>
    <x v="2"/>
    <x v="4"/>
    <n v="67"/>
    <n v="175"/>
    <s v="Washington"/>
    <n v="70"/>
    <n v="80"/>
    <n v="40"/>
    <n v="150"/>
    <n v="44"/>
    <s v="Decaf"/>
    <n v="0.38285714285714284"/>
    <n v="27"/>
    <n v="25"/>
  </r>
  <r>
    <s v="475"/>
    <n v="61"/>
    <n v="-7"/>
    <x v="548"/>
    <n v="613"/>
    <n v="86"/>
    <s v="Small Market"/>
    <x v="2"/>
    <n v="55"/>
    <x v="1"/>
    <x v="2"/>
    <x v="8"/>
    <n v="3"/>
    <n v="157"/>
    <s v="Connecticut"/>
    <n v="60"/>
    <n v="80"/>
    <n v="10"/>
    <n v="140"/>
    <n v="84"/>
    <s v="Regular"/>
    <n v="1.9108280254777069E-2"/>
    <n v="-7"/>
    <n v="17"/>
  </r>
  <r>
    <s v="318"/>
    <n v="47"/>
    <n v="5"/>
    <x v="549"/>
    <n v="834"/>
    <n v="68"/>
    <s v="Small Market"/>
    <x v="1"/>
    <n v="13"/>
    <x v="1"/>
    <x v="3"/>
    <x v="7"/>
    <n v="65"/>
    <n v="123"/>
    <s v="Louisiana"/>
    <n v="50"/>
    <n v="80"/>
    <n v="60"/>
    <n v="130"/>
    <n v="24"/>
    <s v="Regular"/>
    <n v="0.52845528455284552"/>
    <n v="5"/>
    <n v="-7"/>
  </r>
  <r>
    <s v="971"/>
    <n v="52"/>
    <n v="-16"/>
    <x v="550"/>
    <n v="509"/>
    <n v="73"/>
    <s v="Small Market"/>
    <x v="3"/>
    <n v="47"/>
    <x v="1"/>
    <x v="3"/>
    <x v="6"/>
    <n v="-6"/>
    <n v="133"/>
    <s v="Oregon"/>
    <n v="60"/>
    <n v="80"/>
    <n v="10"/>
    <n v="140"/>
    <n v="77"/>
    <s v="Regular"/>
    <n v="-4.5112781954887216E-2"/>
    <n v="-16"/>
    <n v="-7"/>
  </r>
  <r>
    <s v="435"/>
    <n v="53"/>
    <n v="-10"/>
    <x v="551"/>
    <n v="380"/>
    <n v="71"/>
    <s v="Small Market"/>
    <x v="3"/>
    <n v="17"/>
    <x v="1"/>
    <x v="3"/>
    <x v="7"/>
    <n v="40"/>
    <n v="132"/>
    <s v="Utah"/>
    <n v="60"/>
    <n v="80"/>
    <n v="50"/>
    <n v="140"/>
    <n v="44"/>
    <s v="Regular"/>
    <n v="0.30303030303030304"/>
    <n v="-10"/>
    <n v="-8"/>
  </r>
  <r>
    <s v="541"/>
    <n v="59"/>
    <n v="-1"/>
    <x v="552"/>
    <n v="411"/>
    <n v="79"/>
    <s v="Small Market"/>
    <x v="3"/>
    <n v="19"/>
    <x v="1"/>
    <x v="2"/>
    <x v="8"/>
    <n v="49"/>
    <n v="147"/>
    <s v="Oregon"/>
    <n v="50"/>
    <n v="80"/>
    <n v="50"/>
    <n v="130"/>
    <n v="46"/>
    <s v="Regular"/>
    <n v="0.33333333333333331"/>
    <n v="-1"/>
    <n v="17"/>
  </r>
  <r>
    <s v="262"/>
    <n v="53"/>
    <n v="21"/>
    <x v="553"/>
    <n v="321"/>
    <n v="88"/>
    <s v="Small Market"/>
    <x v="0"/>
    <n v="16"/>
    <x v="0"/>
    <x v="0"/>
    <x v="10"/>
    <n v="71"/>
    <n v="150"/>
    <s v="Wisconsin"/>
    <n v="50"/>
    <n v="80"/>
    <n v="50"/>
    <n v="130"/>
    <n v="40"/>
    <s v="Decaf"/>
    <n v="0.47333333333333333"/>
    <n v="21"/>
    <n v="20"/>
  </r>
  <r>
    <s v="860"/>
    <n v="54"/>
    <n v="16"/>
    <x v="554"/>
    <n v="885"/>
    <n v="78"/>
    <s v="Small Market"/>
    <x v="2"/>
    <n v="15"/>
    <x v="0"/>
    <x v="1"/>
    <x v="2"/>
    <n v="76"/>
    <n v="141"/>
    <s v="Connecticut"/>
    <n v="50"/>
    <n v="80"/>
    <n v="60"/>
    <n v="130"/>
    <n v="27"/>
    <s v="Regular"/>
    <n v="0.53900709219858156"/>
    <n v="16"/>
    <n v="11"/>
  </r>
  <r>
    <s v="419"/>
    <n v="46"/>
    <n v="-31"/>
    <x v="555"/>
    <n v="422"/>
    <n v="57"/>
    <s v="Major Market"/>
    <x v="0"/>
    <n v="17"/>
    <x v="1"/>
    <x v="2"/>
    <x v="4"/>
    <n v="9"/>
    <n v="110"/>
    <s v="Ohio"/>
    <n v="50"/>
    <n v="80"/>
    <n v="40"/>
    <n v="130"/>
    <n v="51"/>
    <s v="Decaf"/>
    <n v="8.1818181818181818E-2"/>
    <n v="-31"/>
    <n v="-20"/>
  </r>
  <r>
    <s v="708"/>
    <n v="67"/>
    <n v="30"/>
    <x v="556"/>
    <n v="677"/>
    <n v="101"/>
    <s v="Major Market"/>
    <x v="0"/>
    <n v="22"/>
    <x v="0"/>
    <x v="1"/>
    <x v="11"/>
    <n v="70"/>
    <n v="179"/>
    <s v="Illinois"/>
    <n v="50"/>
    <n v="80"/>
    <n v="40"/>
    <n v="130"/>
    <n v="54"/>
    <s v="Regular"/>
    <n v="0.39106145251396646"/>
    <n v="30"/>
    <n v="49"/>
  </r>
  <r>
    <s v="585"/>
    <n v="54"/>
    <n v="17"/>
    <x v="557"/>
    <n v="601"/>
    <n v="79"/>
    <s v="Major Market"/>
    <x v="2"/>
    <n v="15"/>
    <x v="0"/>
    <x v="1"/>
    <x v="3"/>
    <n v="77"/>
    <n v="142"/>
    <s v="New York"/>
    <n v="50"/>
    <n v="80"/>
    <n v="60"/>
    <n v="130"/>
    <n v="27"/>
    <s v="Regular"/>
    <n v="0.54225352112676062"/>
    <n v="17"/>
    <n v="12"/>
  </r>
  <r>
    <s v="510"/>
    <n v="67"/>
    <n v="20"/>
    <x v="558"/>
    <n v="677"/>
    <n v="101"/>
    <s v="Major Market"/>
    <x v="3"/>
    <n v="22"/>
    <x v="0"/>
    <x v="1"/>
    <x v="3"/>
    <n v="70"/>
    <n v="179"/>
    <s v="California"/>
    <n v="40"/>
    <n v="80"/>
    <n v="50"/>
    <n v="120"/>
    <n v="54"/>
    <s v="Regular"/>
    <n v="0.39106145251396646"/>
    <n v="20"/>
    <n v="59"/>
  </r>
  <r>
    <s v="541"/>
    <n v="41"/>
    <n v="-13"/>
    <x v="559"/>
    <n v="435"/>
    <n v="60"/>
    <s v="Small Market"/>
    <x v="3"/>
    <n v="13"/>
    <x v="1"/>
    <x v="3"/>
    <x v="5"/>
    <n v="37"/>
    <n v="108"/>
    <s v="Oregon"/>
    <n v="40"/>
    <n v="80"/>
    <n v="50"/>
    <n v="120"/>
    <n v="35"/>
    <s v="Decaf"/>
    <n v="0.34259259259259262"/>
    <n v="-13"/>
    <n v="-12"/>
  </r>
  <r>
    <s v="920"/>
    <n v="65"/>
    <n v="3"/>
    <x v="560"/>
    <n v="403"/>
    <n v="80"/>
    <s v="Small Market"/>
    <x v="0"/>
    <n v="24"/>
    <x v="1"/>
    <x v="3"/>
    <x v="6"/>
    <n v="33"/>
    <n v="155"/>
    <s v="Wisconsin"/>
    <n v="60"/>
    <n v="80"/>
    <n v="30"/>
    <n v="140"/>
    <n v="58"/>
    <s v="Regular"/>
    <n v="0.2129032258064516"/>
    <n v="3"/>
    <n v="15"/>
  </r>
  <r>
    <s v="541"/>
    <n v="47"/>
    <n v="-30"/>
    <x v="561"/>
    <n v="521"/>
    <n v="65"/>
    <s v="Small Market"/>
    <x v="3"/>
    <n v="42"/>
    <x v="1"/>
    <x v="3"/>
    <x v="6"/>
    <n v="-10"/>
    <n v="119"/>
    <s v="Oregon"/>
    <n v="50"/>
    <n v="80"/>
    <n v="20"/>
    <n v="130"/>
    <n v="72"/>
    <s v="Regular"/>
    <n v="-8.4033613445378158E-2"/>
    <n v="-30"/>
    <n v="-11"/>
  </r>
  <r>
    <s v="435"/>
    <n v="49"/>
    <n v="-19"/>
    <x v="562"/>
    <n v="392"/>
    <n v="65"/>
    <s v="Small Market"/>
    <x v="3"/>
    <n v="16"/>
    <x v="1"/>
    <x v="3"/>
    <x v="7"/>
    <n v="31"/>
    <n v="121"/>
    <s v="Utah"/>
    <n v="50"/>
    <n v="80"/>
    <n v="50"/>
    <n v="130"/>
    <n v="44"/>
    <s v="Regular"/>
    <n v="0.256198347107438"/>
    <n v="-19"/>
    <n v="-9"/>
  </r>
  <r>
    <s v="509"/>
    <n v="65"/>
    <n v="4"/>
    <x v="563"/>
    <n v="403"/>
    <n v="80"/>
    <s v="Small Market"/>
    <x v="3"/>
    <n v="24"/>
    <x v="1"/>
    <x v="2"/>
    <x v="8"/>
    <n v="34"/>
    <n v="155"/>
    <s v="Washington"/>
    <n v="60"/>
    <n v="80"/>
    <n v="30"/>
    <n v="140"/>
    <n v="57"/>
    <s v="Regular"/>
    <n v="0.21935483870967742"/>
    <n v="4"/>
    <n v="15"/>
  </r>
  <r>
    <s v="318"/>
    <n v="68"/>
    <n v="9"/>
    <x v="564"/>
    <n v="619"/>
    <n v="85"/>
    <s v="Small Market"/>
    <x v="1"/>
    <n v="25"/>
    <x v="0"/>
    <x v="0"/>
    <x v="0"/>
    <n v="39"/>
    <n v="163"/>
    <s v="Louisiana"/>
    <n v="60"/>
    <n v="80"/>
    <n v="30"/>
    <n v="140"/>
    <n v="59"/>
    <s v="Decaf"/>
    <n v="0.2392638036809816"/>
    <n v="9"/>
    <n v="23"/>
  </r>
  <r>
    <s v="214"/>
    <n v="39"/>
    <n v="-54"/>
    <x v="565"/>
    <n v="541"/>
    <n v="51"/>
    <s v="Major Market"/>
    <x v="1"/>
    <n v="12"/>
    <x v="1"/>
    <x v="3"/>
    <x v="5"/>
    <n v="26"/>
    <n v="90"/>
    <s v="Texas"/>
    <n v="40"/>
    <n v="90"/>
    <n v="80"/>
    <n v="130"/>
    <n v="25"/>
    <s v="Decaf"/>
    <n v="0.28888888888888886"/>
    <n v="-54"/>
    <n v="-40"/>
  </r>
  <r>
    <s v="936"/>
    <n v="239"/>
    <n v="-155"/>
    <x v="566"/>
    <n v="1246"/>
    <n v="281"/>
    <s v="Major Market"/>
    <x v="1"/>
    <n v="74"/>
    <x v="1"/>
    <x v="3"/>
    <x v="7"/>
    <n v="185"/>
    <n v="520"/>
    <s v="Texas"/>
    <n v="350"/>
    <n v="420"/>
    <n v="340"/>
    <n v="770"/>
    <n v="96"/>
    <s v="Regular"/>
    <n v="0.35576923076923078"/>
    <n v="-155"/>
    <n v="-250"/>
  </r>
  <r>
    <s v="210"/>
    <n v="123"/>
    <n v="33"/>
    <x v="567"/>
    <n v="915"/>
    <n v="179"/>
    <s v="Major Market"/>
    <x v="1"/>
    <n v="34"/>
    <x v="1"/>
    <x v="2"/>
    <x v="8"/>
    <n v="133"/>
    <n v="302"/>
    <s v="Texas"/>
    <n v="70"/>
    <n v="120"/>
    <n v="100"/>
    <n v="190"/>
    <n v="46"/>
    <s v="Regular"/>
    <n v="0.44039735099337746"/>
    <n v="33"/>
    <n v="112"/>
  </r>
  <r>
    <s v="225"/>
    <n v="48"/>
    <n v="-35"/>
    <x v="568"/>
    <n v="851"/>
    <n v="70"/>
    <s v="Small Market"/>
    <x v="1"/>
    <n v="13"/>
    <x v="1"/>
    <x v="3"/>
    <x v="5"/>
    <n v="45"/>
    <n v="118"/>
    <s v="Louisiana"/>
    <n v="70"/>
    <n v="90"/>
    <n v="80"/>
    <n v="160"/>
    <n v="25"/>
    <s v="Decaf"/>
    <n v="0.38135593220338981"/>
    <n v="-35"/>
    <n v="-42"/>
  </r>
  <r>
    <s v="225"/>
    <n v="48"/>
    <n v="-33"/>
    <x v="569"/>
    <n v="829"/>
    <n v="71"/>
    <s v="Small Market"/>
    <x v="1"/>
    <n v="13"/>
    <x v="1"/>
    <x v="3"/>
    <x v="7"/>
    <n v="47"/>
    <n v="119"/>
    <s v="Louisiana"/>
    <n v="70"/>
    <n v="90"/>
    <n v="80"/>
    <n v="160"/>
    <n v="24"/>
    <s v="Regular"/>
    <n v="0.3949579831932773"/>
    <n v="-33"/>
    <n v="-41"/>
  </r>
  <r>
    <s v="505"/>
    <n v="45"/>
    <n v="-57"/>
    <x v="570"/>
    <n v="447"/>
    <n v="69"/>
    <s v="Small Market"/>
    <x v="1"/>
    <n v="14"/>
    <x v="1"/>
    <x v="3"/>
    <x v="7"/>
    <n v="23"/>
    <n v="114"/>
    <s v="New Mexico"/>
    <n v="50"/>
    <n v="110"/>
    <n v="80"/>
    <n v="160"/>
    <n v="46"/>
    <s v="Regular"/>
    <n v="0.20175438596491227"/>
    <n v="-57"/>
    <n v="-46"/>
  </r>
  <r>
    <s v="918"/>
    <n v="90"/>
    <n v="-66"/>
    <x v="571"/>
    <n v="572"/>
    <n v="115"/>
    <s v="Small Market"/>
    <x v="1"/>
    <n v="29"/>
    <x v="1"/>
    <x v="3"/>
    <x v="7"/>
    <n v="74"/>
    <n v="205"/>
    <s v="Oklahoma"/>
    <n v="130"/>
    <n v="160"/>
    <n v="140"/>
    <n v="290"/>
    <n v="41"/>
    <s v="Regular"/>
    <n v="0.36097560975609755"/>
    <n v="-66"/>
    <n v="-85"/>
  </r>
  <r>
    <s v="505"/>
    <n v="25"/>
    <n v="-22"/>
    <x v="572"/>
    <n v="-466"/>
    <n v="31"/>
    <s v="Small Market"/>
    <x v="1"/>
    <n v="9"/>
    <x v="1"/>
    <x v="2"/>
    <x v="9"/>
    <n v="-12"/>
    <n v="56"/>
    <s v="New Mexico"/>
    <n v="10"/>
    <n v="20"/>
    <n v="10"/>
    <n v="30"/>
    <n v="43"/>
    <s v="Regular"/>
    <n v="-0.21428571428571427"/>
    <n v="-22"/>
    <n v="26"/>
  </r>
  <r>
    <s v="225"/>
    <n v="103"/>
    <n v="-23"/>
    <x v="573"/>
    <n v="564"/>
    <n v="133"/>
    <s v="Small Market"/>
    <x v="1"/>
    <n v="33"/>
    <x v="0"/>
    <x v="0"/>
    <x v="10"/>
    <n v="87"/>
    <n v="236"/>
    <s v="Louisiana"/>
    <n v="80"/>
    <n v="130"/>
    <n v="110"/>
    <n v="210"/>
    <n v="46"/>
    <s v="Decaf"/>
    <n v="0.36864406779661019"/>
    <n v="-23"/>
    <n v="26"/>
  </r>
  <r>
    <s v="504"/>
    <n v="79"/>
    <n v="-26"/>
    <x v="574"/>
    <n v="593"/>
    <n v="98"/>
    <s v="Small Market"/>
    <x v="1"/>
    <n v="30"/>
    <x v="0"/>
    <x v="0"/>
    <x v="0"/>
    <n v="34"/>
    <n v="177"/>
    <s v="Louisiana"/>
    <n v="60"/>
    <n v="90"/>
    <n v="60"/>
    <n v="150"/>
    <n v="64"/>
    <s v="Decaf"/>
    <n v="0.19209039548022599"/>
    <n v="-26"/>
    <n v="27"/>
  </r>
  <r>
    <s v="405"/>
    <n v="96"/>
    <n v="-23"/>
    <x v="575"/>
    <n v="683"/>
    <n v="134"/>
    <s v="Small Market"/>
    <x v="1"/>
    <n v="87"/>
    <x v="0"/>
    <x v="0"/>
    <x v="0"/>
    <n v="17"/>
    <n v="230"/>
    <s v="Oklahoma"/>
    <n v="80"/>
    <n v="120"/>
    <n v="40"/>
    <n v="200"/>
    <n v="117"/>
    <s v="Decaf"/>
    <n v="7.3913043478260873E-2"/>
    <n v="-23"/>
    <n v="30"/>
  </r>
  <r>
    <s v="956"/>
    <n v="225"/>
    <n v="-56"/>
    <x v="576"/>
    <n v="1272"/>
    <n v="265"/>
    <s v="Major Market"/>
    <x v="1"/>
    <n v="69"/>
    <x v="1"/>
    <x v="3"/>
    <x v="7"/>
    <n v="174"/>
    <n v="490"/>
    <s v="Texas"/>
    <n v="260"/>
    <n v="320"/>
    <n v="230"/>
    <n v="580"/>
    <n v="91"/>
    <s v="Regular"/>
    <n v="0.35510204081632651"/>
    <n v="-56"/>
    <n v="-90"/>
  </r>
  <r>
    <s v="817"/>
    <n v="75"/>
    <n v="19"/>
    <x v="577"/>
    <n v="-1050"/>
    <n v="114"/>
    <s v="Major Market"/>
    <x v="1"/>
    <n v="24"/>
    <x v="1"/>
    <x v="2"/>
    <x v="9"/>
    <n v="59"/>
    <n v="189"/>
    <s v="Texas"/>
    <n v="50"/>
    <n v="90"/>
    <n v="40"/>
    <n v="140"/>
    <n v="55"/>
    <s v="Regular"/>
    <n v="0.31216931216931215"/>
    <n v="19"/>
    <n v="49"/>
  </r>
  <r>
    <s v="409"/>
    <n v="118"/>
    <n v="27"/>
    <x v="578"/>
    <n v="930"/>
    <n v="172"/>
    <s v="Major Market"/>
    <x v="1"/>
    <n v="33"/>
    <x v="1"/>
    <x v="2"/>
    <x v="8"/>
    <n v="127"/>
    <n v="290"/>
    <s v="Texas"/>
    <n v="90"/>
    <n v="130"/>
    <n v="100"/>
    <n v="220"/>
    <n v="45"/>
    <s v="Regular"/>
    <n v="0.43793103448275861"/>
    <n v="27"/>
    <n v="70"/>
  </r>
  <r>
    <s v="918"/>
    <n v="78"/>
    <n v="22"/>
    <x v="579"/>
    <n v="798"/>
    <n v="119"/>
    <s v="Small Market"/>
    <x v="1"/>
    <n v="25"/>
    <x v="1"/>
    <x v="2"/>
    <x v="4"/>
    <n v="62"/>
    <n v="197"/>
    <s v="Oklahoma"/>
    <n v="60"/>
    <n v="90"/>
    <n v="40"/>
    <n v="150"/>
    <n v="57"/>
    <s v="Decaf"/>
    <n v="0.31472081218274112"/>
    <n v="22"/>
    <n v="47"/>
  </r>
  <r>
    <s v="918"/>
    <n v="88"/>
    <n v="-19"/>
    <x v="580"/>
    <n v="561"/>
    <n v="112"/>
    <s v="Small Market"/>
    <x v="1"/>
    <n v="29"/>
    <x v="1"/>
    <x v="3"/>
    <x v="7"/>
    <n v="71"/>
    <n v="200"/>
    <s v="Oklahoma"/>
    <n v="100"/>
    <n v="130"/>
    <n v="90"/>
    <n v="230"/>
    <n v="41"/>
    <s v="Regular"/>
    <n v="0.35499999999999998"/>
    <n v="-19"/>
    <n v="-30"/>
  </r>
  <r>
    <s v="918"/>
    <n v="102"/>
    <n v="29"/>
    <x v="581"/>
    <n v="-2003"/>
    <n v="143"/>
    <s v="Small Market"/>
    <x v="1"/>
    <n v="31"/>
    <x v="1"/>
    <x v="2"/>
    <x v="9"/>
    <n v="89"/>
    <n v="245"/>
    <s v="Oklahoma"/>
    <n v="80"/>
    <n v="100"/>
    <n v="60"/>
    <n v="180"/>
    <n v="54"/>
    <s v="Regular"/>
    <n v="0.36326530612244901"/>
    <n v="29"/>
    <n v="65"/>
  </r>
  <r>
    <s v="337"/>
    <n v="101"/>
    <n v="5"/>
    <x v="582"/>
    <n v="552"/>
    <n v="130"/>
    <s v="Small Market"/>
    <x v="1"/>
    <n v="33"/>
    <x v="0"/>
    <x v="0"/>
    <x v="10"/>
    <n v="85"/>
    <n v="231"/>
    <s v="Louisiana"/>
    <n v="90"/>
    <n v="120"/>
    <n v="80"/>
    <n v="210"/>
    <n v="45"/>
    <s v="Decaf"/>
    <n v="0.36796536796536794"/>
    <n v="5"/>
    <n v="21"/>
  </r>
  <r>
    <s v="505"/>
    <n v="15"/>
    <n v="-1"/>
    <x v="583"/>
    <n v="848"/>
    <n v="24"/>
    <s v="Small Market"/>
    <x v="1"/>
    <n v="4"/>
    <x v="0"/>
    <x v="0"/>
    <x v="10"/>
    <n v="9"/>
    <n v="39"/>
    <s v="New Mexico"/>
    <n v="10"/>
    <n v="20"/>
    <n v="10"/>
    <n v="30"/>
    <n v="15"/>
    <s v="Decaf"/>
    <n v="0.23076923076923078"/>
    <n v="-1"/>
    <n v="9"/>
  </r>
  <r>
    <s v="337"/>
    <n v="82"/>
    <n v="-2"/>
    <x v="584"/>
    <n v="601"/>
    <n v="102"/>
    <s v="Small Market"/>
    <x v="1"/>
    <n v="31"/>
    <x v="0"/>
    <x v="0"/>
    <x v="0"/>
    <n v="38"/>
    <n v="184"/>
    <s v="Louisiana"/>
    <n v="70"/>
    <n v="100"/>
    <n v="40"/>
    <n v="170"/>
    <n v="64"/>
    <s v="Decaf"/>
    <n v="0.20652173913043478"/>
    <n v="-2"/>
    <n v="14"/>
  </r>
  <r>
    <s v="580"/>
    <n v="94"/>
    <n v="-5"/>
    <x v="585"/>
    <n v="694"/>
    <n v="130"/>
    <s v="Small Market"/>
    <x v="1"/>
    <n v="85"/>
    <x v="0"/>
    <x v="0"/>
    <x v="0"/>
    <n v="15"/>
    <n v="224"/>
    <s v="Oklahoma"/>
    <n v="80"/>
    <n v="120"/>
    <n v="20"/>
    <n v="200"/>
    <n v="115"/>
    <s v="Decaf"/>
    <n v="6.6964285714285712E-2"/>
    <n v="-5"/>
    <n v="24"/>
  </r>
  <r>
    <s v="972"/>
    <n v="241"/>
    <n v="-52"/>
    <x v="586"/>
    <n v="1321"/>
    <n v="284"/>
    <s v="Major Market"/>
    <x v="1"/>
    <n v="74"/>
    <x v="1"/>
    <x v="3"/>
    <x v="7"/>
    <n v="188"/>
    <n v="525"/>
    <s v="Texas"/>
    <n v="280"/>
    <n v="340"/>
    <n v="240"/>
    <n v="620"/>
    <n v="96"/>
    <s v="Regular"/>
    <n v="0.35809523809523808"/>
    <n v="-52"/>
    <n v="-95"/>
  </r>
  <r>
    <s v="972"/>
    <n v="123"/>
    <n v="23"/>
    <x v="587"/>
    <n v="959"/>
    <n v="179"/>
    <s v="Major Market"/>
    <x v="1"/>
    <n v="34"/>
    <x v="1"/>
    <x v="2"/>
    <x v="8"/>
    <n v="133"/>
    <n v="302"/>
    <s v="Texas"/>
    <n v="90"/>
    <n v="140"/>
    <n v="110"/>
    <n v="230"/>
    <n v="46"/>
    <s v="Regular"/>
    <n v="0.44039735099337746"/>
    <n v="23"/>
    <n v="72"/>
  </r>
  <r>
    <s v="505"/>
    <n v="92"/>
    <n v="-24"/>
    <x v="588"/>
    <n v="1898"/>
    <n v="68"/>
    <s v="Small Market"/>
    <x v="1"/>
    <n v="28"/>
    <x v="1"/>
    <x v="3"/>
    <x v="5"/>
    <n v="16"/>
    <n v="160"/>
    <s v="New Mexico"/>
    <n v="100"/>
    <n v="90"/>
    <n v="40"/>
    <n v="190"/>
    <n v="52"/>
    <s v="Decaf"/>
    <n v="0.1"/>
    <n v="-24"/>
    <n v="-30"/>
  </r>
  <r>
    <s v="405"/>
    <n v="88"/>
    <n v="12"/>
    <x v="589"/>
    <n v="817"/>
    <n v="133"/>
    <s v="Small Market"/>
    <x v="1"/>
    <n v="29"/>
    <x v="1"/>
    <x v="2"/>
    <x v="4"/>
    <n v="72"/>
    <n v="221"/>
    <s v="Oklahoma"/>
    <n v="60"/>
    <n v="110"/>
    <n v="60"/>
    <n v="170"/>
    <n v="61"/>
    <s v="Decaf"/>
    <n v="0.32579185520361992"/>
    <n v="12"/>
    <n v="51"/>
  </r>
  <r>
    <s v="318"/>
    <n v="49"/>
    <n v="-24"/>
    <x v="590"/>
    <n v="845"/>
    <n v="71"/>
    <s v="Small Market"/>
    <x v="1"/>
    <n v="13"/>
    <x v="1"/>
    <x v="3"/>
    <x v="7"/>
    <n v="46"/>
    <n v="120"/>
    <s v="Louisiana"/>
    <n v="50"/>
    <n v="90"/>
    <n v="70"/>
    <n v="140"/>
    <n v="25"/>
    <s v="Regular"/>
    <n v="0.38333333333333336"/>
    <n v="-24"/>
    <n v="-20"/>
  </r>
  <r>
    <s v="505"/>
    <n v="48"/>
    <n v="-23"/>
    <x v="591"/>
    <n v="462"/>
    <n v="74"/>
    <s v="Small Market"/>
    <x v="1"/>
    <n v="15"/>
    <x v="1"/>
    <x v="3"/>
    <x v="7"/>
    <n v="27"/>
    <n v="122"/>
    <s v="New Mexico"/>
    <n v="50"/>
    <n v="90"/>
    <n v="50"/>
    <n v="140"/>
    <n v="47"/>
    <s v="Regular"/>
    <n v="0.22131147540983606"/>
    <n v="-23"/>
    <n v="-18"/>
  </r>
  <r>
    <s v="405"/>
    <n v="81"/>
    <n v="-34"/>
    <x v="592"/>
    <n v="551"/>
    <n v="104"/>
    <s v="Small Market"/>
    <x v="1"/>
    <n v="26"/>
    <x v="1"/>
    <x v="3"/>
    <x v="7"/>
    <n v="66"/>
    <n v="185"/>
    <s v="Oklahoma"/>
    <n v="90"/>
    <n v="130"/>
    <n v="100"/>
    <n v="220"/>
    <n v="38"/>
    <s v="Regular"/>
    <n v="0.35675675675675678"/>
    <n v="-34"/>
    <n v="-35"/>
  </r>
  <r>
    <s v="505"/>
    <n v="20"/>
    <n v="-5"/>
    <x v="593"/>
    <n v="-598"/>
    <n v="25"/>
    <s v="Small Market"/>
    <x v="1"/>
    <n v="7"/>
    <x v="1"/>
    <x v="2"/>
    <x v="9"/>
    <n v="-15"/>
    <n v="45"/>
    <s v="New Mexico"/>
    <n v="10"/>
    <n v="20"/>
    <n v="-10"/>
    <n v="30"/>
    <n v="40"/>
    <s v="Regular"/>
    <n v="-0.33333333333333331"/>
    <n v="-5"/>
    <n v="15"/>
  </r>
  <r>
    <s v="918"/>
    <n v="134"/>
    <n v="31"/>
    <x v="594"/>
    <n v="-2248"/>
    <n v="186"/>
    <s v="Small Market"/>
    <x v="1"/>
    <n v="41"/>
    <x v="1"/>
    <x v="2"/>
    <x v="9"/>
    <n v="121"/>
    <n v="320"/>
    <s v="Oklahoma"/>
    <n v="100"/>
    <n v="140"/>
    <n v="90"/>
    <n v="240"/>
    <n v="65"/>
    <s v="Regular"/>
    <n v="0.37812499999999999"/>
    <n v="31"/>
    <n v="80"/>
  </r>
  <r>
    <s v="225"/>
    <n v="94"/>
    <n v="7"/>
    <x v="595"/>
    <n v="540"/>
    <n v="120"/>
    <s v="Small Market"/>
    <x v="1"/>
    <n v="31"/>
    <x v="0"/>
    <x v="0"/>
    <x v="10"/>
    <n v="77"/>
    <n v="214"/>
    <s v="Louisiana"/>
    <n v="80"/>
    <n v="110"/>
    <n v="70"/>
    <n v="190"/>
    <n v="43"/>
    <s v="Decaf"/>
    <n v="0.35981308411214952"/>
    <n v="7"/>
    <n v="24"/>
  </r>
  <r>
    <s v="505"/>
    <n v="16"/>
    <n v="-1"/>
    <x v="596"/>
    <n v="851"/>
    <n v="25"/>
    <s v="Small Market"/>
    <x v="1"/>
    <n v="4"/>
    <x v="0"/>
    <x v="0"/>
    <x v="10"/>
    <n v="9"/>
    <n v="41"/>
    <s v="New Mexico"/>
    <n v="10"/>
    <n v="20"/>
    <n v="10"/>
    <n v="30"/>
    <n v="16"/>
    <s v="Decaf"/>
    <n v="0.21951219512195122"/>
    <n v="-1"/>
    <n v="11"/>
  </r>
  <r>
    <s v="580"/>
    <n v="105"/>
    <n v="-10"/>
    <x v="597"/>
    <n v="716"/>
    <n v="145"/>
    <s v="Small Market"/>
    <x v="1"/>
    <n v="95"/>
    <x v="0"/>
    <x v="0"/>
    <x v="0"/>
    <n v="20"/>
    <n v="250"/>
    <s v="Oklahoma"/>
    <n v="90"/>
    <n v="140"/>
    <n v="30"/>
    <n v="230"/>
    <n v="125"/>
    <s v="Decaf"/>
    <n v="0.08"/>
    <n v="-10"/>
    <n v="20"/>
  </r>
  <r>
    <s v="281"/>
    <n v="39"/>
    <n v="-41"/>
    <x v="598"/>
    <n v="541"/>
    <n v="51"/>
    <s v="Major Market"/>
    <x v="1"/>
    <n v="12"/>
    <x v="1"/>
    <x v="3"/>
    <x v="5"/>
    <n v="39"/>
    <n v="96"/>
    <s v="Texas"/>
    <n v="40"/>
    <n v="90"/>
    <n v="80"/>
    <n v="130"/>
    <n v="25"/>
    <s v="Decaf"/>
    <n v="0.40625"/>
    <n v="-41"/>
    <n v="-34"/>
  </r>
  <r>
    <s v="432"/>
    <n v="239"/>
    <n v="-65"/>
    <x v="599"/>
    <n v="1246"/>
    <n v="281"/>
    <s v="Major Market"/>
    <x v="1"/>
    <n v="74"/>
    <x v="1"/>
    <x v="3"/>
    <x v="7"/>
    <n v="275"/>
    <n v="554"/>
    <s v="Texas"/>
    <n v="350"/>
    <n v="420"/>
    <n v="340"/>
    <n v="770"/>
    <n v="96"/>
    <s v="Regular"/>
    <n v="0.49638989169675091"/>
    <n v="-65"/>
    <n v="-216"/>
  </r>
  <r>
    <s v="817"/>
    <n v="123"/>
    <n v="97"/>
    <x v="600"/>
    <n v="915"/>
    <n v="179"/>
    <s v="Major Market"/>
    <x v="1"/>
    <n v="34"/>
    <x v="1"/>
    <x v="2"/>
    <x v="8"/>
    <n v="197"/>
    <n v="322"/>
    <s v="Texas"/>
    <n v="70"/>
    <n v="120"/>
    <n v="100"/>
    <n v="190"/>
    <n v="46"/>
    <s v="Regular"/>
    <n v="0.61180124223602483"/>
    <n v="97"/>
    <n v="132"/>
  </r>
  <r>
    <s v="985"/>
    <n v="48"/>
    <n v="-13"/>
    <x v="601"/>
    <n v="851"/>
    <n v="70"/>
    <s v="Small Market"/>
    <x v="1"/>
    <n v="13"/>
    <x v="1"/>
    <x v="3"/>
    <x v="5"/>
    <n v="67"/>
    <n v="126"/>
    <s v="Louisiana"/>
    <n v="70"/>
    <n v="90"/>
    <n v="80"/>
    <n v="160"/>
    <n v="25"/>
    <s v="Decaf"/>
    <n v="0.53174603174603174"/>
    <n v="-13"/>
    <n v="-34"/>
  </r>
  <r>
    <s v="337"/>
    <n v="48"/>
    <n v="-10"/>
    <x v="602"/>
    <n v="829"/>
    <n v="71"/>
    <s v="Small Market"/>
    <x v="1"/>
    <n v="13"/>
    <x v="1"/>
    <x v="3"/>
    <x v="7"/>
    <n v="70"/>
    <n v="127"/>
    <s v="Louisiana"/>
    <n v="70"/>
    <n v="90"/>
    <n v="80"/>
    <n v="160"/>
    <n v="24"/>
    <s v="Regular"/>
    <n v="0.55118110236220474"/>
    <n v="-10"/>
    <n v="-33"/>
  </r>
  <r>
    <s v="505"/>
    <n v="45"/>
    <n v="-46"/>
    <x v="603"/>
    <n v="447"/>
    <n v="69"/>
    <s v="Small Market"/>
    <x v="1"/>
    <n v="14"/>
    <x v="1"/>
    <x v="3"/>
    <x v="7"/>
    <n v="34"/>
    <n v="121"/>
    <s v="New Mexico"/>
    <n v="50"/>
    <n v="110"/>
    <n v="80"/>
    <n v="160"/>
    <n v="46"/>
    <s v="Regular"/>
    <n v="0.28099173553719009"/>
    <n v="-46"/>
    <n v="-39"/>
  </r>
  <r>
    <s v="918"/>
    <n v="90"/>
    <n v="-30"/>
    <x v="604"/>
    <n v="572"/>
    <n v="115"/>
    <s v="Small Market"/>
    <x v="1"/>
    <n v="29"/>
    <x v="1"/>
    <x v="3"/>
    <x v="7"/>
    <n v="110"/>
    <n v="218"/>
    <s v="Oklahoma"/>
    <n v="130"/>
    <n v="160"/>
    <n v="140"/>
    <n v="290"/>
    <n v="41"/>
    <s v="Regular"/>
    <n v="0.50458715596330272"/>
    <n v="-30"/>
    <n v="-72"/>
  </r>
  <r>
    <s v="505"/>
    <n v="25"/>
    <n v="-28"/>
    <x v="605"/>
    <n v="-466"/>
    <n v="31"/>
    <s v="Small Market"/>
    <x v="1"/>
    <n v="9"/>
    <x v="1"/>
    <x v="2"/>
    <x v="9"/>
    <n v="-18"/>
    <n v="60"/>
    <s v="New Mexico"/>
    <n v="10"/>
    <n v="20"/>
    <n v="10"/>
    <n v="30"/>
    <n v="43"/>
    <s v="Regular"/>
    <n v="-0.3"/>
    <n v="-28"/>
    <n v="30"/>
  </r>
  <r>
    <s v="318"/>
    <n v="103"/>
    <n v="19"/>
    <x v="606"/>
    <n v="564"/>
    <n v="133"/>
    <s v="Small Market"/>
    <x v="1"/>
    <n v="33"/>
    <x v="0"/>
    <x v="0"/>
    <x v="10"/>
    <n v="129"/>
    <n v="251"/>
    <s v="Louisiana"/>
    <n v="80"/>
    <n v="130"/>
    <n v="110"/>
    <n v="210"/>
    <n v="46"/>
    <s v="Decaf"/>
    <n v="0.51394422310756971"/>
    <n v="19"/>
    <n v="41"/>
  </r>
  <r>
    <s v="225"/>
    <n v="79"/>
    <n v="-10"/>
    <x v="607"/>
    <n v="593"/>
    <n v="98"/>
    <s v="Small Market"/>
    <x v="1"/>
    <n v="30"/>
    <x v="0"/>
    <x v="0"/>
    <x v="0"/>
    <n v="50"/>
    <n v="189"/>
    <s v="Louisiana"/>
    <n v="60"/>
    <n v="90"/>
    <n v="60"/>
    <n v="150"/>
    <n v="64"/>
    <s v="Decaf"/>
    <n v="0.26455026455026454"/>
    <n v="-10"/>
    <n v="39"/>
  </r>
  <r>
    <s v="918"/>
    <n v="96"/>
    <n v="-15"/>
    <x v="608"/>
    <n v="683"/>
    <n v="134"/>
    <s v="Small Market"/>
    <x v="1"/>
    <n v="87"/>
    <x v="0"/>
    <x v="0"/>
    <x v="0"/>
    <n v="25"/>
    <n v="245"/>
    <s v="Oklahoma"/>
    <n v="80"/>
    <n v="120"/>
    <n v="40"/>
    <n v="200"/>
    <n v="117"/>
    <s v="Decaf"/>
    <n v="0.10204081632653061"/>
    <n v="-15"/>
    <n v="45"/>
  </r>
  <r>
    <s v="432"/>
    <n v="225"/>
    <n v="28"/>
    <x v="609"/>
    <n v="1272"/>
    <n v="265"/>
    <s v="Major Market"/>
    <x v="1"/>
    <n v="69"/>
    <x v="1"/>
    <x v="3"/>
    <x v="7"/>
    <n v="258"/>
    <n v="522"/>
    <s v="Texas"/>
    <n v="260"/>
    <n v="320"/>
    <n v="230"/>
    <n v="580"/>
    <n v="91"/>
    <s v="Regular"/>
    <n v="0.4942528735632184"/>
    <n v="28"/>
    <n v="-58"/>
  </r>
  <r>
    <s v="806"/>
    <n v="75"/>
    <n v="48"/>
    <x v="610"/>
    <n v="-1050"/>
    <n v="114"/>
    <s v="Major Market"/>
    <x v="1"/>
    <n v="24"/>
    <x v="1"/>
    <x v="2"/>
    <x v="9"/>
    <n v="88"/>
    <n v="201"/>
    <s v="Texas"/>
    <n v="50"/>
    <n v="90"/>
    <n v="40"/>
    <n v="140"/>
    <n v="55"/>
    <s v="Regular"/>
    <n v="0.43781094527363185"/>
    <n v="48"/>
    <n v="61"/>
  </r>
  <r>
    <s v="915"/>
    <n v="118"/>
    <n v="88"/>
    <x v="611"/>
    <n v="930"/>
    <n v="172"/>
    <s v="Major Market"/>
    <x v="1"/>
    <n v="33"/>
    <x v="1"/>
    <x v="2"/>
    <x v="8"/>
    <n v="188"/>
    <n v="309"/>
    <s v="Texas"/>
    <n v="90"/>
    <n v="130"/>
    <n v="100"/>
    <n v="220"/>
    <n v="45"/>
    <s v="Regular"/>
    <n v="0.60841423948220064"/>
    <n v="88"/>
    <n v="89"/>
  </r>
  <r>
    <s v="580"/>
    <n v="78"/>
    <n v="52"/>
    <x v="612"/>
    <n v="798"/>
    <n v="119"/>
    <s v="Small Market"/>
    <x v="1"/>
    <n v="25"/>
    <x v="1"/>
    <x v="2"/>
    <x v="4"/>
    <n v="92"/>
    <n v="210"/>
    <s v="Oklahoma"/>
    <n v="60"/>
    <n v="90"/>
    <n v="40"/>
    <n v="150"/>
    <n v="57"/>
    <s v="Decaf"/>
    <n v="0.43809523809523809"/>
    <n v="52"/>
    <n v="60"/>
  </r>
  <r>
    <s v="918"/>
    <n v="88"/>
    <n v="15"/>
    <x v="613"/>
    <n v="561"/>
    <n v="112"/>
    <s v="Small Market"/>
    <x v="1"/>
    <n v="29"/>
    <x v="1"/>
    <x v="3"/>
    <x v="7"/>
    <n v="105"/>
    <n v="213"/>
    <s v="Oklahoma"/>
    <n v="100"/>
    <n v="130"/>
    <n v="90"/>
    <n v="230"/>
    <n v="41"/>
    <s v="Regular"/>
    <n v="0.49295774647887325"/>
    <n v="15"/>
    <n v="-17"/>
  </r>
  <r>
    <s v="405"/>
    <n v="102"/>
    <n v="72"/>
    <x v="614"/>
    <n v="-2003"/>
    <n v="143"/>
    <s v="Small Market"/>
    <x v="1"/>
    <n v="31"/>
    <x v="1"/>
    <x v="2"/>
    <x v="9"/>
    <n v="132"/>
    <n v="261"/>
    <s v="Oklahoma"/>
    <n v="80"/>
    <n v="100"/>
    <n v="60"/>
    <n v="180"/>
    <n v="54"/>
    <s v="Regular"/>
    <n v="0.50574712643678166"/>
    <n v="72"/>
    <n v="81"/>
  </r>
  <r>
    <s v="985"/>
    <n v="101"/>
    <n v="46"/>
    <x v="615"/>
    <n v="552"/>
    <n v="130"/>
    <s v="Small Market"/>
    <x v="1"/>
    <n v="33"/>
    <x v="0"/>
    <x v="0"/>
    <x v="10"/>
    <n v="126"/>
    <n v="246"/>
    <s v="Louisiana"/>
    <n v="90"/>
    <n v="120"/>
    <n v="80"/>
    <n v="210"/>
    <n v="45"/>
    <s v="Decaf"/>
    <n v="0.51219512195121952"/>
    <n v="46"/>
    <n v="36"/>
  </r>
  <r>
    <s v="505"/>
    <n v="15"/>
    <n v="3"/>
    <x v="616"/>
    <n v="848"/>
    <n v="24"/>
    <s v="Small Market"/>
    <x v="1"/>
    <n v="4"/>
    <x v="0"/>
    <x v="0"/>
    <x v="10"/>
    <n v="13"/>
    <n v="42"/>
    <s v="New Mexico"/>
    <n v="10"/>
    <n v="20"/>
    <n v="10"/>
    <n v="30"/>
    <n v="15"/>
    <s v="Decaf"/>
    <n v="0.30952380952380953"/>
    <n v="3"/>
    <n v="12"/>
  </r>
  <r>
    <s v="337"/>
    <n v="82"/>
    <n v="16"/>
    <x v="617"/>
    <n v="601"/>
    <n v="102"/>
    <s v="Small Market"/>
    <x v="1"/>
    <n v="31"/>
    <x v="0"/>
    <x v="0"/>
    <x v="0"/>
    <n v="56"/>
    <n v="196"/>
    <s v="Louisiana"/>
    <n v="70"/>
    <n v="100"/>
    <n v="40"/>
    <n v="170"/>
    <n v="64"/>
    <s v="Decaf"/>
    <n v="0.2857142857142857"/>
    <n v="16"/>
    <n v="26"/>
  </r>
  <r>
    <s v="405"/>
    <n v="94"/>
    <n v="2"/>
    <x v="618"/>
    <n v="694"/>
    <n v="130"/>
    <s v="Small Market"/>
    <x v="1"/>
    <n v="85"/>
    <x v="0"/>
    <x v="0"/>
    <x v="0"/>
    <n v="22"/>
    <n v="239"/>
    <s v="Oklahoma"/>
    <n v="80"/>
    <n v="120"/>
    <n v="20"/>
    <n v="200"/>
    <n v="115"/>
    <s v="Decaf"/>
    <n v="9.2050209205020925E-2"/>
    <n v="2"/>
    <n v="39"/>
  </r>
  <r>
    <s v="409"/>
    <n v="241"/>
    <n v="39"/>
    <x v="619"/>
    <n v="1321"/>
    <n v="284"/>
    <s v="Major Market"/>
    <x v="1"/>
    <n v="74"/>
    <x v="1"/>
    <x v="3"/>
    <x v="7"/>
    <n v="279"/>
    <n v="559"/>
    <s v="Texas"/>
    <n v="280"/>
    <n v="340"/>
    <n v="240"/>
    <n v="620"/>
    <n v="96"/>
    <s v="Regular"/>
    <n v="0.49910554561717352"/>
    <n v="39"/>
    <n v="-61"/>
  </r>
  <r>
    <s v="254"/>
    <n v="123"/>
    <n v="87"/>
    <x v="620"/>
    <n v="959"/>
    <n v="179"/>
    <s v="Major Market"/>
    <x v="1"/>
    <n v="34"/>
    <x v="1"/>
    <x v="2"/>
    <x v="8"/>
    <n v="197"/>
    <n v="322"/>
    <s v="Texas"/>
    <n v="90"/>
    <n v="140"/>
    <n v="110"/>
    <n v="230"/>
    <n v="46"/>
    <s v="Regular"/>
    <n v="0.61180124223602483"/>
    <n v="87"/>
    <n v="92"/>
  </r>
  <r>
    <s v="505"/>
    <n v="92"/>
    <n v="-16"/>
    <x v="621"/>
    <n v="1898"/>
    <n v="68"/>
    <s v="Small Market"/>
    <x v="1"/>
    <n v="28"/>
    <x v="1"/>
    <x v="3"/>
    <x v="5"/>
    <n v="24"/>
    <n v="171"/>
    <s v="New Mexico"/>
    <n v="100"/>
    <n v="90"/>
    <n v="40"/>
    <n v="190"/>
    <n v="52"/>
    <s v="Decaf"/>
    <n v="0.14035087719298245"/>
    <n v="-16"/>
    <n v="-19"/>
  </r>
  <r>
    <s v="918"/>
    <n v="88"/>
    <n v="47"/>
    <x v="622"/>
    <n v="817"/>
    <n v="133"/>
    <s v="Small Market"/>
    <x v="1"/>
    <n v="29"/>
    <x v="1"/>
    <x v="2"/>
    <x v="4"/>
    <n v="107"/>
    <n v="236"/>
    <s v="Oklahoma"/>
    <n v="60"/>
    <n v="110"/>
    <n v="60"/>
    <n v="170"/>
    <n v="61"/>
    <s v="Decaf"/>
    <n v="0.45338983050847459"/>
    <n v="47"/>
    <n v="66"/>
  </r>
  <r>
    <s v="985"/>
    <n v="49"/>
    <n v="-2"/>
    <x v="623"/>
    <n v="845"/>
    <n v="71"/>
    <s v="Small Market"/>
    <x v="1"/>
    <n v="13"/>
    <x v="1"/>
    <x v="3"/>
    <x v="7"/>
    <n v="68"/>
    <n v="128"/>
    <s v="Louisiana"/>
    <n v="50"/>
    <n v="90"/>
    <n v="70"/>
    <n v="140"/>
    <n v="25"/>
    <s v="Regular"/>
    <n v="0.53125"/>
    <n v="-2"/>
    <n v="-12"/>
  </r>
  <r>
    <s v="505"/>
    <n v="48"/>
    <n v="-10"/>
    <x v="624"/>
    <n v="462"/>
    <n v="74"/>
    <s v="Small Market"/>
    <x v="1"/>
    <n v="15"/>
    <x v="1"/>
    <x v="3"/>
    <x v="7"/>
    <n v="40"/>
    <n v="130"/>
    <s v="New Mexico"/>
    <n v="50"/>
    <n v="90"/>
    <n v="50"/>
    <n v="140"/>
    <n v="47"/>
    <s v="Regular"/>
    <n v="0.30769230769230771"/>
    <n v="-10"/>
    <n v="-10"/>
  </r>
  <r>
    <s v="580"/>
    <n v="81"/>
    <n v="-2"/>
    <x v="625"/>
    <n v="551"/>
    <n v="104"/>
    <s v="Small Market"/>
    <x v="1"/>
    <n v="26"/>
    <x v="1"/>
    <x v="3"/>
    <x v="7"/>
    <n v="98"/>
    <n v="197"/>
    <s v="Oklahoma"/>
    <n v="90"/>
    <n v="130"/>
    <n v="100"/>
    <n v="220"/>
    <n v="38"/>
    <s v="Regular"/>
    <n v="0.49746192893401014"/>
    <n v="-2"/>
    <n v="-23"/>
  </r>
  <r>
    <s v="505"/>
    <n v="20"/>
    <n v="-12"/>
    <x v="626"/>
    <n v="-598"/>
    <n v="25"/>
    <s v="Small Market"/>
    <x v="1"/>
    <n v="7"/>
    <x v="1"/>
    <x v="2"/>
    <x v="9"/>
    <n v="-22"/>
    <n v="48"/>
    <s v="New Mexico"/>
    <n v="10"/>
    <n v="20"/>
    <n v="-10"/>
    <n v="30"/>
    <n v="40"/>
    <s v="Regular"/>
    <n v="-0.45833333333333331"/>
    <n v="-12"/>
    <n v="18"/>
  </r>
  <r>
    <s v="918"/>
    <n v="134"/>
    <n v="90"/>
    <x v="627"/>
    <n v="-2248"/>
    <n v="186"/>
    <s v="Small Market"/>
    <x v="1"/>
    <n v="41"/>
    <x v="1"/>
    <x v="2"/>
    <x v="9"/>
    <n v="180"/>
    <n v="341"/>
    <s v="Oklahoma"/>
    <n v="100"/>
    <n v="140"/>
    <n v="90"/>
    <n v="240"/>
    <n v="65"/>
    <s v="Regular"/>
    <n v="0.52785923753665687"/>
    <n v="90"/>
    <n v="101"/>
  </r>
  <r>
    <s v="985"/>
    <n v="94"/>
    <n v="44"/>
    <x v="628"/>
    <n v="540"/>
    <n v="120"/>
    <s v="Small Market"/>
    <x v="1"/>
    <n v="31"/>
    <x v="0"/>
    <x v="0"/>
    <x v="10"/>
    <n v="114"/>
    <n v="228"/>
    <s v="Louisiana"/>
    <n v="80"/>
    <n v="110"/>
    <n v="70"/>
    <n v="190"/>
    <n v="43"/>
    <s v="Decaf"/>
    <n v="0.5"/>
    <n v="44"/>
    <n v="38"/>
  </r>
  <r>
    <s v="505"/>
    <n v="16"/>
    <n v="3"/>
    <x v="629"/>
    <n v="851"/>
    <n v="25"/>
    <s v="Small Market"/>
    <x v="1"/>
    <n v="4"/>
    <x v="0"/>
    <x v="0"/>
    <x v="10"/>
    <n v="13"/>
    <n v="44"/>
    <s v="New Mexico"/>
    <n v="10"/>
    <n v="20"/>
    <n v="10"/>
    <n v="30"/>
    <n v="16"/>
    <s v="Decaf"/>
    <n v="0.29545454545454547"/>
    <n v="3"/>
    <n v="14"/>
  </r>
  <r>
    <s v="580"/>
    <n v="105"/>
    <n v="0"/>
    <x v="630"/>
    <n v="716"/>
    <n v="145"/>
    <s v="Small Market"/>
    <x v="1"/>
    <n v="95"/>
    <x v="0"/>
    <x v="0"/>
    <x v="0"/>
    <n v="30"/>
    <n v="266"/>
    <s v="Oklahoma"/>
    <n v="90"/>
    <n v="140"/>
    <n v="30"/>
    <n v="230"/>
    <n v="125"/>
    <s v="Decaf"/>
    <n v="0.11278195488721804"/>
    <n v="0"/>
    <n v="36"/>
  </r>
  <r>
    <s v="860"/>
    <n v="125"/>
    <n v="-15"/>
    <x v="631"/>
    <n v="1119"/>
    <n v="188"/>
    <s v="Small Market"/>
    <x v="2"/>
    <n v="41"/>
    <x v="1"/>
    <x v="3"/>
    <x v="7"/>
    <n v="115"/>
    <n v="313"/>
    <s v="Connecticut"/>
    <n v="100"/>
    <n v="160"/>
    <n v="130"/>
    <n v="260"/>
    <n v="73"/>
    <s v="Regular"/>
    <n v="0.36741214057507987"/>
    <n v="-15"/>
    <n v="53"/>
  </r>
  <r>
    <s v="203"/>
    <n v="60"/>
    <n v="-39"/>
    <x v="632"/>
    <n v="606"/>
    <n v="84"/>
    <s v="Small Market"/>
    <x v="2"/>
    <n v="54"/>
    <x v="1"/>
    <x v="2"/>
    <x v="8"/>
    <n v="1"/>
    <n v="144"/>
    <s v="Connecticut"/>
    <n v="40"/>
    <n v="90"/>
    <n v="40"/>
    <n v="130"/>
    <n v="83"/>
    <s v="Regular"/>
    <n v="6.9444444444444441E-3"/>
    <n v="-39"/>
    <n v="14"/>
  </r>
  <r>
    <s v="203"/>
    <n v="130"/>
    <n v="-8"/>
    <x v="633"/>
    <n v="1134"/>
    <n v="195"/>
    <s v="Small Market"/>
    <x v="2"/>
    <n v="42"/>
    <x v="1"/>
    <x v="3"/>
    <x v="7"/>
    <n v="122"/>
    <n v="325"/>
    <s v="Connecticut"/>
    <n v="110"/>
    <n v="180"/>
    <n v="130"/>
    <n v="290"/>
    <n v="73"/>
    <s v="Regular"/>
    <n v="0.37538461538461537"/>
    <n v="-8"/>
    <n v="35"/>
  </r>
  <r>
    <s v="203"/>
    <n v="115"/>
    <n v="-5"/>
    <x v="634"/>
    <n v="1166"/>
    <n v="174"/>
    <s v="Small Market"/>
    <x v="2"/>
    <n v="37"/>
    <x v="1"/>
    <x v="3"/>
    <x v="7"/>
    <n v="105"/>
    <n v="289"/>
    <s v="Connecticut"/>
    <n v="100"/>
    <n v="160"/>
    <n v="110"/>
    <n v="260"/>
    <n v="69"/>
    <s v="Regular"/>
    <n v="0.36332179930795849"/>
    <n v="-5"/>
    <n v="29"/>
  </r>
  <r>
    <s v="203"/>
    <n v="125"/>
    <n v="41"/>
    <x v="635"/>
    <n v="1119"/>
    <n v="188"/>
    <s v="Small Market"/>
    <x v="2"/>
    <n v="41"/>
    <x v="1"/>
    <x v="3"/>
    <x v="7"/>
    <n v="171"/>
    <n v="334"/>
    <s v="Connecticut"/>
    <n v="100"/>
    <n v="160"/>
    <n v="130"/>
    <n v="260"/>
    <n v="73"/>
    <s v="Regular"/>
    <n v="0.5119760479041916"/>
    <n v="41"/>
    <n v="74"/>
  </r>
  <r>
    <s v="959"/>
    <n v="60"/>
    <n v="-39"/>
    <x v="636"/>
    <n v="606"/>
    <n v="84"/>
    <s v="Small Market"/>
    <x v="2"/>
    <n v="54"/>
    <x v="1"/>
    <x v="2"/>
    <x v="8"/>
    <n v="1"/>
    <n v="153"/>
    <s v="Connecticut"/>
    <n v="40"/>
    <n v="90"/>
    <n v="40"/>
    <n v="130"/>
    <n v="83"/>
    <s v="Regular"/>
    <n v="6.5359477124183009E-3"/>
    <n v="-39"/>
    <n v="23"/>
  </r>
  <r>
    <s v="203"/>
    <n v="130"/>
    <n v="51"/>
    <x v="637"/>
    <n v="1134"/>
    <n v="195"/>
    <s v="Small Market"/>
    <x v="2"/>
    <n v="42"/>
    <x v="1"/>
    <x v="3"/>
    <x v="7"/>
    <n v="181"/>
    <n v="346"/>
    <s v="Connecticut"/>
    <n v="110"/>
    <n v="180"/>
    <n v="130"/>
    <n v="290"/>
    <n v="73"/>
    <s v="Regular"/>
    <n v="0.52312138728323698"/>
    <n v="51"/>
    <n v="56"/>
  </r>
  <r>
    <s v="959"/>
    <n v="115"/>
    <n v="46"/>
    <x v="638"/>
    <n v="1166"/>
    <n v="174"/>
    <s v="Small Market"/>
    <x v="2"/>
    <n v="37"/>
    <x v="1"/>
    <x v="3"/>
    <x v="7"/>
    <n v="156"/>
    <n v="308"/>
    <s v="Connecticut"/>
    <n v="100"/>
    <n v="160"/>
    <n v="110"/>
    <n v="260"/>
    <n v="69"/>
    <s v="Regular"/>
    <n v="0.50649350649350644"/>
    <n v="46"/>
    <n v="48"/>
  </r>
  <r>
    <s v="561"/>
    <n v="91"/>
    <n v="-14"/>
    <x v="639"/>
    <n v="656"/>
    <n v="127"/>
    <s v="Major Market"/>
    <x v="2"/>
    <n v="28"/>
    <x v="1"/>
    <x v="3"/>
    <x v="5"/>
    <n v="76"/>
    <n v="218"/>
    <s v="Florida"/>
    <n v="70"/>
    <n v="110"/>
    <n v="90"/>
    <n v="180"/>
    <n v="51"/>
    <s v="Decaf"/>
    <n v="0.34862385321100919"/>
    <n v="-14"/>
    <n v="38"/>
  </r>
  <r>
    <s v="239"/>
    <n v="86"/>
    <n v="-30"/>
    <x v="640"/>
    <n v="547"/>
    <n v="116"/>
    <s v="Major Market"/>
    <x v="2"/>
    <n v="28"/>
    <x v="1"/>
    <x v="2"/>
    <x v="4"/>
    <n v="60"/>
    <n v="202"/>
    <s v="Florida"/>
    <n v="70"/>
    <n v="110"/>
    <n v="90"/>
    <n v="180"/>
    <n v="56"/>
    <s v="Decaf"/>
    <n v="0.29702970297029702"/>
    <n v="-30"/>
    <n v="22"/>
  </r>
  <r>
    <s v="407"/>
    <n v="82"/>
    <n v="-26"/>
    <x v="641"/>
    <n v="788"/>
    <n v="123"/>
    <s v="Major Market"/>
    <x v="2"/>
    <n v="27"/>
    <x v="1"/>
    <x v="3"/>
    <x v="7"/>
    <n v="64"/>
    <n v="205"/>
    <s v="Florida"/>
    <n v="60"/>
    <n v="110"/>
    <n v="90"/>
    <n v="170"/>
    <n v="59"/>
    <s v="Regular"/>
    <n v="0.31219512195121951"/>
    <n v="-26"/>
    <n v="35"/>
  </r>
  <r>
    <s v="857"/>
    <n v="72"/>
    <n v="18"/>
    <x v="642"/>
    <n v="-3004"/>
    <n v="402"/>
    <s v="Major Market"/>
    <x v="2"/>
    <n v="23"/>
    <x v="1"/>
    <x v="3"/>
    <x v="7"/>
    <n v="348"/>
    <n v="474"/>
    <s v="Massachusetts"/>
    <n v="50"/>
    <n v="350"/>
    <n v="330"/>
    <n v="400"/>
    <n v="54"/>
    <s v="Regular"/>
    <n v="0.73417721518987344"/>
    <n v="18"/>
    <n v="74"/>
  </r>
  <r>
    <s v="315"/>
    <n v="260"/>
    <n v="17"/>
    <x v="643"/>
    <n v="2548"/>
    <n v="390"/>
    <s v="Major Market"/>
    <x v="2"/>
    <n v="91"/>
    <x v="1"/>
    <x v="3"/>
    <x v="7"/>
    <n v="247"/>
    <n v="650"/>
    <s v="New York"/>
    <n v="210"/>
    <n v="330"/>
    <n v="230"/>
    <n v="540"/>
    <n v="143"/>
    <s v="Regular"/>
    <n v="0.38"/>
    <n v="17"/>
    <n v="110"/>
  </r>
  <r>
    <s v="239"/>
    <n v="96"/>
    <n v="-32"/>
    <x v="644"/>
    <n v="683"/>
    <n v="134"/>
    <s v="Major Market"/>
    <x v="2"/>
    <n v="87"/>
    <x v="1"/>
    <x v="2"/>
    <x v="8"/>
    <n v="18"/>
    <n v="230"/>
    <s v="Florida"/>
    <n v="80"/>
    <n v="130"/>
    <n v="50"/>
    <n v="210"/>
    <n v="116"/>
    <s v="Regular"/>
    <n v="7.8260869565217397E-2"/>
    <n v="-32"/>
    <n v="20"/>
  </r>
  <r>
    <s v="845"/>
    <n v="125"/>
    <n v="-32"/>
    <x v="645"/>
    <n v="3142"/>
    <n v="-56"/>
    <s v="Major Market"/>
    <x v="2"/>
    <n v="113"/>
    <x v="1"/>
    <x v="2"/>
    <x v="8"/>
    <n v="-202"/>
    <n v="69"/>
    <s v="New York"/>
    <n v="110"/>
    <n v="-60"/>
    <n v="-170"/>
    <n v="50"/>
    <n v="146"/>
    <s v="Regular"/>
    <n v="-2.9275362318840581"/>
    <n v="-32"/>
    <n v="19"/>
  </r>
  <r>
    <s v="781"/>
    <n v="161"/>
    <n v="-28"/>
    <x v="646"/>
    <n v="1267"/>
    <n v="161"/>
    <s v="Major Market"/>
    <x v="2"/>
    <n v="45"/>
    <x v="1"/>
    <x v="2"/>
    <x v="12"/>
    <n v="92"/>
    <n v="322"/>
    <s v="Massachusetts"/>
    <n v="140"/>
    <n v="160"/>
    <n v="120"/>
    <n v="300"/>
    <n v="69"/>
    <s v="Regular"/>
    <n v="0.2857142857142857"/>
    <n v="-28"/>
    <n v="22"/>
  </r>
  <r>
    <s v="718"/>
    <n v="239"/>
    <n v="-15"/>
    <x v="647"/>
    <n v="1197"/>
    <n v="526"/>
    <s v="Major Market"/>
    <x v="2"/>
    <n v="66"/>
    <x v="1"/>
    <x v="2"/>
    <x v="12"/>
    <n v="435"/>
    <n v="765"/>
    <s v="New York"/>
    <n v="210"/>
    <n v="510"/>
    <n v="450"/>
    <n v="720"/>
    <n v="91"/>
    <s v="Regular"/>
    <n v="0.56862745098039214"/>
    <n v="-15"/>
    <n v="45"/>
  </r>
  <r>
    <s v="386"/>
    <n v="22"/>
    <n v="-10"/>
    <x v="648"/>
    <n v="573"/>
    <n v="29"/>
    <s v="Major Market"/>
    <x v="2"/>
    <n v="7"/>
    <x v="0"/>
    <x v="0"/>
    <x v="10"/>
    <n v="10"/>
    <n v="51"/>
    <s v="Florida"/>
    <n v="0"/>
    <n v="20"/>
    <n v="20"/>
    <n v="20"/>
    <n v="19"/>
    <s v="Decaf"/>
    <n v="0.19607843137254902"/>
    <n v="-10"/>
    <n v="31"/>
  </r>
  <r>
    <s v="845"/>
    <n v="255"/>
    <n v="59"/>
    <x v="649"/>
    <n v="1622"/>
    <n v="258"/>
    <s v="Major Market"/>
    <x v="2"/>
    <n v="96"/>
    <x v="0"/>
    <x v="0"/>
    <x v="0"/>
    <n v="129"/>
    <n v="513"/>
    <s v="New York"/>
    <n v="140"/>
    <n v="150"/>
    <n v="70"/>
    <n v="290"/>
    <n v="129"/>
    <s v="Decaf"/>
    <n v="0.25146198830409355"/>
    <n v="59"/>
    <n v="223"/>
  </r>
  <r>
    <s v="315"/>
    <n v="239"/>
    <n v="-70"/>
    <x v="650"/>
    <n v="4360"/>
    <n v="-75"/>
    <s v="Major Market"/>
    <x v="2"/>
    <n v="74"/>
    <x v="0"/>
    <x v="0"/>
    <x v="1"/>
    <n v="-170"/>
    <n v="164"/>
    <s v="New York"/>
    <n v="130"/>
    <n v="-50"/>
    <n v="-100"/>
    <n v="80"/>
    <n v="95"/>
    <s v="Decaf"/>
    <n v="-1.0365853658536586"/>
    <n v="-70"/>
    <n v="84"/>
  </r>
  <r>
    <s v="516"/>
    <n v="108"/>
    <n v="-25"/>
    <x v="651"/>
    <n v="971"/>
    <n v="157"/>
    <s v="Major Market"/>
    <x v="2"/>
    <n v="30"/>
    <x v="0"/>
    <x v="1"/>
    <x v="2"/>
    <n v="115"/>
    <n v="265"/>
    <s v="New York"/>
    <n v="110"/>
    <n v="170"/>
    <n v="140"/>
    <n v="280"/>
    <n v="42"/>
    <s v="Regular"/>
    <n v="0.43396226415094341"/>
    <n v="-25"/>
    <n v="-15"/>
  </r>
  <r>
    <s v="716"/>
    <n v="123"/>
    <n v="-26"/>
    <x v="652"/>
    <n v="915"/>
    <n v="179"/>
    <s v="Major Market"/>
    <x v="2"/>
    <n v="34"/>
    <x v="0"/>
    <x v="1"/>
    <x v="11"/>
    <n v="134"/>
    <n v="302"/>
    <s v="New York"/>
    <n v="130"/>
    <n v="190"/>
    <n v="160"/>
    <n v="320"/>
    <n v="45"/>
    <s v="Regular"/>
    <n v="0.44370860927152317"/>
    <n v="-26"/>
    <n v="-18"/>
  </r>
  <r>
    <s v="518"/>
    <n v="76"/>
    <n v="-22"/>
    <x v="653"/>
    <n v="580"/>
    <n v="111"/>
    <s v="Major Market"/>
    <x v="2"/>
    <n v="21"/>
    <x v="0"/>
    <x v="1"/>
    <x v="3"/>
    <n v="78"/>
    <n v="187"/>
    <s v="New York"/>
    <n v="80"/>
    <n v="120"/>
    <n v="100"/>
    <n v="200"/>
    <n v="33"/>
    <s v="Regular"/>
    <n v="0.41711229946524064"/>
    <n v="-22"/>
    <n v="-13"/>
  </r>
  <r>
    <s v="772"/>
    <n v="102"/>
    <n v="-1"/>
    <x v="654"/>
    <n v="666"/>
    <n v="143"/>
    <s v="Major Market"/>
    <x v="2"/>
    <n v="31"/>
    <x v="1"/>
    <x v="3"/>
    <x v="5"/>
    <n v="89"/>
    <n v="245"/>
    <s v="Florida"/>
    <n v="90"/>
    <n v="130"/>
    <n v="90"/>
    <n v="220"/>
    <n v="54"/>
    <s v="Decaf"/>
    <n v="0.36326530612244901"/>
    <n v="-1"/>
    <n v="25"/>
  </r>
  <r>
    <s v="561"/>
    <n v="77"/>
    <n v="-9"/>
    <x v="655"/>
    <n v="557"/>
    <n v="103"/>
    <s v="Major Market"/>
    <x v="2"/>
    <n v="25"/>
    <x v="1"/>
    <x v="2"/>
    <x v="4"/>
    <n v="51"/>
    <n v="180"/>
    <s v="Florida"/>
    <n v="70"/>
    <n v="100"/>
    <n v="60"/>
    <n v="170"/>
    <n v="52"/>
    <s v="Decaf"/>
    <n v="0.28333333333333333"/>
    <n v="-9"/>
    <n v="10"/>
  </r>
  <r>
    <s v="754"/>
    <n v="78"/>
    <n v="3"/>
    <x v="656"/>
    <n v="798"/>
    <n v="119"/>
    <s v="Major Market"/>
    <x v="2"/>
    <n v="25"/>
    <x v="1"/>
    <x v="3"/>
    <x v="7"/>
    <n v="63"/>
    <n v="197"/>
    <s v="Florida"/>
    <n v="70"/>
    <n v="100"/>
    <n v="60"/>
    <n v="170"/>
    <n v="56"/>
    <s v="Regular"/>
    <n v="0.31979695431472083"/>
    <n v="3"/>
    <n v="27"/>
  </r>
  <r>
    <s v="978"/>
    <n v="75"/>
    <n v="24"/>
    <x v="657"/>
    <n v="-3287"/>
    <n v="379"/>
    <s v="Major Market"/>
    <x v="2"/>
    <n v="24"/>
    <x v="1"/>
    <x v="3"/>
    <x v="7"/>
    <n v="324"/>
    <n v="454"/>
    <s v="Massachusetts"/>
    <n v="60"/>
    <n v="340"/>
    <n v="300"/>
    <n v="400"/>
    <n v="55"/>
    <s v="Regular"/>
    <n v="0.71365638766519823"/>
    <n v="24"/>
    <n v="54"/>
  </r>
  <r>
    <s v="347"/>
    <n v="249"/>
    <n v="6"/>
    <x v="658"/>
    <n v="2580"/>
    <n v="374"/>
    <s v="Major Market"/>
    <x v="2"/>
    <n v="87"/>
    <x v="1"/>
    <x v="3"/>
    <x v="7"/>
    <n v="236"/>
    <n v="623"/>
    <s v="New York"/>
    <n v="220"/>
    <n v="340"/>
    <n v="230"/>
    <n v="560"/>
    <n v="138"/>
    <s v="Regular"/>
    <n v="0.37881219903691815"/>
    <n v="6"/>
    <n v="63"/>
  </r>
  <r>
    <s v="754"/>
    <n v="94"/>
    <n v="-5"/>
    <x v="659"/>
    <n v="694"/>
    <n v="130"/>
    <s v="Major Market"/>
    <x v="2"/>
    <n v="85"/>
    <x v="1"/>
    <x v="2"/>
    <x v="8"/>
    <n v="15"/>
    <n v="224"/>
    <s v="Florida"/>
    <n v="90"/>
    <n v="120"/>
    <n v="20"/>
    <n v="210"/>
    <n v="115"/>
    <s v="Regular"/>
    <n v="6.6964285714285712E-2"/>
    <n v="-5"/>
    <n v="14"/>
  </r>
  <r>
    <s v="347"/>
    <n v="121"/>
    <n v="-12"/>
    <x v="660"/>
    <n v="3385"/>
    <n v="-60"/>
    <s v="Major Market"/>
    <x v="2"/>
    <n v="109"/>
    <x v="1"/>
    <x v="2"/>
    <x v="8"/>
    <n v="-202"/>
    <n v="61"/>
    <s v="New York"/>
    <n v="110"/>
    <n v="-60"/>
    <n v="-190"/>
    <n v="50"/>
    <n v="142"/>
    <s v="Regular"/>
    <n v="-3.3114754098360657"/>
    <n v="-12"/>
    <n v="11"/>
  </r>
  <r>
    <s v="508"/>
    <n v="181"/>
    <n v="-12"/>
    <x v="661"/>
    <n v="1283"/>
    <n v="182"/>
    <s v="Major Market"/>
    <x v="2"/>
    <n v="50"/>
    <x v="1"/>
    <x v="2"/>
    <x v="12"/>
    <n v="108"/>
    <n v="363"/>
    <s v="Massachusetts"/>
    <n v="170"/>
    <n v="180"/>
    <n v="120"/>
    <n v="350"/>
    <n v="74"/>
    <s v="Regular"/>
    <n v="0.2975206611570248"/>
    <n v="-12"/>
    <n v="13"/>
  </r>
  <r>
    <s v="646"/>
    <n v="211"/>
    <n v="-9"/>
    <x v="662"/>
    <n v="933"/>
    <n v="464"/>
    <s v="Major Market"/>
    <x v="2"/>
    <n v="59"/>
    <x v="1"/>
    <x v="2"/>
    <x v="12"/>
    <n v="381"/>
    <n v="675"/>
    <s v="New York"/>
    <n v="200"/>
    <n v="460"/>
    <n v="390"/>
    <n v="660"/>
    <n v="83"/>
    <s v="Regular"/>
    <n v="0.56444444444444442"/>
    <n v="-9"/>
    <n v="15"/>
  </r>
  <r>
    <s v="561"/>
    <n v="22"/>
    <n v="1"/>
    <x v="663"/>
    <n v="570"/>
    <n v="30"/>
    <s v="Major Market"/>
    <x v="2"/>
    <n v="7"/>
    <x v="0"/>
    <x v="0"/>
    <x v="10"/>
    <n v="11"/>
    <n v="52"/>
    <s v="Florida"/>
    <n v="10"/>
    <n v="20"/>
    <n v="10"/>
    <n v="30"/>
    <n v="19"/>
    <s v="Decaf"/>
    <n v="0.21153846153846154"/>
    <n v="1"/>
    <n v="22"/>
  </r>
  <r>
    <s v="631"/>
    <n v="245"/>
    <n v="64"/>
    <x v="664"/>
    <n v="1704"/>
    <n v="331"/>
    <s v="Major Market"/>
    <x v="2"/>
    <n v="93"/>
    <x v="0"/>
    <x v="0"/>
    <x v="0"/>
    <n v="204"/>
    <n v="576"/>
    <s v="New York"/>
    <n v="180"/>
    <n v="240"/>
    <n v="140"/>
    <n v="420"/>
    <n v="127"/>
    <s v="Decaf"/>
    <n v="0.35416666666666669"/>
    <n v="64"/>
    <n v="156"/>
  </r>
  <r>
    <s v="914"/>
    <n v="225"/>
    <n v="-36"/>
    <x v="665"/>
    <n v="4742"/>
    <n v="-65"/>
    <s v="Major Market"/>
    <x v="2"/>
    <n v="69"/>
    <x v="0"/>
    <x v="0"/>
    <x v="1"/>
    <n v="-156"/>
    <n v="160"/>
    <s v="New York"/>
    <n v="160"/>
    <n v="-50"/>
    <n v="-120"/>
    <n v="110"/>
    <n v="91"/>
    <s v="Decaf"/>
    <n v="-0.97499999999999998"/>
    <n v="-36"/>
    <n v="50"/>
  </r>
  <r>
    <s v="518"/>
    <n v="81"/>
    <n v="-6"/>
    <x v="666"/>
    <n v="984"/>
    <n v="117"/>
    <s v="Major Market"/>
    <x v="2"/>
    <n v="22"/>
    <x v="0"/>
    <x v="1"/>
    <x v="2"/>
    <n v="84"/>
    <n v="198"/>
    <s v="New York"/>
    <n v="80"/>
    <n v="120"/>
    <n v="90"/>
    <n v="200"/>
    <n v="33"/>
    <s v="Regular"/>
    <n v="0.42424242424242425"/>
    <n v="-6"/>
    <n v="-2"/>
  </r>
  <r>
    <s v="315"/>
    <n v="118"/>
    <n v="-3"/>
    <x v="667"/>
    <n v="930"/>
    <n v="172"/>
    <s v="Major Market"/>
    <x v="2"/>
    <n v="33"/>
    <x v="0"/>
    <x v="1"/>
    <x v="11"/>
    <n v="127"/>
    <n v="290"/>
    <s v="New York"/>
    <n v="120"/>
    <n v="170"/>
    <n v="130"/>
    <n v="290"/>
    <n v="45"/>
    <s v="Regular"/>
    <n v="0.43793103448275861"/>
    <n v="-3"/>
    <n v="0"/>
  </r>
  <r>
    <s v="813"/>
    <n v="134"/>
    <n v="12"/>
    <x v="668"/>
    <n v="690"/>
    <n v="186"/>
    <s v="Major Market"/>
    <x v="2"/>
    <n v="41"/>
    <x v="1"/>
    <x v="3"/>
    <x v="5"/>
    <n v="122"/>
    <n v="320"/>
    <s v="Florida"/>
    <n v="120"/>
    <n v="160"/>
    <n v="110"/>
    <n v="280"/>
    <n v="64"/>
    <s v="Decaf"/>
    <n v="0.38124999999999998"/>
    <n v="12"/>
    <n v="40"/>
  </r>
  <r>
    <s v="407"/>
    <n v="83"/>
    <n v="-12"/>
    <x v="669"/>
    <n v="575"/>
    <n v="112"/>
    <s v="Major Market"/>
    <x v="2"/>
    <n v="27"/>
    <x v="1"/>
    <x v="2"/>
    <x v="4"/>
    <n v="58"/>
    <n v="195"/>
    <s v="Florida"/>
    <n v="80"/>
    <n v="110"/>
    <n v="70"/>
    <n v="190"/>
    <n v="54"/>
    <s v="Decaf"/>
    <n v="0.29743589743589743"/>
    <n v="-12"/>
    <n v="5"/>
  </r>
  <r>
    <s v="754"/>
    <n v="88"/>
    <n v="-7"/>
    <x v="670"/>
    <n v="817"/>
    <n v="133"/>
    <s v="Major Market"/>
    <x v="2"/>
    <n v="29"/>
    <x v="1"/>
    <x v="3"/>
    <x v="7"/>
    <n v="73"/>
    <n v="221"/>
    <s v="Florida"/>
    <n v="70"/>
    <n v="120"/>
    <n v="80"/>
    <n v="190"/>
    <n v="60"/>
    <s v="Regular"/>
    <n v="0.33031674208144796"/>
    <n v="-7"/>
    <n v="31"/>
  </r>
  <r>
    <s v="351"/>
    <n v="67"/>
    <n v="30"/>
    <x v="671"/>
    <n v="-3534"/>
    <n v="443"/>
    <s v="Major Market"/>
    <x v="2"/>
    <n v="22"/>
    <x v="1"/>
    <x v="3"/>
    <x v="7"/>
    <n v="390"/>
    <n v="510"/>
    <s v="Massachusetts"/>
    <n v="60"/>
    <n v="390"/>
    <n v="360"/>
    <n v="450"/>
    <n v="53"/>
    <s v="Regular"/>
    <n v="0.76470588235294112"/>
    <n v="30"/>
    <n v="60"/>
  </r>
  <r>
    <s v="845"/>
    <n v="279"/>
    <n v="21"/>
    <x v="672"/>
    <n v="2642"/>
    <n v="420"/>
    <s v="Major Market"/>
    <x v="2"/>
    <n v="97"/>
    <x v="1"/>
    <x v="3"/>
    <x v="7"/>
    <n v="271"/>
    <n v="699"/>
    <s v="New York"/>
    <n v="250"/>
    <n v="370"/>
    <n v="250"/>
    <n v="620"/>
    <n v="149"/>
    <s v="Regular"/>
    <n v="0.38769670958512159"/>
    <n v="21"/>
    <n v="79"/>
  </r>
  <r>
    <s v="305"/>
    <n v="105"/>
    <n v="-9"/>
    <x v="673"/>
    <n v="716"/>
    <n v="145"/>
    <s v="Major Market"/>
    <x v="2"/>
    <n v="95"/>
    <x v="1"/>
    <x v="2"/>
    <x v="8"/>
    <n v="21"/>
    <n v="250"/>
    <s v="Florida"/>
    <n v="100"/>
    <n v="140"/>
    <n v="30"/>
    <n v="240"/>
    <n v="124"/>
    <s v="Regular"/>
    <n v="8.4000000000000005E-2"/>
    <n v="-9"/>
    <n v="10"/>
  </r>
  <r>
    <s v="212"/>
    <n v="135"/>
    <n v="-14"/>
    <x v="674"/>
    <n v="3641"/>
    <n v="-69"/>
    <s v="Major Market"/>
    <x v="2"/>
    <n v="122"/>
    <x v="1"/>
    <x v="2"/>
    <x v="8"/>
    <n v="-224"/>
    <n v="66"/>
    <s v="New York"/>
    <n v="130"/>
    <n v="-70"/>
    <n v="-210"/>
    <n v="60"/>
    <n v="155"/>
    <s v="Regular"/>
    <n v="-3.393939393939394"/>
    <n v="-14"/>
    <n v="6"/>
  </r>
  <r>
    <s v="351"/>
    <n v="153"/>
    <n v="7"/>
    <x v="675"/>
    <n v="1319"/>
    <n v="153"/>
    <s v="Major Market"/>
    <x v="2"/>
    <n v="42"/>
    <x v="1"/>
    <x v="2"/>
    <x v="12"/>
    <n v="87"/>
    <n v="306"/>
    <s v="Massachusetts"/>
    <n v="150"/>
    <n v="140"/>
    <n v="80"/>
    <n v="290"/>
    <n v="66"/>
    <s v="Regular"/>
    <n v="0.28431372549019607"/>
    <n v="7"/>
    <n v="16"/>
  </r>
  <r>
    <s v="718"/>
    <n v="250"/>
    <n v="-8"/>
    <x v="676"/>
    <n v="723"/>
    <n v="407"/>
    <s v="Major Market"/>
    <x v="2"/>
    <n v="70"/>
    <x v="1"/>
    <x v="2"/>
    <x v="12"/>
    <n v="312"/>
    <n v="657"/>
    <s v="New York"/>
    <n v="240"/>
    <n v="400"/>
    <n v="320"/>
    <n v="640"/>
    <n v="95"/>
    <s v="Regular"/>
    <n v="0.47488584474885842"/>
    <n v="-8"/>
    <n v="17"/>
  </r>
  <r>
    <s v="607"/>
    <n v="294"/>
    <n v="99"/>
    <x v="677"/>
    <n v="1727"/>
    <n v="453"/>
    <s v="Major Market"/>
    <x v="2"/>
    <n v="111"/>
    <x v="0"/>
    <x v="0"/>
    <x v="0"/>
    <n v="309"/>
    <n v="747"/>
    <s v="New York"/>
    <n v="220"/>
    <n v="320"/>
    <n v="210"/>
    <n v="540"/>
    <n v="144"/>
    <s v="Decaf"/>
    <n v="0.41365461847389556"/>
    <n v="99"/>
    <n v="207"/>
  </r>
  <r>
    <s v="716"/>
    <n v="241"/>
    <n v="-39"/>
    <x v="678"/>
    <n v="5121"/>
    <n v="-93"/>
    <s v="Major Market"/>
    <x v="2"/>
    <n v="74"/>
    <x v="0"/>
    <x v="0"/>
    <x v="1"/>
    <n v="-189"/>
    <n v="148"/>
    <s v="New York"/>
    <n v="180"/>
    <n v="-80"/>
    <n v="-150"/>
    <n v="100"/>
    <n v="96"/>
    <s v="Decaf"/>
    <n v="-1.277027027027027"/>
    <n v="-39"/>
    <n v="48"/>
  </r>
  <r>
    <s v="716"/>
    <n v="86"/>
    <n v="-1"/>
    <x v="679"/>
    <n v="1003"/>
    <n v="124"/>
    <s v="Major Market"/>
    <x v="2"/>
    <n v="24"/>
    <x v="0"/>
    <x v="1"/>
    <x v="2"/>
    <n v="89"/>
    <n v="210"/>
    <s v="New York"/>
    <n v="90"/>
    <n v="120"/>
    <n v="90"/>
    <n v="210"/>
    <n v="35"/>
    <s v="Regular"/>
    <n v="0.4238095238095238"/>
    <n v="-1"/>
    <n v="0"/>
  </r>
  <r>
    <s v="718"/>
    <n v="123"/>
    <n v="-17"/>
    <x v="680"/>
    <n v="959"/>
    <n v="179"/>
    <s v="Major Market"/>
    <x v="2"/>
    <n v="34"/>
    <x v="0"/>
    <x v="1"/>
    <x v="11"/>
    <n v="133"/>
    <n v="302"/>
    <s v="New York"/>
    <n v="120"/>
    <n v="190"/>
    <n v="150"/>
    <n v="310"/>
    <n v="46"/>
    <s v="Regular"/>
    <n v="0.44039735099337746"/>
    <n v="-17"/>
    <n v="-8"/>
  </r>
  <r>
    <s v="772"/>
    <n v="91"/>
    <n v="23"/>
    <x v="681"/>
    <n v="656"/>
    <n v="127"/>
    <s v="Major Market"/>
    <x v="2"/>
    <n v="28"/>
    <x v="1"/>
    <x v="3"/>
    <x v="5"/>
    <n v="113"/>
    <n v="232"/>
    <s v="Florida"/>
    <n v="70"/>
    <n v="110"/>
    <n v="90"/>
    <n v="180"/>
    <n v="51"/>
    <s v="Decaf"/>
    <n v="0.48706896551724138"/>
    <n v="23"/>
    <n v="52"/>
  </r>
  <r>
    <s v="321"/>
    <n v="86"/>
    <n v="-1"/>
    <x v="682"/>
    <n v="547"/>
    <n v="116"/>
    <s v="Major Market"/>
    <x v="2"/>
    <n v="28"/>
    <x v="1"/>
    <x v="2"/>
    <x v="4"/>
    <n v="89"/>
    <n v="215"/>
    <s v="Florida"/>
    <n v="70"/>
    <n v="110"/>
    <n v="90"/>
    <n v="180"/>
    <n v="56"/>
    <s v="Decaf"/>
    <n v="0.413953488372093"/>
    <n v="-1"/>
    <n v="35"/>
  </r>
  <r>
    <s v="954"/>
    <n v="82"/>
    <n v="5"/>
    <x v="683"/>
    <n v="788"/>
    <n v="123"/>
    <s v="Major Market"/>
    <x v="2"/>
    <n v="27"/>
    <x v="1"/>
    <x v="3"/>
    <x v="7"/>
    <n v="95"/>
    <n v="218"/>
    <s v="Florida"/>
    <n v="60"/>
    <n v="110"/>
    <n v="90"/>
    <n v="170"/>
    <n v="59"/>
    <s v="Regular"/>
    <n v="0.43577981651376146"/>
    <n v="5"/>
    <n v="48"/>
  </r>
  <r>
    <s v="857"/>
    <n v="72"/>
    <n v="186"/>
    <x v="684"/>
    <n v="-3004"/>
    <n v="402"/>
    <s v="Major Market"/>
    <x v="2"/>
    <n v="23"/>
    <x v="1"/>
    <x v="3"/>
    <x v="7"/>
    <n v="516"/>
    <n v="505"/>
    <s v="Massachusetts"/>
    <n v="50"/>
    <n v="350"/>
    <n v="330"/>
    <n v="400"/>
    <n v="54"/>
    <s v="Regular"/>
    <n v="1.0217821782178218"/>
    <n v="186"/>
    <n v="105"/>
  </r>
  <r>
    <s v="716"/>
    <n v="260"/>
    <n v="137"/>
    <x v="685"/>
    <n v="2548"/>
    <n v="390"/>
    <s v="Major Market"/>
    <x v="2"/>
    <n v="91"/>
    <x v="1"/>
    <x v="3"/>
    <x v="7"/>
    <n v="367"/>
    <n v="693"/>
    <s v="New York"/>
    <n v="210"/>
    <n v="330"/>
    <n v="230"/>
    <n v="540"/>
    <n v="143"/>
    <s v="Regular"/>
    <n v="0.5295815295815296"/>
    <n v="137"/>
    <n v="153"/>
  </r>
  <r>
    <s v="727"/>
    <n v="96"/>
    <n v="-23"/>
    <x v="686"/>
    <n v="683"/>
    <n v="134"/>
    <s v="Major Market"/>
    <x v="2"/>
    <n v="87"/>
    <x v="1"/>
    <x v="2"/>
    <x v="8"/>
    <n v="27"/>
    <n v="245"/>
    <s v="Florida"/>
    <n v="80"/>
    <n v="130"/>
    <n v="50"/>
    <n v="210"/>
    <n v="116"/>
    <s v="Regular"/>
    <n v="0.11020408163265306"/>
    <n v="-23"/>
    <n v="35"/>
  </r>
  <r>
    <s v="914"/>
    <n v="125"/>
    <n v="-130"/>
    <x v="687"/>
    <n v="3142"/>
    <n v="-56"/>
    <s v="Major Market"/>
    <x v="2"/>
    <n v="113"/>
    <x v="1"/>
    <x v="2"/>
    <x v="8"/>
    <n v="-300"/>
    <n v="74"/>
    <s v="New York"/>
    <n v="110"/>
    <n v="-60"/>
    <n v="-170"/>
    <n v="50"/>
    <n v="146"/>
    <s v="Regular"/>
    <n v="-4.0540540540540544"/>
    <n v="-130"/>
    <n v="24"/>
  </r>
  <r>
    <s v="508"/>
    <n v="161"/>
    <n v="17"/>
    <x v="688"/>
    <n v="1267"/>
    <n v="161"/>
    <s v="Major Market"/>
    <x v="2"/>
    <n v="45"/>
    <x v="1"/>
    <x v="2"/>
    <x v="12"/>
    <n v="137"/>
    <n v="343"/>
    <s v="Massachusetts"/>
    <n v="140"/>
    <n v="160"/>
    <n v="120"/>
    <n v="300"/>
    <n v="69"/>
    <s v="Regular"/>
    <n v="0.39941690962099125"/>
    <n v="17"/>
    <n v="43"/>
  </r>
  <r>
    <s v="212"/>
    <n v="239"/>
    <n v="196"/>
    <x v="689"/>
    <n v="1197"/>
    <n v="526"/>
    <s v="Major Market"/>
    <x v="2"/>
    <n v="66"/>
    <x v="1"/>
    <x v="2"/>
    <x v="12"/>
    <n v="646"/>
    <n v="815"/>
    <s v="New York"/>
    <n v="210"/>
    <n v="510"/>
    <n v="450"/>
    <n v="720"/>
    <n v="91"/>
    <s v="Regular"/>
    <n v="0.79263803680981593"/>
    <n v="196"/>
    <n v="95"/>
  </r>
  <r>
    <s v="904"/>
    <n v="22"/>
    <n v="-5"/>
    <x v="690"/>
    <n v="573"/>
    <n v="29"/>
    <s v="Major Market"/>
    <x v="2"/>
    <n v="7"/>
    <x v="0"/>
    <x v="0"/>
    <x v="10"/>
    <n v="15"/>
    <n v="54"/>
    <s v="Florida"/>
    <n v="0"/>
    <n v="20"/>
    <n v="20"/>
    <n v="20"/>
    <n v="19"/>
    <s v="Decaf"/>
    <n v="0.27777777777777779"/>
    <n v="-5"/>
    <n v="34"/>
  </r>
  <r>
    <s v="585"/>
    <n v="255"/>
    <n v="121"/>
    <x v="691"/>
    <n v="1622"/>
    <n v="258"/>
    <s v="Major Market"/>
    <x v="2"/>
    <n v="96"/>
    <x v="0"/>
    <x v="0"/>
    <x v="0"/>
    <n v="191"/>
    <n v="547"/>
    <s v="New York"/>
    <n v="140"/>
    <n v="150"/>
    <n v="70"/>
    <n v="290"/>
    <n v="129"/>
    <s v="Decaf"/>
    <n v="0.34917733089579522"/>
    <n v="121"/>
    <n v="257"/>
  </r>
  <r>
    <s v="631"/>
    <n v="239"/>
    <n v="-152"/>
    <x v="692"/>
    <n v="4360"/>
    <n v="-75"/>
    <s v="Major Market"/>
    <x v="2"/>
    <n v="74"/>
    <x v="0"/>
    <x v="0"/>
    <x v="1"/>
    <n v="-252"/>
    <n v="175"/>
    <s v="New York"/>
    <n v="130"/>
    <n v="-50"/>
    <n v="-100"/>
    <n v="80"/>
    <n v="95"/>
    <s v="Decaf"/>
    <n v="-1.44"/>
    <n v="-152"/>
    <n v="95"/>
  </r>
  <r>
    <s v="585"/>
    <n v="108"/>
    <n v="31"/>
    <x v="693"/>
    <n v="971"/>
    <n v="157"/>
    <s v="Major Market"/>
    <x v="2"/>
    <n v="30"/>
    <x v="0"/>
    <x v="1"/>
    <x v="2"/>
    <n v="171"/>
    <n v="282"/>
    <s v="New York"/>
    <n v="110"/>
    <n v="170"/>
    <n v="140"/>
    <n v="280"/>
    <n v="42"/>
    <s v="Regular"/>
    <n v="0.6063829787234043"/>
    <n v="31"/>
    <n v="2"/>
  </r>
  <r>
    <s v="718"/>
    <n v="123"/>
    <n v="39"/>
    <x v="694"/>
    <n v="915"/>
    <n v="179"/>
    <s v="Major Market"/>
    <x v="2"/>
    <n v="34"/>
    <x v="0"/>
    <x v="1"/>
    <x v="11"/>
    <n v="199"/>
    <n v="322"/>
    <s v="New York"/>
    <n v="130"/>
    <n v="190"/>
    <n v="160"/>
    <n v="320"/>
    <n v="45"/>
    <s v="Regular"/>
    <n v="0.61801242236024845"/>
    <n v="39"/>
    <n v="2"/>
  </r>
  <r>
    <s v="607"/>
    <n v="76"/>
    <n v="16"/>
    <x v="695"/>
    <n v="580"/>
    <n v="111"/>
    <s v="Major Market"/>
    <x v="2"/>
    <n v="21"/>
    <x v="0"/>
    <x v="1"/>
    <x v="3"/>
    <n v="116"/>
    <n v="199"/>
    <s v="New York"/>
    <n v="80"/>
    <n v="120"/>
    <n v="100"/>
    <n v="200"/>
    <n v="33"/>
    <s v="Regular"/>
    <n v="0.58291457286432158"/>
    <n v="16"/>
    <n v="-1"/>
  </r>
  <r>
    <s v="904"/>
    <n v="102"/>
    <n v="42"/>
    <x v="696"/>
    <n v="666"/>
    <n v="143"/>
    <s v="Major Market"/>
    <x v="2"/>
    <n v="31"/>
    <x v="1"/>
    <x v="3"/>
    <x v="5"/>
    <n v="132"/>
    <n v="261"/>
    <s v="Florida"/>
    <n v="90"/>
    <n v="130"/>
    <n v="90"/>
    <n v="220"/>
    <n v="54"/>
    <s v="Decaf"/>
    <n v="0.50574712643678166"/>
    <n v="42"/>
    <n v="41"/>
  </r>
  <r>
    <s v="772"/>
    <n v="77"/>
    <n v="16"/>
    <x v="697"/>
    <n v="557"/>
    <n v="103"/>
    <s v="Major Market"/>
    <x v="2"/>
    <n v="25"/>
    <x v="1"/>
    <x v="2"/>
    <x v="4"/>
    <n v="76"/>
    <n v="192"/>
    <s v="Florida"/>
    <n v="70"/>
    <n v="100"/>
    <n v="60"/>
    <n v="170"/>
    <n v="52"/>
    <s v="Decaf"/>
    <n v="0.39583333333333331"/>
    <n v="16"/>
    <n v="22"/>
  </r>
  <r>
    <s v="786"/>
    <n v="78"/>
    <n v="33"/>
    <x v="698"/>
    <n v="798"/>
    <n v="119"/>
    <s v="Major Market"/>
    <x v="2"/>
    <n v="25"/>
    <x v="1"/>
    <x v="3"/>
    <x v="7"/>
    <n v="93"/>
    <n v="210"/>
    <s v="Florida"/>
    <n v="70"/>
    <n v="100"/>
    <n v="60"/>
    <n v="170"/>
    <n v="56"/>
    <s v="Regular"/>
    <n v="0.44285714285714284"/>
    <n v="33"/>
    <n v="40"/>
  </r>
  <r>
    <s v="857"/>
    <n v="75"/>
    <n v="181"/>
    <x v="699"/>
    <n v="-3287"/>
    <n v="379"/>
    <s v="Major Market"/>
    <x v="2"/>
    <n v="24"/>
    <x v="1"/>
    <x v="3"/>
    <x v="7"/>
    <n v="481"/>
    <n v="484"/>
    <s v="Massachusetts"/>
    <n v="60"/>
    <n v="340"/>
    <n v="300"/>
    <n v="400"/>
    <n v="55"/>
    <s v="Regular"/>
    <n v="0.99380165289256195"/>
    <n v="181"/>
    <n v="84"/>
  </r>
  <r>
    <s v="607"/>
    <n v="249"/>
    <n v="120"/>
    <x v="700"/>
    <n v="2580"/>
    <n v="374"/>
    <s v="Major Market"/>
    <x v="2"/>
    <n v="87"/>
    <x v="1"/>
    <x v="3"/>
    <x v="7"/>
    <n v="350"/>
    <n v="664"/>
    <s v="New York"/>
    <n v="220"/>
    <n v="340"/>
    <n v="230"/>
    <n v="560"/>
    <n v="138"/>
    <s v="Regular"/>
    <n v="0.52710843373493976"/>
    <n v="120"/>
    <n v="104"/>
  </r>
  <r>
    <s v="813"/>
    <n v="94"/>
    <n v="2"/>
    <x v="701"/>
    <n v="694"/>
    <n v="130"/>
    <s v="Major Market"/>
    <x v="2"/>
    <n v="85"/>
    <x v="1"/>
    <x v="2"/>
    <x v="8"/>
    <n v="22"/>
    <n v="239"/>
    <s v="Florida"/>
    <n v="90"/>
    <n v="120"/>
    <n v="20"/>
    <n v="210"/>
    <n v="115"/>
    <s v="Regular"/>
    <n v="9.2050209205020925E-2"/>
    <n v="2"/>
    <n v="29"/>
  </r>
  <r>
    <s v="914"/>
    <n v="121"/>
    <n v="-110"/>
    <x v="702"/>
    <n v="3385"/>
    <n v="-60"/>
    <s v="Major Market"/>
    <x v="2"/>
    <n v="109"/>
    <x v="1"/>
    <x v="2"/>
    <x v="8"/>
    <n v="-300"/>
    <n v="65"/>
    <s v="New York"/>
    <n v="110"/>
    <n v="-60"/>
    <n v="-190"/>
    <n v="50"/>
    <n v="142"/>
    <s v="Regular"/>
    <n v="-4.615384615384615"/>
    <n v="-110"/>
    <n v="15"/>
  </r>
  <r>
    <s v="617"/>
    <n v="181"/>
    <n v="40"/>
    <x v="703"/>
    <n v="1283"/>
    <n v="182"/>
    <s v="Major Market"/>
    <x v="2"/>
    <n v="50"/>
    <x v="1"/>
    <x v="2"/>
    <x v="12"/>
    <n v="160"/>
    <n v="387"/>
    <s v="Massachusetts"/>
    <n v="170"/>
    <n v="180"/>
    <n v="120"/>
    <n v="350"/>
    <n v="74"/>
    <s v="Regular"/>
    <n v="0.41343669250645992"/>
    <n v="40"/>
    <n v="37"/>
  </r>
  <r>
    <s v="917"/>
    <n v="211"/>
    <n v="175"/>
    <x v="704"/>
    <n v="933"/>
    <n v="464"/>
    <s v="Major Market"/>
    <x v="2"/>
    <n v="59"/>
    <x v="1"/>
    <x v="2"/>
    <x v="12"/>
    <n v="565"/>
    <n v="719"/>
    <s v="New York"/>
    <n v="200"/>
    <n v="460"/>
    <n v="390"/>
    <n v="660"/>
    <n v="83"/>
    <s v="Regular"/>
    <n v="0.78581363004172466"/>
    <n v="175"/>
    <n v="59"/>
  </r>
  <r>
    <s v="727"/>
    <n v="22"/>
    <n v="6"/>
    <x v="705"/>
    <n v="570"/>
    <n v="30"/>
    <s v="Major Market"/>
    <x v="2"/>
    <n v="7"/>
    <x v="0"/>
    <x v="0"/>
    <x v="10"/>
    <n v="16"/>
    <n v="55"/>
    <s v="Florida"/>
    <n v="10"/>
    <n v="20"/>
    <n v="10"/>
    <n v="30"/>
    <n v="19"/>
    <s v="Decaf"/>
    <n v="0.29090909090909089"/>
    <n v="6"/>
    <n v="25"/>
  </r>
  <r>
    <s v="585"/>
    <n v="245"/>
    <n v="163"/>
    <x v="706"/>
    <n v="1704"/>
    <n v="331"/>
    <s v="Major Market"/>
    <x v="2"/>
    <n v="93"/>
    <x v="0"/>
    <x v="0"/>
    <x v="0"/>
    <n v="303"/>
    <n v="614"/>
    <s v="New York"/>
    <n v="180"/>
    <n v="240"/>
    <n v="140"/>
    <n v="420"/>
    <n v="127"/>
    <s v="Decaf"/>
    <n v="0.49348534201954397"/>
    <n v="163"/>
    <n v="194"/>
  </r>
  <r>
    <s v="518"/>
    <n v="225"/>
    <n v="-112"/>
    <x v="707"/>
    <n v="4742"/>
    <n v="-65"/>
    <s v="Major Market"/>
    <x v="2"/>
    <n v="69"/>
    <x v="0"/>
    <x v="0"/>
    <x v="1"/>
    <n v="-232"/>
    <n v="171"/>
    <s v="New York"/>
    <n v="160"/>
    <n v="-50"/>
    <n v="-120"/>
    <n v="110"/>
    <n v="91"/>
    <s v="Decaf"/>
    <n v="-1.3567251461988303"/>
    <n v="-112"/>
    <n v="61"/>
  </r>
  <r>
    <s v="516"/>
    <n v="81"/>
    <n v="35"/>
    <x v="708"/>
    <n v="984"/>
    <n v="117"/>
    <s v="Major Market"/>
    <x v="2"/>
    <n v="22"/>
    <x v="0"/>
    <x v="1"/>
    <x v="2"/>
    <n v="125"/>
    <n v="211"/>
    <s v="New York"/>
    <n v="80"/>
    <n v="120"/>
    <n v="90"/>
    <n v="200"/>
    <n v="33"/>
    <s v="Regular"/>
    <n v="0.59241706161137442"/>
    <n v="35"/>
    <n v="11"/>
  </r>
  <r>
    <s v="914"/>
    <n v="118"/>
    <n v="58"/>
    <x v="709"/>
    <n v="930"/>
    <n v="172"/>
    <s v="Major Market"/>
    <x v="2"/>
    <n v="33"/>
    <x v="0"/>
    <x v="1"/>
    <x v="11"/>
    <n v="188"/>
    <n v="309"/>
    <s v="New York"/>
    <n v="120"/>
    <n v="170"/>
    <n v="130"/>
    <n v="290"/>
    <n v="45"/>
    <s v="Regular"/>
    <n v="0.60841423948220064"/>
    <n v="58"/>
    <n v="19"/>
  </r>
  <r>
    <s v="727"/>
    <n v="134"/>
    <n v="71"/>
    <x v="710"/>
    <n v="690"/>
    <n v="186"/>
    <s v="Major Market"/>
    <x v="2"/>
    <n v="41"/>
    <x v="1"/>
    <x v="3"/>
    <x v="5"/>
    <n v="181"/>
    <n v="341"/>
    <s v="Florida"/>
    <n v="120"/>
    <n v="160"/>
    <n v="110"/>
    <n v="280"/>
    <n v="64"/>
    <s v="Decaf"/>
    <n v="0.53079178885630496"/>
    <n v="71"/>
    <n v="61"/>
  </r>
  <r>
    <s v="386"/>
    <n v="83"/>
    <n v="16"/>
    <x v="711"/>
    <n v="575"/>
    <n v="112"/>
    <s v="Major Market"/>
    <x v="2"/>
    <n v="27"/>
    <x v="1"/>
    <x v="2"/>
    <x v="4"/>
    <n v="86"/>
    <n v="208"/>
    <s v="Florida"/>
    <n v="80"/>
    <n v="110"/>
    <n v="70"/>
    <n v="190"/>
    <n v="54"/>
    <s v="Decaf"/>
    <n v="0.41346153846153844"/>
    <n v="16"/>
    <n v="18"/>
  </r>
  <r>
    <s v="407"/>
    <n v="88"/>
    <n v="28"/>
    <x v="712"/>
    <n v="817"/>
    <n v="133"/>
    <s v="Major Market"/>
    <x v="2"/>
    <n v="29"/>
    <x v="1"/>
    <x v="3"/>
    <x v="7"/>
    <n v="108"/>
    <n v="236"/>
    <s v="Florida"/>
    <n v="70"/>
    <n v="120"/>
    <n v="80"/>
    <n v="190"/>
    <n v="60"/>
    <s v="Regular"/>
    <n v="0.4576271186440678"/>
    <n v="28"/>
    <n v="46"/>
  </r>
  <r>
    <s v="351"/>
    <n v="67"/>
    <n v="219"/>
    <x v="713"/>
    <n v="-3534"/>
    <n v="443"/>
    <s v="Major Market"/>
    <x v="2"/>
    <n v="22"/>
    <x v="1"/>
    <x v="3"/>
    <x v="7"/>
    <n v="579"/>
    <n v="543"/>
    <s v="Massachusetts"/>
    <n v="60"/>
    <n v="390"/>
    <n v="360"/>
    <n v="450"/>
    <n v="53"/>
    <s v="Regular"/>
    <n v="1.0662983425414365"/>
    <n v="219"/>
    <n v="93"/>
  </r>
  <r>
    <s v="315"/>
    <n v="279"/>
    <n v="152"/>
    <x v="714"/>
    <n v="2642"/>
    <n v="420"/>
    <s v="Major Market"/>
    <x v="2"/>
    <n v="97"/>
    <x v="1"/>
    <x v="3"/>
    <x v="7"/>
    <n v="402"/>
    <n v="745"/>
    <s v="New York"/>
    <n v="250"/>
    <n v="370"/>
    <n v="250"/>
    <n v="620"/>
    <n v="149"/>
    <s v="Regular"/>
    <n v="0.53959731543624156"/>
    <n v="152"/>
    <n v="125"/>
  </r>
  <r>
    <s v="305"/>
    <n v="105"/>
    <n v="1"/>
    <x v="715"/>
    <n v="716"/>
    <n v="145"/>
    <s v="Major Market"/>
    <x v="2"/>
    <n v="95"/>
    <x v="1"/>
    <x v="2"/>
    <x v="8"/>
    <n v="31"/>
    <n v="266"/>
    <s v="Florida"/>
    <n v="100"/>
    <n v="140"/>
    <n v="30"/>
    <n v="240"/>
    <n v="124"/>
    <s v="Regular"/>
    <n v="0.11654135338345864"/>
    <n v="1"/>
    <n v="26"/>
  </r>
  <r>
    <s v="845"/>
    <n v="135"/>
    <n v="-122"/>
    <x v="716"/>
    <n v="3641"/>
    <n v="-69"/>
    <s v="Major Market"/>
    <x v="2"/>
    <n v="122"/>
    <x v="1"/>
    <x v="2"/>
    <x v="8"/>
    <n v="-332"/>
    <n v="70"/>
    <s v="New York"/>
    <n v="130"/>
    <n v="-70"/>
    <n v="-210"/>
    <n v="60"/>
    <n v="155"/>
    <s v="Regular"/>
    <n v="-4.7428571428571429"/>
    <n v="-122"/>
    <n v="10"/>
  </r>
  <r>
    <s v="857"/>
    <n v="153"/>
    <n v="49"/>
    <x v="717"/>
    <n v="1319"/>
    <n v="153"/>
    <s v="Major Market"/>
    <x v="2"/>
    <n v="42"/>
    <x v="1"/>
    <x v="2"/>
    <x v="12"/>
    <n v="129"/>
    <n v="326"/>
    <s v="Massachusetts"/>
    <n v="150"/>
    <n v="140"/>
    <n v="80"/>
    <n v="290"/>
    <n v="66"/>
    <s v="Regular"/>
    <n v="0.39570552147239263"/>
    <n v="49"/>
    <n v="36"/>
  </r>
  <r>
    <s v="518"/>
    <n v="250"/>
    <n v="143"/>
    <x v="718"/>
    <n v="723"/>
    <n v="407"/>
    <s v="Major Market"/>
    <x v="2"/>
    <n v="70"/>
    <x v="1"/>
    <x v="2"/>
    <x v="12"/>
    <n v="463"/>
    <n v="700"/>
    <s v="New York"/>
    <n v="240"/>
    <n v="400"/>
    <n v="320"/>
    <n v="640"/>
    <n v="95"/>
    <s v="Regular"/>
    <n v="0.66142857142857148"/>
    <n v="143"/>
    <n v="60"/>
  </r>
  <r>
    <s v="631"/>
    <n v="294"/>
    <n v="249"/>
    <x v="719"/>
    <n v="1727"/>
    <n v="453"/>
    <s v="Major Market"/>
    <x v="2"/>
    <n v="111"/>
    <x v="0"/>
    <x v="0"/>
    <x v="0"/>
    <n v="459"/>
    <n v="796"/>
    <s v="New York"/>
    <n v="220"/>
    <n v="320"/>
    <n v="210"/>
    <n v="540"/>
    <n v="144"/>
    <s v="Decaf"/>
    <n v="0.5766331658291457"/>
    <n v="249"/>
    <n v="256"/>
  </r>
  <r>
    <s v="716"/>
    <n v="241"/>
    <n v="-130"/>
    <x v="720"/>
    <n v="5121"/>
    <n v="-93"/>
    <s v="Major Market"/>
    <x v="2"/>
    <n v="74"/>
    <x v="0"/>
    <x v="0"/>
    <x v="1"/>
    <n v="-280"/>
    <n v="158"/>
    <s v="New York"/>
    <n v="180"/>
    <n v="-80"/>
    <n v="-150"/>
    <n v="100"/>
    <n v="96"/>
    <s v="Decaf"/>
    <n v="-1.7721518987341771"/>
    <n v="-130"/>
    <n v="58"/>
  </r>
  <r>
    <s v="718"/>
    <n v="86"/>
    <n v="42"/>
    <x v="721"/>
    <n v="1003"/>
    <n v="124"/>
    <s v="Major Market"/>
    <x v="2"/>
    <n v="24"/>
    <x v="0"/>
    <x v="1"/>
    <x v="2"/>
    <n v="132"/>
    <n v="224"/>
    <s v="New York"/>
    <n v="90"/>
    <n v="120"/>
    <n v="90"/>
    <n v="210"/>
    <n v="35"/>
    <s v="Regular"/>
    <n v="0.5892857142857143"/>
    <n v="42"/>
    <n v="14"/>
  </r>
  <r>
    <s v="518"/>
    <n v="123"/>
    <n v="47"/>
    <x v="722"/>
    <n v="959"/>
    <n v="179"/>
    <s v="Major Market"/>
    <x v="2"/>
    <n v="34"/>
    <x v="0"/>
    <x v="1"/>
    <x v="11"/>
    <n v="197"/>
    <n v="322"/>
    <s v="New York"/>
    <n v="120"/>
    <n v="190"/>
    <n v="150"/>
    <n v="310"/>
    <n v="46"/>
    <s v="Regular"/>
    <n v="0.61180124223602483"/>
    <n v="47"/>
    <n v="12"/>
  </r>
  <r>
    <s v="719"/>
    <n v="108"/>
    <n v="-34"/>
    <x v="723"/>
    <n v="971"/>
    <n v="157"/>
    <s v="Major Market"/>
    <x v="0"/>
    <n v="30"/>
    <x v="1"/>
    <x v="3"/>
    <x v="5"/>
    <n v="116"/>
    <n v="265"/>
    <s v="Colorado"/>
    <n v="100"/>
    <n v="160"/>
    <n v="150"/>
    <n v="260"/>
    <n v="41"/>
    <s v="Decaf"/>
    <n v="0.43773584905660379"/>
    <n v="-34"/>
    <n v="5"/>
  </r>
  <r>
    <s v="815"/>
    <n v="122"/>
    <n v="-45"/>
    <x v="724"/>
    <n v="789"/>
    <n v="176"/>
    <s v="Major Market"/>
    <x v="0"/>
    <n v="39"/>
    <x v="1"/>
    <x v="3"/>
    <x v="5"/>
    <n v="115"/>
    <n v="298"/>
    <s v="Illinois"/>
    <n v="110"/>
    <n v="190"/>
    <n v="160"/>
    <n v="300"/>
    <n v="61"/>
    <s v="Decaf"/>
    <n v="0.38590604026845637"/>
    <n v="-45"/>
    <n v="-2"/>
  </r>
  <r>
    <s v="303"/>
    <n v="72"/>
    <n v="-74"/>
    <x v="725"/>
    <n v="650"/>
    <n v="110"/>
    <s v="Major Market"/>
    <x v="0"/>
    <n v="23"/>
    <x v="1"/>
    <x v="2"/>
    <x v="4"/>
    <n v="56"/>
    <n v="182"/>
    <s v="Colorado"/>
    <n v="100"/>
    <n v="160"/>
    <n v="130"/>
    <n v="260"/>
    <n v="54"/>
    <s v="Decaf"/>
    <n v="0.30769230769230771"/>
    <n v="-74"/>
    <n v="-78"/>
  </r>
  <r>
    <s v="312"/>
    <n v="239"/>
    <n v="-151"/>
    <x v="726"/>
    <n v="1755"/>
    <n v="239"/>
    <s v="Major Market"/>
    <x v="0"/>
    <n v="66"/>
    <x v="1"/>
    <x v="2"/>
    <x v="4"/>
    <n v="149"/>
    <n v="478"/>
    <s v="Illinois"/>
    <n v="340"/>
    <n v="370"/>
    <n v="300"/>
    <n v="710"/>
    <n v="90"/>
    <s v="Decaf"/>
    <n v="0.31171548117154813"/>
    <n v="-151"/>
    <n v="-232"/>
  </r>
  <r>
    <s v="614"/>
    <n v="54"/>
    <n v="-58"/>
    <x v="727"/>
    <n v="404"/>
    <n v="66"/>
    <s v="Major Market"/>
    <x v="0"/>
    <n v="20"/>
    <x v="1"/>
    <x v="2"/>
    <x v="4"/>
    <n v="12"/>
    <n v="120"/>
    <s v="Ohio"/>
    <n v="70"/>
    <n v="100"/>
    <n v="70"/>
    <n v="170"/>
    <n v="54"/>
    <s v="Decaf"/>
    <n v="0.1"/>
    <n v="-58"/>
    <n v="-50"/>
  </r>
  <r>
    <s v="970"/>
    <n v="123"/>
    <n v="-27"/>
    <x v="728"/>
    <n v="915"/>
    <n v="179"/>
    <s v="Major Market"/>
    <x v="0"/>
    <n v="34"/>
    <x v="1"/>
    <x v="3"/>
    <x v="6"/>
    <n v="133"/>
    <n v="302"/>
    <s v="Colorado"/>
    <n v="120"/>
    <n v="180"/>
    <n v="160"/>
    <n v="300"/>
    <n v="46"/>
    <s v="Regular"/>
    <n v="0.44039735099337746"/>
    <n v="-27"/>
    <n v="2"/>
  </r>
  <r>
    <s v="815"/>
    <n v="154"/>
    <n v="-40"/>
    <x v="729"/>
    <n v="1132"/>
    <n v="213"/>
    <s v="Major Market"/>
    <x v="0"/>
    <n v="50"/>
    <x v="1"/>
    <x v="3"/>
    <x v="7"/>
    <n v="120"/>
    <n v="367"/>
    <s v="Illinois"/>
    <n v="150"/>
    <n v="220"/>
    <n v="160"/>
    <n v="370"/>
    <n v="93"/>
    <s v="Regular"/>
    <n v="0.32697547683923706"/>
    <n v="-40"/>
    <n v="-3"/>
  </r>
  <r>
    <s v="303"/>
    <n v="76"/>
    <n v="-91"/>
    <x v="730"/>
    <n v="580"/>
    <n v="111"/>
    <s v="Major Market"/>
    <x v="0"/>
    <n v="21"/>
    <x v="1"/>
    <x v="2"/>
    <x v="8"/>
    <n v="79"/>
    <n v="187"/>
    <s v="Colorado"/>
    <n v="100"/>
    <n v="180"/>
    <n v="170"/>
    <n v="280"/>
    <n v="32"/>
    <s v="Regular"/>
    <n v="0.42245989304812837"/>
    <n v="-91"/>
    <n v="-93"/>
  </r>
  <r>
    <s v="815"/>
    <n v="257"/>
    <n v="-196"/>
    <x v="731"/>
    <n v="1662"/>
    <n v="341"/>
    <s v="Major Market"/>
    <x v="0"/>
    <n v="84"/>
    <x v="1"/>
    <x v="2"/>
    <x v="8"/>
    <n v="224"/>
    <n v="598"/>
    <s v="Illinois"/>
    <n v="370"/>
    <n v="520"/>
    <n v="420"/>
    <n v="890"/>
    <n v="117"/>
    <s v="Regular"/>
    <n v="0.37458193979933108"/>
    <n v="-196"/>
    <n v="-292"/>
  </r>
  <r>
    <s v="567"/>
    <n v="161"/>
    <n v="-98"/>
    <x v="732"/>
    <n v="1267"/>
    <n v="161"/>
    <s v="Major Market"/>
    <x v="0"/>
    <n v="45"/>
    <x v="1"/>
    <x v="2"/>
    <x v="8"/>
    <n v="92"/>
    <n v="322"/>
    <s v="Ohio"/>
    <n v="230"/>
    <n v="240"/>
    <n v="190"/>
    <n v="470"/>
    <n v="69"/>
    <s v="Regular"/>
    <n v="0.2857142857142857"/>
    <n v="-98"/>
    <n v="-148"/>
  </r>
  <r>
    <s v="719"/>
    <n v="161"/>
    <n v="-18"/>
    <x v="733"/>
    <n v="1267"/>
    <n v="161"/>
    <s v="Major Market"/>
    <x v="0"/>
    <n v="45"/>
    <x v="0"/>
    <x v="0"/>
    <x v="10"/>
    <n v="92"/>
    <n v="322"/>
    <s v="Colorado"/>
    <n v="120"/>
    <n v="140"/>
    <n v="110"/>
    <n v="260"/>
    <n v="69"/>
    <s v="Decaf"/>
    <n v="0.2857142857142857"/>
    <n v="-18"/>
    <n v="62"/>
  </r>
  <r>
    <s v="708"/>
    <n v="123"/>
    <n v="-7"/>
    <x v="734"/>
    <n v="915"/>
    <n v="179"/>
    <s v="Major Market"/>
    <x v="0"/>
    <n v="34"/>
    <x v="0"/>
    <x v="0"/>
    <x v="10"/>
    <n v="133"/>
    <n v="302"/>
    <s v="Illinois"/>
    <n v="90"/>
    <n v="150"/>
    <n v="140"/>
    <n v="240"/>
    <n v="46"/>
    <s v="Decaf"/>
    <n v="0.44039735099337746"/>
    <n v="-7"/>
    <n v="62"/>
  </r>
  <r>
    <s v="815"/>
    <n v="108"/>
    <n v="-4"/>
    <x v="735"/>
    <n v="971"/>
    <n v="157"/>
    <s v="Major Market"/>
    <x v="0"/>
    <n v="30"/>
    <x v="0"/>
    <x v="0"/>
    <x v="1"/>
    <n v="116"/>
    <n v="265"/>
    <s v="Illinois"/>
    <n v="80"/>
    <n v="130"/>
    <n v="120"/>
    <n v="210"/>
    <n v="41"/>
    <s v="Decaf"/>
    <n v="0.43773584905660379"/>
    <n v="-4"/>
    <n v="55"/>
  </r>
  <r>
    <s v="234"/>
    <n v="82"/>
    <n v="5"/>
    <x v="736"/>
    <n v="788"/>
    <n v="123"/>
    <s v="Major Market"/>
    <x v="0"/>
    <n v="27"/>
    <x v="0"/>
    <x v="1"/>
    <x v="2"/>
    <n v="65"/>
    <n v="205"/>
    <s v="Ohio"/>
    <n v="50"/>
    <n v="90"/>
    <n v="60"/>
    <n v="140"/>
    <n v="58"/>
    <s v="Regular"/>
    <n v="0.31707317073170732"/>
    <n v="5"/>
    <n v="65"/>
  </r>
  <r>
    <s v="614"/>
    <n v="91"/>
    <n v="-4"/>
    <x v="737"/>
    <n v="656"/>
    <n v="127"/>
    <s v="Major Market"/>
    <x v="0"/>
    <n v="28"/>
    <x v="0"/>
    <x v="1"/>
    <x v="11"/>
    <n v="76"/>
    <n v="218"/>
    <s v="Ohio"/>
    <n v="50"/>
    <n v="100"/>
    <n v="80"/>
    <n v="150"/>
    <n v="51"/>
    <s v="Regular"/>
    <n v="0.34862385321100919"/>
    <n v="-4"/>
    <n v="68"/>
  </r>
  <r>
    <s v="720"/>
    <n v="90"/>
    <n v="-6"/>
    <x v="738"/>
    <n v="572"/>
    <n v="115"/>
    <s v="Major Market"/>
    <x v="0"/>
    <n v="29"/>
    <x v="0"/>
    <x v="1"/>
    <x v="3"/>
    <n v="74"/>
    <n v="205"/>
    <s v="Colorado"/>
    <n v="50"/>
    <n v="90"/>
    <n v="80"/>
    <n v="140"/>
    <n v="41"/>
    <s v="Regular"/>
    <n v="0.36097560975609755"/>
    <n v="-6"/>
    <n v="65"/>
  </r>
  <r>
    <s v="641"/>
    <n v="10"/>
    <n v="-12"/>
    <x v="739"/>
    <n v="598"/>
    <n v="13"/>
    <s v="Small Market"/>
    <x v="0"/>
    <n v="3"/>
    <x v="1"/>
    <x v="3"/>
    <x v="5"/>
    <n v="-2"/>
    <n v="23"/>
    <s v="Iowa"/>
    <n v="0"/>
    <n v="10"/>
    <n v="10"/>
    <n v="10"/>
    <n v="15"/>
    <s v="Decaf"/>
    <n v="-8.6956521739130432E-2"/>
    <n v="-12"/>
    <n v="13"/>
  </r>
  <r>
    <s v="715"/>
    <n v="86"/>
    <n v="-39"/>
    <x v="740"/>
    <n v="547"/>
    <n v="116"/>
    <s v="Small Market"/>
    <x v="0"/>
    <n v="28"/>
    <x v="1"/>
    <x v="3"/>
    <x v="5"/>
    <n v="61"/>
    <n v="202"/>
    <s v="Wisconsin"/>
    <n v="80"/>
    <n v="120"/>
    <n v="100"/>
    <n v="200"/>
    <n v="55"/>
    <s v="Decaf"/>
    <n v="0.30198019801980197"/>
    <n v="-39"/>
    <n v="2"/>
  </r>
  <r>
    <s v="816"/>
    <n v="79"/>
    <n v="-35"/>
    <x v="741"/>
    <n v="593"/>
    <n v="98"/>
    <s v="Small Market"/>
    <x v="0"/>
    <n v="30"/>
    <x v="1"/>
    <x v="3"/>
    <x v="7"/>
    <n v="35"/>
    <n v="177"/>
    <s v="Missouri"/>
    <n v="70"/>
    <n v="100"/>
    <n v="70"/>
    <n v="170"/>
    <n v="63"/>
    <s v="Regular"/>
    <n v="0.19774011299435029"/>
    <n v="-35"/>
    <n v="7"/>
  </r>
  <r>
    <s v="715"/>
    <n v="96"/>
    <n v="-42"/>
    <x v="742"/>
    <n v="683"/>
    <n v="134"/>
    <s v="Small Market"/>
    <x v="0"/>
    <n v="87"/>
    <x v="1"/>
    <x v="3"/>
    <x v="7"/>
    <n v="18"/>
    <n v="230"/>
    <s v="Wisconsin"/>
    <n v="90"/>
    <n v="140"/>
    <n v="60"/>
    <n v="230"/>
    <n v="116"/>
    <s v="Regular"/>
    <n v="7.8260869565217397E-2"/>
    <n v="-42"/>
    <n v="0"/>
  </r>
  <r>
    <s v="314"/>
    <n v="40"/>
    <n v="-54"/>
    <x v="743"/>
    <n v="881"/>
    <n v="59"/>
    <s v="Small Market"/>
    <x v="0"/>
    <n v="11"/>
    <x v="1"/>
    <x v="2"/>
    <x v="8"/>
    <n v="36"/>
    <n v="99"/>
    <s v="Missouri"/>
    <n v="50"/>
    <n v="90"/>
    <n v="90"/>
    <n v="140"/>
    <n v="23"/>
    <s v="Regular"/>
    <n v="0.36363636363636365"/>
    <n v="-54"/>
    <n v="-41"/>
  </r>
  <r>
    <s v="608"/>
    <n v="80"/>
    <n v="-72"/>
    <x v="744"/>
    <n v="1055"/>
    <n v="94"/>
    <s v="Small Market"/>
    <x v="0"/>
    <n v="24"/>
    <x v="1"/>
    <x v="2"/>
    <x v="8"/>
    <n v="48"/>
    <n v="174"/>
    <s v="Wisconsin"/>
    <n v="110"/>
    <n v="140"/>
    <n v="120"/>
    <n v="250"/>
    <n v="46"/>
    <s v="Regular"/>
    <n v="0.27586206896551724"/>
    <n v="-72"/>
    <n v="-76"/>
  </r>
  <r>
    <s v="712"/>
    <n v="257"/>
    <n v="14"/>
    <x v="745"/>
    <n v="1662"/>
    <n v="341"/>
    <s v="Small Market"/>
    <x v="0"/>
    <n v="84"/>
    <x v="0"/>
    <x v="0"/>
    <x v="10"/>
    <n v="224"/>
    <n v="598"/>
    <s v="Iowa"/>
    <n v="200"/>
    <n v="280"/>
    <n v="210"/>
    <n v="480"/>
    <n v="117"/>
    <s v="Decaf"/>
    <n v="0.37458193979933108"/>
    <n v="14"/>
    <n v="118"/>
  </r>
  <r>
    <s v="641"/>
    <n v="122"/>
    <n v="-16"/>
    <x v="746"/>
    <n v="789"/>
    <n v="176"/>
    <s v="Small Market"/>
    <x v="0"/>
    <n v="39"/>
    <x v="0"/>
    <x v="0"/>
    <x v="0"/>
    <n v="114"/>
    <n v="298"/>
    <s v="Iowa"/>
    <n v="90"/>
    <n v="150"/>
    <n v="130"/>
    <n v="240"/>
    <n v="62"/>
    <s v="Decaf"/>
    <n v="0.3825503355704698"/>
    <n v="-16"/>
    <n v="58"/>
  </r>
  <r>
    <s v="573"/>
    <n v="86"/>
    <n v="-36"/>
    <x v="747"/>
    <n v="1698"/>
    <n v="23"/>
    <s v="Small Market"/>
    <x v="0"/>
    <n v="26"/>
    <x v="0"/>
    <x v="0"/>
    <x v="0"/>
    <n v="-26"/>
    <n v="109"/>
    <s v="Missouri"/>
    <n v="60"/>
    <n v="20"/>
    <n v="10"/>
    <n v="80"/>
    <n v="49"/>
    <s v="Decaf"/>
    <n v="-0.23853211009174313"/>
    <n v="-36"/>
    <n v="29"/>
  </r>
  <r>
    <s v="563"/>
    <n v="239"/>
    <n v="39"/>
    <x v="748"/>
    <n v="1755"/>
    <n v="239"/>
    <s v="Small Market"/>
    <x v="0"/>
    <n v="66"/>
    <x v="0"/>
    <x v="1"/>
    <x v="2"/>
    <n v="149"/>
    <n v="478"/>
    <s v="Iowa"/>
    <n v="170"/>
    <n v="170"/>
    <n v="110"/>
    <n v="340"/>
    <n v="90"/>
    <s v="Regular"/>
    <n v="0.31171548117154813"/>
    <n v="39"/>
    <n v="138"/>
  </r>
  <r>
    <s v="563"/>
    <n v="255"/>
    <n v="53"/>
    <x v="749"/>
    <n v="1756"/>
    <n v="312"/>
    <s v="Small Market"/>
    <x v="0"/>
    <n v="96"/>
    <x v="0"/>
    <x v="1"/>
    <x v="11"/>
    <n v="183"/>
    <n v="567"/>
    <s v="Iowa"/>
    <n v="170"/>
    <n v="230"/>
    <n v="130"/>
    <n v="400"/>
    <n v="129"/>
    <s v="Regular"/>
    <n v="0.32275132275132273"/>
    <n v="53"/>
    <n v="167"/>
  </r>
  <r>
    <s v="417"/>
    <n v="25"/>
    <n v="-11"/>
    <x v="750"/>
    <n v="209"/>
    <n v="31"/>
    <s v="Small Market"/>
    <x v="0"/>
    <n v="9"/>
    <x v="0"/>
    <x v="1"/>
    <x v="11"/>
    <n v="-11"/>
    <n v="56"/>
    <s v="Missouri"/>
    <n v="10"/>
    <n v="20"/>
    <n v="0"/>
    <n v="30"/>
    <n v="42"/>
    <s v="Regular"/>
    <n v="-0.19642857142857142"/>
    <n v="-11"/>
    <n v="26"/>
  </r>
  <r>
    <s v="970"/>
    <n v="81"/>
    <n v="4"/>
    <x v="751"/>
    <n v="984"/>
    <n v="117"/>
    <s v="Major Market"/>
    <x v="0"/>
    <n v="22"/>
    <x v="1"/>
    <x v="3"/>
    <x v="5"/>
    <n v="84"/>
    <n v="198"/>
    <s v="Colorado"/>
    <n v="80"/>
    <n v="110"/>
    <n v="80"/>
    <n v="190"/>
    <n v="33"/>
    <s v="Decaf"/>
    <n v="0.42424242424242425"/>
    <n v="4"/>
    <n v="8"/>
  </r>
  <r>
    <s v="815"/>
    <n v="113"/>
    <n v="-4"/>
    <x v="752"/>
    <n v="803"/>
    <n v="165"/>
    <s v="Major Market"/>
    <x v="0"/>
    <n v="36"/>
    <x v="1"/>
    <x v="3"/>
    <x v="5"/>
    <n v="106"/>
    <n v="278"/>
    <s v="Illinois"/>
    <n v="110"/>
    <n v="160"/>
    <n v="110"/>
    <n v="270"/>
    <n v="59"/>
    <s v="Decaf"/>
    <n v="0.38129496402877699"/>
    <n v="-4"/>
    <n v="8"/>
  </r>
  <r>
    <s v="303"/>
    <n v="75"/>
    <n v="-42"/>
    <x v="753"/>
    <n v="659"/>
    <n v="114"/>
    <s v="Major Market"/>
    <x v="0"/>
    <n v="24"/>
    <x v="1"/>
    <x v="2"/>
    <x v="4"/>
    <n v="58"/>
    <n v="189"/>
    <s v="Colorado"/>
    <n v="90"/>
    <n v="150"/>
    <n v="100"/>
    <n v="240"/>
    <n v="56"/>
    <s v="Decaf"/>
    <n v="0.30687830687830686"/>
    <n v="-42"/>
    <n v="-51"/>
  </r>
  <r>
    <s v="847"/>
    <n v="211"/>
    <n v="-71"/>
    <x v="754"/>
    <n v="1778"/>
    <n v="212"/>
    <s v="Major Market"/>
    <x v="0"/>
    <n v="59"/>
    <x v="1"/>
    <x v="2"/>
    <x v="4"/>
    <n v="129"/>
    <n v="423"/>
    <s v="Illinois"/>
    <n v="270"/>
    <n v="270"/>
    <n v="200"/>
    <n v="540"/>
    <n v="83"/>
    <s v="Decaf"/>
    <n v="0.30496453900709219"/>
    <n v="-71"/>
    <n v="-117"/>
  </r>
  <r>
    <s v="970"/>
    <n v="118"/>
    <n v="-2"/>
    <x v="755"/>
    <n v="930"/>
    <n v="172"/>
    <s v="Major Market"/>
    <x v="0"/>
    <n v="33"/>
    <x v="1"/>
    <x v="3"/>
    <x v="6"/>
    <n v="128"/>
    <n v="290"/>
    <s v="Colorado"/>
    <n v="110"/>
    <n v="170"/>
    <n v="130"/>
    <n v="280"/>
    <n v="44"/>
    <s v="Regular"/>
    <n v="0.44137931034482758"/>
    <n v="-2"/>
    <n v="10"/>
  </r>
  <r>
    <s v="815"/>
    <n v="173"/>
    <n v="-1"/>
    <x v="756"/>
    <n v="1150"/>
    <n v="239"/>
    <s v="Major Market"/>
    <x v="0"/>
    <n v="57"/>
    <x v="1"/>
    <x v="3"/>
    <x v="7"/>
    <n v="139"/>
    <n v="412"/>
    <s v="Illinois"/>
    <n v="170"/>
    <n v="230"/>
    <n v="140"/>
    <n v="400"/>
    <n v="100"/>
    <s v="Regular"/>
    <n v="0.33737864077669905"/>
    <n v="-1"/>
    <n v="12"/>
  </r>
  <r>
    <s v="303"/>
    <n v="50"/>
    <n v="-22"/>
    <x v="757"/>
    <n v="589"/>
    <n v="73"/>
    <s v="Major Market"/>
    <x v="0"/>
    <n v="14"/>
    <x v="1"/>
    <x v="2"/>
    <x v="8"/>
    <n v="48"/>
    <n v="123"/>
    <s v="Colorado"/>
    <n v="60"/>
    <n v="90"/>
    <n v="70"/>
    <n v="150"/>
    <n v="25"/>
    <s v="Regular"/>
    <n v="0.3902439024390244"/>
    <n v="-22"/>
    <n v="-27"/>
  </r>
  <r>
    <s v="224"/>
    <n v="228"/>
    <n v="-94"/>
    <x v="758"/>
    <n v="1691"/>
    <n v="304"/>
    <s v="Major Market"/>
    <x v="0"/>
    <n v="75"/>
    <x v="1"/>
    <x v="2"/>
    <x v="8"/>
    <n v="196"/>
    <n v="532"/>
    <s v="Illinois"/>
    <n v="290"/>
    <n v="390"/>
    <n v="290"/>
    <n v="680"/>
    <n v="108"/>
    <s v="Regular"/>
    <n v="0.36842105263157893"/>
    <n v="-94"/>
    <n v="-148"/>
  </r>
  <r>
    <s v="440"/>
    <n v="181"/>
    <n v="-63"/>
    <x v="759"/>
    <n v="1283"/>
    <n v="182"/>
    <s v="Major Market"/>
    <x v="0"/>
    <n v="50"/>
    <x v="1"/>
    <x v="2"/>
    <x v="8"/>
    <n v="107"/>
    <n v="363"/>
    <s v="Ohio"/>
    <n v="230"/>
    <n v="230"/>
    <n v="170"/>
    <n v="460"/>
    <n v="75"/>
    <s v="Regular"/>
    <n v="0.29476584022038566"/>
    <n v="-63"/>
    <n v="-97"/>
  </r>
  <r>
    <s v="970"/>
    <n v="181"/>
    <n v="7"/>
    <x v="760"/>
    <n v="1283"/>
    <n v="182"/>
    <s v="Major Market"/>
    <x v="0"/>
    <n v="50"/>
    <x v="0"/>
    <x v="0"/>
    <x v="10"/>
    <n v="107"/>
    <n v="363"/>
    <s v="Colorado"/>
    <n v="170"/>
    <n v="160"/>
    <n v="100"/>
    <n v="330"/>
    <n v="75"/>
    <s v="Decaf"/>
    <n v="0.29476584022038566"/>
    <n v="7"/>
    <n v="33"/>
  </r>
  <r>
    <s v="312"/>
    <n v="118"/>
    <n v="17"/>
    <x v="761"/>
    <n v="930"/>
    <n v="172"/>
    <s v="Major Market"/>
    <x v="0"/>
    <n v="33"/>
    <x v="0"/>
    <x v="0"/>
    <x v="10"/>
    <n v="127"/>
    <n v="290"/>
    <s v="Illinois"/>
    <n v="110"/>
    <n v="150"/>
    <n v="110"/>
    <n v="260"/>
    <n v="45"/>
    <s v="Decaf"/>
    <n v="0.43793103448275861"/>
    <n v="17"/>
    <n v="30"/>
  </r>
  <r>
    <s v="630"/>
    <n v="81"/>
    <n v="4"/>
    <x v="762"/>
    <n v="984"/>
    <n v="117"/>
    <s v="Major Market"/>
    <x v="0"/>
    <n v="22"/>
    <x v="0"/>
    <x v="0"/>
    <x v="1"/>
    <n v="84"/>
    <n v="198"/>
    <s v="Illinois"/>
    <n v="70"/>
    <n v="110"/>
    <n v="80"/>
    <n v="180"/>
    <n v="33"/>
    <s v="Decaf"/>
    <n v="0.42424242424242425"/>
    <n v="4"/>
    <n v="18"/>
  </r>
  <r>
    <s v="330"/>
    <n v="78"/>
    <n v="2"/>
    <x v="763"/>
    <n v="798"/>
    <n v="119"/>
    <s v="Major Market"/>
    <x v="0"/>
    <n v="25"/>
    <x v="0"/>
    <x v="1"/>
    <x v="2"/>
    <n v="62"/>
    <n v="197"/>
    <s v="Ohio"/>
    <n v="60"/>
    <n v="100"/>
    <n v="60"/>
    <n v="160"/>
    <n v="57"/>
    <s v="Regular"/>
    <n v="0.31472081218274112"/>
    <n v="2"/>
    <n v="37"/>
  </r>
  <r>
    <s v="630"/>
    <n v="75"/>
    <n v="9"/>
    <x v="764"/>
    <n v="659"/>
    <n v="114"/>
    <s v="Major Market"/>
    <x v="0"/>
    <n v="24"/>
    <x v="0"/>
    <x v="1"/>
    <x v="11"/>
    <n v="59"/>
    <n v="189"/>
    <s v="Illinois"/>
    <n v="60"/>
    <n v="90"/>
    <n v="50"/>
    <n v="150"/>
    <n v="55"/>
    <s v="Regular"/>
    <n v="0.31216931216931215"/>
    <n v="9"/>
    <n v="39"/>
  </r>
  <r>
    <s v="419"/>
    <n v="102"/>
    <n v="19"/>
    <x v="765"/>
    <n v="666"/>
    <n v="143"/>
    <s v="Major Market"/>
    <x v="0"/>
    <n v="31"/>
    <x v="0"/>
    <x v="1"/>
    <x v="11"/>
    <n v="89"/>
    <n v="245"/>
    <s v="Ohio"/>
    <n v="80"/>
    <n v="120"/>
    <n v="70"/>
    <n v="200"/>
    <n v="54"/>
    <s v="Regular"/>
    <n v="0.36326530612244901"/>
    <n v="19"/>
    <n v="45"/>
  </r>
  <r>
    <s v="719"/>
    <n v="88"/>
    <n v="10"/>
    <x v="766"/>
    <n v="561"/>
    <n v="112"/>
    <s v="Major Market"/>
    <x v="0"/>
    <n v="29"/>
    <x v="0"/>
    <x v="1"/>
    <x v="3"/>
    <n v="70"/>
    <n v="200"/>
    <s v="Colorado"/>
    <n v="70"/>
    <n v="90"/>
    <n v="60"/>
    <n v="160"/>
    <n v="42"/>
    <s v="Regular"/>
    <n v="0.35"/>
    <n v="10"/>
    <n v="40"/>
  </r>
  <r>
    <s v="641"/>
    <n v="10"/>
    <n v="-13"/>
    <x v="767"/>
    <n v="596"/>
    <n v="13"/>
    <s v="Small Market"/>
    <x v="0"/>
    <n v="3"/>
    <x v="1"/>
    <x v="3"/>
    <x v="5"/>
    <n v="-3"/>
    <n v="23"/>
    <s v="Iowa"/>
    <n v="0"/>
    <n v="20"/>
    <n v="10"/>
    <n v="20"/>
    <n v="16"/>
    <s v="Decaf"/>
    <n v="-0.13043478260869565"/>
    <n v="-13"/>
    <n v="3"/>
  </r>
  <r>
    <s v="262"/>
    <n v="77"/>
    <n v="-9"/>
    <x v="768"/>
    <n v="557"/>
    <n v="103"/>
    <s v="Small Market"/>
    <x v="0"/>
    <n v="25"/>
    <x v="1"/>
    <x v="3"/>
    <x v="5"/>
    <n v="51"/>
    <n v="180"/>
    <s v="Wisconsin"/>
    <n v="70"/>
    <n v="100"/>
    <n v="60"/>
    <n v="170"/>
    <n v="52"/>
    <s v="Decaf"/>
    <n v="0.28333333333333333"/>
    <n v="-9"/>
    <n v="10"/>
  </r>
  <r>
    <s v="563"/>
    <n v="15"/>
    <n v="-2"/>
    <x v="769"/>
    <n v="848"/>
    <n v="24"/>
    <s v="Small Market"/>
    <x v="0"/>
    <n v="4"/>
    <x v="1"/>
    <x v="3"/>
    <x v="6"/>
    <n v="8"/>
    <n v="39"/>
    <s v="Iowa"/>
    <n v="10"/>
    <n v="20"/>
    <n v="10"/>
    <n v="30"/>
    <n v="16"/>
    <s v="Regular"/>
    <n v="0.20512820512820512"/>
    <n v="-2"/>
    <n v="9"/>
  </r>
  <r>
    <s v="573"/>
    <n v="82"/>
    <n v="-2"/>
    <x v="770"/>
    <n v="601"/>
    <n v="102"/>
    <s v="Small Market"/>
    <x v="0"/>
    <n v="31"/>
    <x v="1"/>
    <x v="3"/>
    <x v="7"/>
    <n v="38"/>
    <n v="184"/>
    <s v="Missouri"/>
    <n v="80"/>
    <n v="100"/>
    <n v="40"/>
    <n v="180"/>
    <n v="64"/>
    <s v="Regular"/>
    <n v="0.20652173913043478"/>
    <n v="-2"/>
    <n v="4"/>
  </r>
  <r>
    <s v="262"/>
    <n v="94"/>
    <n v="-14"/>
    <x v="771"/>
    <n v="694"/>
    <n v="130"/>
    <s v="Small Market"/>
    <x v="0"/>
    <n v="85"/>
    <x v="1"/>
    <x v="3"/>
    <x v="7"/>
    <n v="16"/>
    <n v="224"/>
    <s v="Wisconsin"/>
    <n v="90"/>
    <n v="130"/>
    <n v="30"/>
    <n v="220"/>
    <n v="114"/>
    <s v="Regular"/>
    <n v="7.1428571428571425E-2"/>
    <n v="-14"/>
    <n v="4"/>
  </r>
  <r>
    <s v="314"/>
    <n v="54"/>
    <n v="-29"/>
    <x v="772"/>
    <n v="885"/>
    <n v="78"/>
    <s v="Small Market"/>
    <x v="0"/>
    <n v="15"/>
    <x v="1"/>
    <x v="2"/>
    <x v="8"/>
    <n v="51"/>
    <n v="132"/>
    <s v="Missouri"/>
    <n v="60"/>
    <n v="100"/>
    <n v="80"/>
    <n v="160"/>
    <n v="27"/>
    <s v="Regular"/>
    <n v="0.38636363636363635"/>
    <n v="-29"/>
    <n v="-28"/>
  </r>
  <r>
    <s v="920"/>
    <n v="75"/>
    <n v="-25"/>
    <x v="773"/>
    <n v="1063"/>
    <n v="89"/>
    <s v="Small Market"/>
    <x v="0"/>
    <n v="23"/>
    <x v="1"/>
    <x v="2"/>
    <x v="8"/>
    <n v="45"/>
    <n v="164"/>
    <s v="Wisconsin"/>
    <n v="90"/>
    <n v="110"/>
    <n v="70"/>
    <n v="200"/>
    <n v="44"/>
    <s v="Regular"/>
    <n v="0.27439024390243905"/>
    <n v="-25"/>
    <n v="-36"/>
  </r>
  <r>
    <s v="712"/>
    <n v="228"/>
    <n v="16"/>
    <x v="774"/>
    <n v="1691"/>
    <n v="304"/>
    <s v="Small Market"/>
    <x v="0"/>
    <n v="75"/>
    <x v="0"/>
    <x v="0"/>
    <x v="10"/>
    <n v="196"/>
    <n v="532"/>
    <s v="Iowa"/>
    <n v="210"/>
    <n v="280"/>
    <n v="180"/>
    <n v="490"/>
    <n v="108"/>
    <s v="Decaf"/>
    <n v="0.36842105263157893"/>
    <n v="16"/>
    <n v="42"/>
  </r>
  <r>
    <s v="712"/>
    <n v="113"/>
    <n v="7"/>
    <x v="775"/>
    <n v="803"/>
    <n v="165"/>
    <s v="Small Market"/>
    <x v="0"/>
    <n v="36"/>
    <x v="0"/>
    <x v="0"/>
    <x v="0"/>
    <n v="107"/>
    <n v="278"/>
    <s v="Iowa"/>
    <n v="100"/>
    <n v="150"/>
    <n v="100"/>
    <n v="250"/>
    <n v="58"/>
    <s v="Decaf"/>
    <n v="0.38489208633093525"/>
    <n v="7"/>
    <n v="28"/>
  </r>
  <r>
    <s v="712"/>
    <n v="211"/>
    <n v="19"/>
    <x v="776"/>
    <n v="1778"/>
    <n v="212"/>
    <s v="Small Market"/>
    <x v="0"/>
    <n v="59"/>
    <x v="0"/>
    <x v="1"/>
    <x v="2"/>
    <n v="129"/>
    <n v="423"/>
    <s v="Iowa"/>
    <n v="170"/>
    <n v="180"/>
    <n v="110"/>
    <n v="350"/>
    <n v="83"/>
    <s v="Regular"/>
    <n v="0.30496453900709219"/>
    <n v="19"/>
    <n v="73"/>
  </r>
  <r>
    <s v="319"/>
    <n v="245"/>
    <n v="43"/>
    <x v="777"/>
    <n v="1784"/>
    <n v="300"/>
    <s v="Small Market"/>
    <x v="0"/>
    <n v="93"/>
    <x v="0"/>
    <x v="1"/>
    <x v="11"/>
    <n v="173"/>
    <n v="545"/>
    <s v="Iowa"/>
    <n v="200"/>
    <n v="250"/>
    <n v="130"/>
    <n v="450"/>
    <n v="127"/>
    <s v="Regular"/>
    <n v="0.31743119266055048"/>
    <n v="43"/>
    <n v="95"/>
  </r>
  <r>
    <s v="720"/>
    <n v="86"/>
    <n v="-2"/>
    <x v="778"/>
    <n v="1003"/>
    <n v="124"/>
    <s v="Major Market"/>
    <x v="0"/>
    <n v="24"/>
    <x v="1"/>
    <x v="3"/>
    <x v="5"/>
    <n v="88"/>
    <n v="210"/>
    <s v="Colorado"/>
    <n v="80"/>
    <n v="120"/>
    <n v="90"/>
    <n v="200"/>
    <n v="36"/>
    <s v="Decaf"/>
    <n v="0.41904761904761906"/>
    <n v="-2"/>
    <n v="10"/>
  </r>
  <r>
    <s v="630"/>
    <n v="127"/>
    <n v="-8"/>
    <x v="779"/>
    <n v="830"/>
    <n v="185"/>
    <s v="Major Market"/>
    <x v="0"/>
    <n v="40"/>
    <x v="1"/>
    <x v="3"/>
    <x v="5"/>
    <n v="122"/>
    <n v="312"/>
    <s v="Illinois"/>
    <n v="120"/>
    <n v="180"/>
    <n v="130"/>
    <n v="300"/>
    <n v="63"/>
    <s v="Decaf"/>
    <n v="0.39102564102564102"/>
    <n v="-8"/>
    <n v="12"/>
  </r>
  <r>
    <s v="970"/>
    <n v="67"/>
    <n v="-33"/>
    <x v="780"/>
    <n v="677"/>
    <n v="101"/>
    <s v="Major Market"/>
    <x v="0"/>
    <n v="22"/>
    <x v="1"/>
    <x v="2"/>
    <x v="4"/>
    <n v="47"/>
    <n v="168"/>
    <s v="Colorado"/>
    <n v="80"/>
    <n v="130"/>
    <n v="80"/>
    <n v="210"/>
    <n v="54"/>
    <s v="Decaf"/>
    <n v="0.27976190476190477"/>
    <n v="-33"/>
    <n v="-42"/>
  </r>
  <r>
    <s v="630"/>
    <n v="250"/>
    <n v="-83"/>
    <x v="781"/>
    <n v="1820"/>
    <n v="251"/>
    <s v="Major Market"/>
    <x v="0"/>
    <n v="70"/>
    <x v="1"/>
    <x v="2"/>
    <x v="4"/>
    <n v="157"/>
    <n v="501"/>
    <s v="Illinois"/>
    <n v="320"/>
    <n v="320"/>
    <n v="240"/>
    <n v="640"/>
    <n v="94"/>
    <s v="Decaf"/>
    <n v="0.31337325349301398"/>
    <n v="-83"/>
    <n v="-139"/>
  </r>
  <r>
    <s v="719"/>
    <n v="123"/>
    <n v="4"/>
    <x v="782"/>
    <n v="959"/>
    <n v="179"/>
    <s v="Major Market"/>
    <x v="0"/>
    <n v="34"/>
    <x v="1"/>
    <x v="3"/>
    <x v="6"/>
    <n v="134"/>
    <n v="302"/>
    <s v="Colorado"/>
    <n v="120"/>
    <n v="170"/>
    <n v="130"/>
    <n v="290"/>
    <n v="45"/>
    <s v="Regular"/>
    <n v="0.44370860927152317"/>
    <n v="4"/>
    <n v="12"/>
  </r>
  <r>
    <s v="847"/>
    <n v="224"/>
    <n v="4"/>
    <x v="783"/>
    <n v="1191"/>
    <n v="310"/>
    <s v="Major Market"/>
    <x v="0"/>
    <n v="73"/>
    <x v="1"/>
    <x v="3"/>
    <x v="7"/>
    <n v="194"/>
    <n v="534"/>
    <s v="Illinois"/>
    <n v="220"/>
    <n v="300"/>
    <n v="190"/>
    <n v="520"/>
    <n v="116"/>
    <s v="Regular"/>
    <n v="0.36329588014981273"/>
    <n v="4"/>
    <n v="14"/>
  </r>
  <r>
    <s v="970"/>
    <n v="54"/>
    <n v="-37"/>
    <x v="784"/>
    <n v="601"/>
    <n v="79"/>
    <s v="Major Market"/>
    <x v="0"/>
    <n v="15"/>
    <x v="1"/>
    <x v="2"/>
    <x v="8"/>
    <n v="53"/>
    <n v="133"/>
    <s v="Colorado"/>
    <n v="60"/>
    <n v="110"/>
    <n v="90"/>
    <n v="170"/>
    <n v="26"/>
    <s v="Regular"/>
    <n v="0.39849624060150374"/>
    <n v="-37"/>
    <n v="-37"/>
  </r>
  <r>
    <s v="815"/>
    <n v="247"/>
    <n v="-104"/>
    <x v="785"/>
    <n v="1744"/>
    <n v="329"/>
    <s v="Major Market"/>
    <x v="0"/>
    <n v="81"/>
    <x v="1"/>
    <x v="2"/>
    <x v="8"/>
    <n v="216"/>
    <n v="576"/>
    <s v="Illinois"/>
    <n v="310"/>
    <n v="420"/>
    <n v="320"/>
    <n v="730"/>
    <n v="113"/>
    <s v="Regular"/>
    <n v="0.375"/>
    <n v="-104"/>
    <n v="-154"/>
  </r>
  <r>
    <s v="740"/>
    <n v="153"/>
    <n v="-53"/>
    <x v="786"/>
    <n v="1319"/>
    <n v="153"/>
    <s v="Major Market"/>
    <x v="0"/>
    <n v="42"/>
    <x v="1"/>
    <x v="2"/>
    <x v="8"/>
    <n v="87"/>
    <n v="306"/>
    <s v="Ohio"/>
    <n v="190"/>
    <n v="200"/>
    <n v="140"/>
    <n v="390"/>
    <n v="66"/>
    <s v="Regular"/>
    <n v="0.28431372549019607"/>
    <n v="-53"/>
    <n v="-84"/>
  </r>
  <r>
    <s v="303"/>
    <n v="153"/>
    <n v="7"/>
    <x v="787"/>
    <n v="1319"/>
    <n v="153"/>
    <s v="Major Market"/>
    <x v="0"/>
    <n v="42"/>
    <x v="0"/>
    <x v="0"/>
    <x v="10"/>
    <n v="87"/>
    <n v="306"/>
    <s v="Colorado"/>
    <n v="140"/>
    <n v="140"/>
    <n v="80"/>
    <n v="280"/>
    <n v="66"/>
    <s v="Decaf"/>
    <n v="0.28431372549019607"/>
    <n v="7"/>
    <n v="26"/>
  </r>
  <r>
    <s v="309"/>
    <n v="123"/>
    <n v="3"/>
    <x v="788"/>
    <n v="959"/>
    <n v="179"/>
    <s v="Major Market"/>
    <x v="0"/>
    <n v="34"/>
    <x v="0"/>
    <x v="0"/>
    <x v="10"/>
    <n v="133"/>
    <n v="302"/>
    <s v="Illinois"/>
    <n v="110"/>
    <n v="170"/>
    <n v="130"/>
    <n v="280"/>
    <n v="46"/>
    <s v="Decaf"/>
    <n v="0.44039735099337746"/>
    <n v="3"/>
    <n v="22"/>
  </r>
  <r>
    <s v="630"/>
    <n v="86"/>
    <n v="8"/>
    <x v="789"/>
    <n v="1003"/>
    <n v="124"/>
    <s v="Major Market"/>
    <x v="0"/>
    <n v="24"/>
    <x v="0"/>
    <x v="0"/>
    <x v="1"/>
    <n v="88"/>
    <n v="210"/>
    <s v="Illinois"/>
    <n v="80"/>
    <n v="110"/>
    <n v="80"/>
    <n v="190"/>
    <n v="36"/>
    <s v="Decaf"/>
    <n v="0.41904761904761906"/>
    <n v="8"/>
    <n v="20"/>
  </r>
  <r>
    <s v="513"/>
    <n v="88"/>
    <n v="2"/>
    <x v="790"/>
    <n v="817"/>
    <n v="133"/>
    <s v="Major Market"/>
    <x v="0"/>
    <n v="29"/>
    <x v="0"/>
    <x v="1"/>
    <x v="2"/>
    <n v="72"/>
    <n v="221"/>
    <s v="Ohio"/>
    <n v="70"/>
    <n v="110"/>
    <n v="70"/>
    <n v="180"/>
    <n v="61"/>
    <s v="Regular"/>
    <n v="0.32579185520361992"/>
    <n v="2"/>
    <n v="41"/>
  </r>
  <r>
    <s v="740"/>
    <n v="134"/>
    <n v="31"/>
    <x v="791"/>
    <n v="690"/>
    <n v="186"/>
    <s v="Major Market"/>
    <x v="0"/>
    <n v="41"/>
    <x v="0"/>
    <x v="1"/>
    <x v="11"/>
    <n v="121"/>
    <n v="320"/>
    <s v="Ohio"/>
    <n v="110"/>
    <n v="150"/>
    <n v="90"/>
    <n v="260"/>
    <n v="65"/>
    <s v="Regular"/>
    <n v="0.37812499999999999"/>
    <n v="31"/>
    <n v="60"/>
  </r>
  <r>
    <s v="719"/>
    <n v="81"/>
    <n v="6"/>
    <x v="792"/>
    <n v="551"/>
    <n v="104"/>
    <s v="Major Market"/>
    <x v="0"/>
    <n v="26"/>
    <x v="0"/>
    <x v="1"/>
    <x v="3"/>
    <n v="66"/>
    <n v="185"/>
    <s v="Colorado"/>
    <n v="60"/>
    <n v="90"/>
    <n v="60"/>
    <n v="150"/>
    <n v="38"/>
    <s v="Regular"/>
    <n v="0.35675675675675678"/>
    <n v="6"/>
    <n v="35"/>
  </r>
  <r>
    <s v="319"/>
    <n v="10"/>
    <n v="-11"/>
    <x v="793"/>
    <n v="594"/>
    <n v="14"/>
    <s v="Small Market"/>
    <x v="0"/>
    <n v="3"/>
    <x v="1"/>
    <x v="3"/>
    <x v="5"/>
    <n v="-1"/>
    <n v="24"/>
    <s v="Iowa"/>
    <n v="0"/>
    <n v="20"/>
    <n v="10"/>
    <n v="20"/>
    <n v="15"/>
    <s v="Decaf"/>
    <n v="-4.1666666666666664E-2"/>
    <n v="-11"/>
    <n v="4"/>
  </r>
  <r>
    <s v="715"/>
    <n v="83"/>
    <n v="-13"/>
    <x v="794"/>
    <n v="575"/>
    <n v="112"/>
    <s v="Small Market"/>
    <x v="0"/>
    <n v="27"/>
    <x v="1"/>
    <x v="3"/>
    <x v="5"/>
    <n v="57"/>
    <n v="195"/>
    <s v="Wisconsin"/>
    <n v="80"/>
    <n v="110"/>
    <n v="70"/>
    <n v="190"/>
    <n v="55"/>
    <s v="Decaf"/>
    <n v="0.29230769230769232"/>
    <n v="-13"/>
    <n v="5"/>
  </r>
  <r>
    <s v="573"/>
    <n v="68"/>
    <n v="-14"/>
    <x v="795"/>
    <n v="619"/>
    <n v="85"/>
    <s v="Small Market"/>
    <x v="0"/>
    <n v="25"/>
    <x v="1"/>
    <x v="3"/>
    <x v="7"/>
    <n v="26"/>
    <n v="153"/>
    <s v="Missouri"/>
    <n v="60"/>
    <n v="90"/>
    <n v="40"/>
    <n v="150"/>
    <n v="59"/>
    <s v="Regular"/>
    <n v="0.16993464052287582"/>
    <n v="-14"/>
    <n v="3"/>
  </r>
  <r>
    <s v="715"/>
    <n v="105"/>
    <n v="-10"/>
    <x v="796"/>
    <n v="716"/>
    <n v="145"/>
    <s v="Small Market"/>
    <x v="0"/>
    <n v="95"/>
    <x v="1"/>
    <x v="3"/>
    <x v="7"/>
    <n v="20"/>
    <n v="250"/>
    <s v="Wisconsin"/>
    <n v="100"/>
    <n v="140"/>
    <n v="30"/>
    <n v="240"/>
    <n v="125"/>
    <s v="Regular"/>
    <n v="0.08"/>
    <n v="-10"/>
    <n v="10"/>
  </r>
  <r>
    <s v="314"/>
    <n v="50"/>
    <n v="-22"/>
    <x v="797"/>
    <n v="898"/>
    <n v="73"/>
    <s v="Small Market"/>
    <x v="0"/>
    <n v="14"/>
    <x v="1"/>
    <x v="2"/>
    <x v="8"/>
    <n v="48"/>
    <n v="123"/>
    <s v="Missouri"/>
    <n v="60"/>
    <n v="90"/>
    <n v="70"/>
    <n v="150"/>
    <n v="25"/>
    <s v="Regular"/>
    <n v="0.3902439024390244"/>
    <n v="-22"/>
    <n v="-27"/>
  </r>
  <r>
    <s v="715"/>
    <n v="80"/>
    <n v="-30"/>
    <x v="798"/>
    <n v="1079"/>
    <n v="96"/>
    <s v="Small Market"/>
    <x v="0"/>
    <n v="24"/>
    <x v="1"/>
    <x v="2"/>
    <x v="8"/>
    <n v="50"/>
    <n v="176"/>
    <s v="Wisconsin"/>
    <n v="100"/>
    <n v="120"/>
    <n v="80"/>
    <n v="220"/>
    <n v="46"/>
    <s v="Regular"/>
    <n v="0.28409090909090912"/>
    <n v="-30"/>
    <n v="-44"/>
  </r>
  <r>
    <s v="641"/>
    <n v="247"/>
    <n v="16"/>
    <x v="799"/>
    <n v="1744"/>
    <n v="329"/>
    <s v="Small Market"/>
    <x v="0"/>
    <n v="81"/>
    <x v="0"/>
    <x v="0"/>
    <x v="10"/>
    <n v="216"/>
    <n v="576"/>
    <s v="Iowa"/>
    <n v="230"/>
    <n v="300"/>
    <n v="200"/>
    <n v="530"/>
    <n v="113"/>
    <s v="Decaf"/>
    <n v="0.375"/>
    <n v="16"/>
    <n v="46"/>
  </r>
  <r>
    <s v="319"/>
    <n v="127"/>
    <n v="3"/>
    <x v="800"/>
    <n v="830"/>
    <n v="185"/>
    <s v="Small Market"/>
    <x v="0"/>
    <n v="40"/>
    <x v="0"/>
    <x v="0"/>
    <x v="0"/>
    <n v="123"/>
    <n v="312"/>
    <s v="Iowa"/>
    <n v="120"/>
    <n v="170"/>
    <n v="120"/>
    <n v="290"/>
    <n v="62"/>
    <s v="Decaf"/>
    <n v="0.39423076923076922"/>
    <n v="3"/>
    <n v="22"/>
  </r>
  <r>
    <s v="641"/>
    <n v="250"/>
    <n v="36"/>
    <x v="801"/>
    <n v="1820"/>
    <n v="251"/>
    <s v="Small Market"/>
    <x v="0"/>
    <n v="70"/>
    <x v="0"/>
    <x v="1"/>
    <x v="2"/>
    <n v="156"/>
    <n v="501"/>
    <s v="Iowa"/>
    <n v="210"/>
    <n v="200"/>
    <n v="120"/>
    <n v="410"/>
    <n v="95"/>
    <s v="Regular"/>
    <n v="0.31137724550898205"/>
    <n v="36"/>
    <n v="91"/>
  </r>
  <r>
    <s v="641"/>
    <n v="294"/>
    <n v="46"/>
    <x v="802"/>
    <n v="1838"/>
    <n v="360"/>
    <s v="Small Market"/>
    <x v="0"/>
    <n v="111"/>
    <x v="0"/>
    <x v="1"/>
    <x v="11"/>
    <n v="216"/>
    <n v="654"/>
    <s v="Iowa"/>
    <n v="240"/>
    <n v="300"/>
    <n v="170"/>
    <n v="540"/>
    <n v="144"/>
    <s v="Regular"/>
    <n v="0.33027522935779818"/>
    <n v="46"/>
    <n v="114"/>
  </r>
  <r>
    <s v="573"/>
    <n v="20"/>
    <n v="-6"/>
    <x v="803"/>
    <n v="218"/>
    <n v="25"/>
    <s v="Small Market"/>
    <x v="0"/>
    <n v="7"/>
    <x v="0"/>
    <x v="1"/>
    <x v="11"/>
    <n v="-16"/>
    <n v="45"/>
    <s v="Missouri"/>
    <n v="10"/>
    <n v="20"/>
    <n v="-10"/>
    <n v="30"/>
    <n v="41"/>
    <s v="Regular"/>
    <n v="-0.35555555555555557"/>
    <n v="-6"/>
    <n v="15"/>
  </r>
  <r>
    <s v="719"/>
    <n v="108"/>
    <n v="22"/>
    <x v="804"/>
    <n v="971"/>
    <n v="157"/>
    <s v="Major Market"/>
    <x v="0"/>
    <n v="30"/>
    <x v="1"/>
    <x v="3"/>
    <x v="5"/>
    <n v="172"/>
    <n v="282"/>
    <s v="Colorado"/>
    <n v="100"/>
    <n v="160"/>
    <n v="150"/>
    <n v="260"/>
    <n v="41"/>
    <s v="Decaf"/>
    <n v="0.60992907801418439"/>
    <n v="22"/>
    <n v="22"/>
  </r>
  <r>
    <s v="815"/>
    <n v="122"/>
    <n v="11"/>
    <x v="805"/>
    <n v="789"/>
    <n v="176"/>
    <s v="Major Market"/>
    <x v="0"/>
    <n v="39"/>
    <x v="1"/>
    <x v="3"/>
    <x v="5"/>
    <n v="171"/>
    <n v="318"/>
    <s v="Illinois"/>
    <n v="110"/>
    <n v="190"/>
    <n v="160"/>
    <n v="300"/>
    <n v="61"/>
    <s v="Decaf"/>
    <n v="0.53773584905660377"/>
    <n v="11"/>
    <n v="18"/>
  </r>
  <r>
    <s v="970"/>
    <n v="72"/>
    <n v="-47"/>
    <x v="806"/>
    <n v="650"/>
    <n v="110"/>
    <s v="Major Market"/>
    <x v="0"/>
    <n v="23"/>
    <x v="1"/>
    <x v="2"/>
    <x v="4"/>
    <n v="83"/>
    <n v="194"/>
    <s v="Colorado"/>
    <n v="100"/>
    <n v="160"/>
    <n v="130"/>
    <n v="260"/>
    <n v="54"/>
    <s v="Decaf"/>
    <n v="0.42783505154639173"/>
    <n v="-47"/>
    <n v="-66"/>
  </r>
  <r>
    <s v="773"/>
    <n v="239"/>
    <n v="-79"/>
    <x v="807"/>
    <n v="1755"/>
    <n v="239"/>
    <s v="Major Market"/>
    <x v="0"/>
    <n v="66"/>
    <x v="1"/>
    <x v="2"/>
    <x v="4"/>
    <n v="221"/>
    <n v="509"/>
    <s v="Illinois"/>
    <n v="340"/>
    <n v="370"/>
    <n v="300"/>
    <n v="710"/>
    <n v="90"/>
    <s v="Decaf"/>
    <n v="0.43418467583497056"/>
    <n v="-79"/>
    <n v="-201"/>
  </r>
  <r>
    <s v="419"/>
    <n v="54"/>
    <n v="-52"/>
    <x v="808"/>
    <n v="404"/>
    <n v="66"/>
    <s v="Major Market"/>
    <x v="0"/>
    <n v="20"/>
    <x v="1"/>
    <x v="2"/>
    <x v="4"/>
    <n v="18"/>
    <n v="128"/>
    <s v="Ohio"/>
    <n v="70"/>
    <n v="100"/>
    <n v="70"/>
    <n v="170"/>
    <n v="54"/>
    <s v="Decaf"/>
    <n v="0.140625"/>
    <n v="-52"/>
    <n v="-42"/>
  </r>
  <r>
    <s v="719"/>
    <n v="123"/>
    <n v="37"/>
    <x v="809"/>
    <n v="915"/>
    <n v="179"/>
    <s v="Major Market"/>
    <x v="0"/>
    <n v="34"/>
    <x v="1"/>
    <x v="3"/>
    <x v="6"/>
    <n v="197"/>
    <n v="322"/>
    <s v="Colorado"/>
    <n v="120"/>
    <n v="180"/>
    <n v="160"/>
    <n v="300"/>
    <n v="46"/>
    <s v="Regular"/>
    <n v="0.61180124223602483"/>
    <n v="37"/>
    <n v="22"/>
  </r>
  <r>
    <s v="815"/>
    <n v="154"/>
    <n v="18"/>
    <x v="810"/>
    <n v="1132"/>
    <n v="213"/>
    <s v="Major Market"/>
    <x v="0"/>
    <n v="50"/>
    <x v="1"/>
    <x v="3"/>
    <x v="7"/>
    <n v="178"/>
    <n v="391"/>
    <s v="Illinois"/>
    <n v="150"/>
    <n v="220"/>
    <n v="160"/>
    <n v="370"/>
    <n v="93"/>
    <s v="Regular"/>
    <n v="0.45524296675191817"/>
    <n v="18"/>
    <n v="21"/>
  </r>
  <r>
    <s v="970"/>
    <n v="76"/>
    <n v="-53"/>
    <x v="811"/>
    <n v="580"/>
    <n v="111"/>
    <s v="Major Market"/>
    <x v="0"/>
    <n v="21"/>
    <x v="1"/>
    <x v="2"/>
    <x v="8"/>
    <n v="117"/>
    <n v="199"/>
    <s v="Colorado"/>
    <n v="100"/>
    <n v="180"/>
    <n v="170"/>
    <n v="280"/>
    <n v="32"/>
    <s v="Regular"/>
    <n v="0.5879396984924623"/>
    <n v="-53"/>
    <n v="-81"/>
  </r>
  <r>
    <s v="312"/>
    <n v="257"/>
    <n v="-88"/>
    <x v="812"/>
    <n v="1662"/>
    <n v="341"/>
    <s v="Major Market"/>
    <x v="0"/>
    <n v="84"/>
    <x v="1"/>
    <x v="2"/>
    <x v="8"/>
    <n v="332"/>
    <n v="637"/>
    <s v="Illinois"/>
    <n v="370"/>
    <n v="520"/>
    <n v="420"/>
    <n v="890"/>
    <n v="117"/>
    <s v="Regular"/>
    <n v="0.52119309262166402"/>
    <n v="-88"/>
    <n v="-253"/>
  </r>
  <r>
    <s v="513"/>
    <n v="161"/>
    <n v="-53"/>
    <x v="813"/>
    <n v="1267"/>
    <n v="161"/>
    <s v="Major Market"/>
    <x v="0"/>
    <n v="45"/>
    <x v="1"/>
    <x v="2"/>
    <x v="8"/>
    <n v="137"/>
    <n v="343"/>
    <s v="Ohio"/>
    <n v="230"/>
    <n v="240"/>
    <n v="190"/>
    <n v="470"/>
    <n v="69"/>
    <s v="Regular"/>
    <n v="0.39941690962099125"/>
    <n v="-53"/>
    <n v="-127"/>
  </r>
  <r>
    <s v="720"/>
    <n v="161"/>
    <n v="27"/>
    <x v="814"/>
    <n v="1267"/>
    <n v="161"/>
    <s v="Major Market"/>
    <x v="0"/>
    <n v="45"/>
    <x v="0"/>
    <x v="0"/>
    <x v="10"/>
    <n v="137"/>
    <n v="343"/>
    <s v="Colorado"/>
    <n v="120"/>
    <n v="140"/>
    <n v="110"/>
    <n v="260"/>
    <n v="69"/>
    <s v="Decaf"/>
    <n v="0.39941690962099125"/>
    <n v="27"/>
    <n v="83"/>
  </r>
  <r>
    <s v="708"/>
    <n v="123"/>
    <n v="57"/>
    <x v="815"/>
    <n v="915"/>
    <n v="179"/>
    <s v="Major Market"/>
    <x v="0"/>
    <n v="34"/>
    <x v="0"/>
    <x v="0"/>
    <x v="10"/>
    <n v="197"/>
    <n v="322"/>
    <s v="Illinois"/>
    <n v="90"/>
    <n v="150"/>
    <n v="140"/>
    <n v="240"/>
    <n v="46"/>
    <s v="Decaf"/>
    <n v="0.61180124223602483"/>
    <n v="57"/>
    <n v="82"/>
  </r>
  <r>
    <s v="815"/>
    <n v="108"/>
    <n v="52"/>
    <x v="816"/>
    <n v="971"/>
    <n v="157"/>
    <s v="Major Market"/>
    <x v="0"/>
    <n v="30"/>
    <x v="0"/>
    <x v="0"/>
    <x v="1"/>
    <n v="172"/>
    <n v="282"/>
    <s v="Illinois"/>
    <n v="80"/>
    <n v="130"/>
    <n v="120"/>
    <n v="210"/>
    <n v="41"/>
    <s v="Decaf"/>
    <n v="0.60992907801418439"/>
    <n v="52"/>
    <n v="72"/>
  </r>
  <r>
    <s v="419"/>
    <n v="82"/>
    <n v="36"/>
    <x v="817"/>
    <n v="788"/>
    <n v="123"/>
    <s v="Major Market"/>
    <x v="0"/>
    <n v="27"/>
    <x v="0"/>
    <x v="1"/>
    <x v="2"/>
    <n v="96"/>
    <n v="218"/>
    <s v="Ohio"/>
    <n v="50"/>
    <n v="90"/>
    <n v="60"/>
    <n v="140"/>
    <n v="58"/>
    <s v="Regular"/>
    <n v="0.44036697247706424"/>
    <n v="36"/>
    <n v="78"/>
  </r>
  <r>
    <s v="419"/>
    <n v="91"/>
    <n v="33"/>
    <x v="818"/>
    <n v="656"/>
    <n v="127"/>
    <s v="Major Market"/>
    <x v="0"/>
    <n v="28"/>
    <x v="0"/>
    <x v="1"/>
    <x v="11"/>
    <n v="113"/>
    <n v="232"/>
    <s v="Ohio"/>
    <n v="50"/>
    <n v="100"/>
    <n v="80"/>
    <n v="150"/>
    <n v="51"/>
    <s v="Regular"/>
    <n v="0.48706896551724138"/>
    <n v="33"/>
    <n v="82"/>
  </r>
  <r>
    <s v="970"/>
    <n v="90"/>
    <n v="30"/>
    <x v="819"/>
    <n v="572"/>
    <n v="115"/>
    <s v="Major Market"/>
    <x v="0"/>
    <n v="29"/>
    <x v="0"/>
    <x v="1"/>
    <x v="3"/>
    <n v="110"/>
    <n v="218"/>
    <s v="Colorado"/>
    <n v="50"/>
    <n v="90"/>
    <n v="80"/>
    <n v="140"/>
    <n v="41"/>
    <s v="Regular"/>
    <n v="0.50458715596330272"/>
    <n v="30"/>
    <n v="78"/>
  </r>
  <r>
    <s v="641"/>
    <n v="10"/>
    <n v="-13"/>
    <x v="820"/>
    <n v="598"/>
    <n v="13"/>
    <s v="Small Market"/>
    <x v="0"/>
    <n v="3"/>
    <x v="1"/>
    <x v="3"/>
    <x v="5"/>
    <n v="-3"/>
    <n v="25"/>
    <s v="Iowa"/>
    <n v="0"/>
    <n v="10"/>
    <n v="10"/>
    <n v="10"/>
    <n v="15"/>
    <s v="Decaf"/>
    <n v="-0.12"/>
    <n v="-13"/>
    <n v="15"/>
  </r>
  <r>
    <s v="920"/>
    <n v="86"/>
    <n v="-9"/>
    <x v="821"/>
    <n v="547"/>
    <n v="116"/>
    <s v="Small Market"/>
    <x v="0"/>
    <n v="28"/>
    <x v="1"/>
    <x v="3"/>
    <x v="5"/>
    <n v="91"/>
    <n v="215"/>
    <s v="Wisconsin"/>
    <n v="80"/>
    <n v="120"/>
    <n v="100"/>
    <n v="200"/>
    <n v="55"/>
    <s v="Decaf"/>
    <n v="0.42325581395348838"/>
    <n v="-9"/>
    <n v="15"/>
  </r>
  <r>
    <s v="573"/>
    <n v="79"/>
    <n v="-18"/>
    <x v="822"/>
    <n v="593"/>
    <n v="98"/>
    <s v="Small Market"/>
    <x v="0"/>
    <n v="30"/>
    <x v="1"/>
    <x v="3"/>
    <x v="7"/>
    <n v="52"/>
    <n v="189"/>
    <s v="Missouri"/>
    <n v="70"/>
    <n v="100"/>
    <n v="70"/>
    <n v="170"/>
    <n v="63"/>
    <s v="Regular"/>
    <n v="0.27513227513227512"/>
    <n v="-18"/>
    <n v="19"/>
  </r>
  <r>
    <s v="414"/>
    <n v="96"/>
    <n v="-33"/>
    <x v="823"/>
    <n v="683"/>
    <n v="134"/>
    <s v="Small Market"/>
    <x v="0"/>
    <n v="87"/>
    <x v="1"/>
    <x v="3"/>
    <x v="7"/>
    <n v="27"/>
    <n v="245"/>
    <s v="Wisconsin"/>
    <n v="90"/>
    <n v="140"/>
    <n v="60"/>
    <n v="230"/>
    <n v="116"/>
    <s v="Regular"/>
    <n v="0.11020408163265306"/>
    <n v="-33"/>
    <n v="15"/>
  </r>
  <r>
    <s v="573"/>
    <n v="40"/>
    <n v="-37"/>
    <x v="824"/>
    <n v="881"/>
    <n v="59"/>
    <s v="Small Market"/>
    <x v="0"/>
    <n v="11"/>
    <x v="1"/>
    <x v="2"/>
    <x v="8"/>
    <n v="53"/>
    <n v="106"/>
    <s v="Missouri"/>
    <n v="50"/>
    <n v="90"/>
    <n v="90"/>
    <n v="140"/>
    <n v="23"/>
    <s v="Regular"/>
    <n v="0.5"/>
    <n v="-37"/>
    <n v="-34"/>
  </r>
  <r>
    <s v="262"/>
    <n v="80"/>
    <n v="-49"/>
    <x v="825"/>
    <n v="1055"/>
    <n v="94"/>
    <s v="Small Market"/>
    <x v="0"/>
    <n v="24"/>
    <x v="1"/>
    <x v="2"/>
    <x v="8"/>
    <n v="71"/>
    <n v="185"/>
    <s v="Wisconsin"/>
    <n v="110"/>
    <n v="140"/>
    <n v="120"/>
    <n v="250"/>
    <n v="46"/>
    <s v="Regular"/>
    <n v="0.38378378378378381"/>
    <n v="-49"/>
    <n v="-65"/>
  </r>
  <r>
    <s v="319"/>
    <n v="257"/>
    <n v="122"/>
    <x v="826"/>
    <n v="1662"/>
    <n v="341"/>
    <s v="Small Market"/>
    <x v="0"/>
    <n v="84"/>
    <x v="0"/>
    <x v="0"/>
    <x v="10"/>
    <n v="332"/>
    <n v="637"/>
    <s v="Iowa"/>
    <n v="200"/>
    <n v="280"/>
    <n v="210"/>
    <n v="480"/>
    <n v="117"/>
    <s v="Decaf"/>
    <n v="0.52119309262166402"/>
    <n v="122"/>
    <n v="157"/>
  </r>
  <r>
    <s v="515"/>
    <n v="122"/>
    <n v="39"/>
    <x v="827"/>
    <n v="789"/>
    <n v="176"/>
    <s v="Small Market"/>
    <x v="0"/>
    <n v="39"/>
    <x v="0"/>
    <x v="0"/>
    <x v="0"/>
    <n v="169"/>
    <n v="318"/>
    <s v="Iowa"/>
    <n v="90"/>
    <n v="150"/>
    <n v="130"/>
    <n v="240"/>
    <n v="62"/>
    <s v="Decaf"/>
    <n v="0.53144654088050314"/>
    <n v="39"/>
    <n v="78"/>
  </r>
  <r>
    <s v="417"/>
    <n v="86"/>
    <n v="-49"/>
    <x v="828"/>
    <n v="1698"/>
    <n v="23"/>
    <s v="Small Market"/>
    <x v="0"/>
    <n v="26"/>
    <x v="0"/>
    <x v="0"/>
    <x v="0"/>
    <n v="-39"/>
    <n v="116"/>
    <s v="Missouri"/>
    <n v="60"/>
    <n v="20"/>
    <n v="10"/>
    <n v="80"/>
    <n v="49"/>
    <s v="Decaf"/>
    <n v="-0.33620689655172414"/>
    <n v="-49"/>
    <n v="36"/>
  </r>
  <r>
    <s v="515"/>
    <n v="239"/>
    <n v="111"/>
    <x v="829"/>
    <n v="1755"/>
    <n v="239"/>
    <s v="Small Market"/>
    <x v="0"/>
    <n v="66"/>
    <x v="0"/>
    <x v="1"/>
    <x v="2"/>
    <n v="221"/>
    <n v="509"/>
    <s v="Iowa"/>
    <n v="170"/>
    <n v="170"/>
    <n v="110"/>
    <n v="340"/>
    <n v="90"/>
    <s v="Regular"/>
    <n v="0.43418467583497056"/>
    <n v="111"/>
    <n v="169"/>
  </r>
  <r>
    <s v="515"/>
    <n v="255"/>
    <n v="142"/>
    <x v="830"/>
    <n v="1756"/>
    <n v="312"/>
    <s v="Small Market"/>
    <x v="0"/>
    <n v="96"/>
    <x v="0"/>
    <x v="1"/>
    <x v="11"/>
    <n v="272"/>
    <n v="604"/>
    <s v="Iowa"/>
    <n v="170"/>
    <n v="230"/>
    <n v="130"/>
    <n v="400"/>
    <n v="129"/>
    <s v="Regular"/>
    <n v="0.45033112582781459"/>
    <n v="142"/>
    <n v="204"/>
  </r>
  <r>
    <s v="573"/>
    <n v="25"/>
    <n v="-16"/>
    <x v="831"/>
    <n v="209"/>
    <n v="31"/>
    <s v="Small Market"/>
    <x v="0"/>
    <n v="9"/>
    <x v="0"/>
    <x v="1"/>
    <x v="11"/>
    <n v="-16"/>
    <n v="60"/>
    <s v="Missouri"/>
    <n v="10"/>
    <n v="20"/>
    <n v="0"/>
    <n v="30"/>
    <n v="42"/>
    <s v="Regular"/>
    <n v="-0.26666666666666666"/>
    <n v="-16"/>
    <n v="30"/>
  </r>
  <r>
    <s v="720"/>
    <n v="81"/>
    <n v="45"/>
    <x v="832"/>
    <n v="984"/>
    <n v="117"/>
    <s v="Major Market"/>
    <x v="0"/>
    <n v="22"/>
    <x v="1"/>
    <x v="3"/>
    <x v="5"/>
    <n v="125"/>
    <n v="211"/>
    <s v="Colorado"/>
    <n v="80"/>
    <n v="110"/>
    <n v="80"/>
    <n v="190"/>
    <n v="33"/>
    <s v="Decaf"/>
    <n v="0.59241706161137442"/>
    <n v="45"/>
    <n v="21"/>
  </r>
  <r>
    <s v="847"/>
    <n v="113"/>
    <n v="47"/>
    <x v="833"/>
    <n v="803"/>
    <n v="165"/>
    <s v="Major Market"/>
    <x v="0"/>
    <n v="36"/>
    <x v="1"/>
    <x v="3"/>
    <x v="5"/>
    <n v="157"/>
    <n v="296"/>
    <s v="Illinois"/>
    <n v="110"/>
    <n v="160"/>
    <n v="110"/>
    <n v="270"/>
    <n v="59"/>
    <s v="Decaf"/>
    <n v="0.53040540540540537"/>
    <n v="47"/>
    <n v="26"/>
  </r>
  <r>
    <s v="970"/>
    <n v="75"/>
    <n v="-14"/>
    <x v="834"/>
    <n v="659"/>
    <n v="114"/>
    <s v="Major Market"/>
    <x v="0"/>
    <n v="24"/>
    <x v="1"/>
    <x v="2"/>
    <x v="4"/>
    <n v="86"/>
    <n v="201"/>
    <s v="Colorado"/>
    <n v="90"/>
    <n v="150"/>
    <n v="100"/>
    <n v="240"/>
    <n v="56"/>
    <s v="Decaf"/>
    <n v="0.42786069651741293"/>
    <n v="-14"/>
    <n v="-39"/>
  </r>
  <r>
    <s v="847"/>
    <n v="211"/>
    <n v="-9"/>
    <x v="835"/>
    <n v="1778"/>
    <n v="212"/>
    <s v="Major Market"/>
    <x v="0"/>
    <n v="59"/>
    <x v="1"/>
    <x v="2"/>
    <x v="4"/>
    <n v="191"/>
    <n v="451"/>
    <s v="Illinois"/>
    <n v="270"/>
    <n v="270"/>
    <n v="200"/>
    <n v="540"/>
    <n v="83"/>
    <s v="Decaf"/>
    <n v="0.42350332594235035"/>
    <n v="-9"/>
    <n v="-89"/>
  </r>
  <r>
    <s v="719"/>
    <n v="118"/>
    <n v="60"/>
    <x v="836"/>
    <n v="930"/>
    <n v="172"/>
    <s v="Major Market"/>
    <x v="0"/>
    <n v="33"/>
    <x v="1"/>
    <x v="3"/>
    <x v="6"/>
    <n v="190"/>
    <n v="309"/>
    <s v="Colorado"/>
    <n v="110"/>
    <n v="170"/>
    <n v="130"/>
    <n v="280"/>
    <n v="44"/>
    <s v="Regular"/>
    <n v="0.61488673139158578"/>
    <n v="60"/>
    <n v="29"/>
  </r>
  <r>
    <s v="815"/>
    <n v="173"/>
    <n v="66"/>
    <x v="837"/>
    <n v="1150"/>
    <n v="239"/>
    <s v="Major Market"/>
    <x v="0"/>
    <n v="57"/>
    <x v="1"/>
    <x v="3"/>
    <x v="7"/>
    <n v="206"/>
    <n v="439"/>
    <s v="Illinois"/>
    <n v="170"/>
    <n v="230"/>
    <n v="140"/>
    <n v="400"/>
    <n v="100"/>
    <s v="Regular"/>
    <n v="0.46924829157175396"/>
    <n v="66"/>
    <n v="39"/>
  </r>
  <r>
    <s v="303"/>
    <n v="50"/>
    <n v="1"/>
    <x v="838"/>
    <n v="589"/>
    <n v="73"/>
    <s v="Major Market"/>
    <x v="0"/>
    <n v="14"/>
    <x v="1"/>
    <x v="2"/>
    <x v="8"/>
    <n v="71"/>
    <n v="131"/>
    <s v="Colorado"/>
    <n v="60"/>
    <n v="90"/>
    <n v="70"/>
    <n v="150"/>
    <n v="25"/>
    <s v="Regular"/>
    <n v="0.5419847328244275"/>
    <n v="1"/>
    <n v="-19"/>
  </r>
  <r>
    <s v="630"/>
    <n v="228"/>
    <n v="1"/>
    <x v="839"/>
    <n v="1691"/>
    <n v="304"/>
    <s v="Major Market"/>
    <x v="0"/>
    <n v="75"/>
    <x v="1"/>
    <x v="2"/>
    <x v="8"/>
    <n v="291"/>
    <n v="567"/>
    <s v="Illinois"/>
    <n v="290"/>
    <n v="390"/>
    <n v="290"/>
    <n v="680"/>
    <n v="108"/>
    <s v="Regular"/>
    <n v="0.51322751322751325"/>
    <n v="1"/>
    <n v="-113"/>
  </r>
  <r>
    <s v="234"/>
    <n v="181"/>
    <n v="-11"/>
    <x v="840"/>
    <n v="1283"/>
    <n v="182"/>
    <s v="Major Market"/>
    <x v="0"/>
    <n v="50"/>
    <x v="1"/>
    <x v="2"/>
    <x v="8"/>
    <n v="159"/>
    <n v="387"/>
    <s v="Ohio"/>
    <n v="230"/>
    <n v="230"/>
    <n v="170"/>
    <n v="460"/>
    <n v="75"/>
    <s v="Regular"/>
    <n v="0.41085271317829458"/>
    <n v="-11"/>
    <n v="-73"/>
  </r>
  <r>
    <s v="970"/>
    <n v="181"/>
    <n v="59"/>
    <x v="841"/>
    <n v="1283"/>
    <n v="182"/>
    <s v="Major Market"/>
    <x v="0"/>
    <n v="50"/>
    <x v="0"/>
    <x v="0"/>
    <x v="10"/>
    <n v="159"/>
    <n v="387"/>
    <s v="Colorado"/>
    <n v="170"/>
    <n v="160"/>
    <n v="100"/>
    <n v="330"/>
    <n v="75"/>
    <s v="Decaf"/>
    <n v="0.41085271317829458"/>
    <n v="59"/>
    <n v="57"/>
  </r>
  <r>
    <s v="708"/>
    <n v="118"/>
    <n v="78"/>
    <x v="842"/>
    <n v="930"/>
    <n v="172"/>
    <s v="Major Market"/>
    <x v="0"/>
    <n v="33"/>
    <x v="0"/>
    <x v="0"/>
    <x v="10"/>
    <n v="188"/>
    <n v="309"/>
    <s v="Illinois"/>
    <n v="110"/>
    <n v="150"/>
    <n v="110"/>
    <n v="260"/>
    <n v="45"/>
    <s v="Decaf"/>
    <n v="0.60841423948220064"/>
    <n v="78"/>
    <n v="49"/>
  </r>
  <r>
    <s v="708"/>
    <n v="81"/>
    <n v="45"/>
    <x v="843"/>
    <n v="984"/>
    <n v="117"/>
    <s v="Major Market"/>
    <x v="0"/>
    <n v="22"/>
    <x v="0"/>
    <x v="0"/>
    <x v="1"/>
    <n v="125"/>
    <n v="211"/>
    <s v="Illinois"/>
    <n v="70"/>
    <n v="110"/>
    <n v="80"/>
    <n v="180"/>
    <n v="33"/>
    <s v="Decaf"/>
    <n v="0.59241706161137442"/>
    <n v="45"/>
    <n v="31"/>
  </r>
  <r>
    <s v="614"/>
    <n v="78"/>
    <n v="32"/>
    <x v="844"/>
    <n v="798"/>
    <n v="119"/>
    <s v="Major Market"/>
    <x v="0"/>
    <n v="25"/>
    <x v="0"/>
    <x v="1"/>
    <x v="2"/>
    <n v="92"/>
    <n v="210"/>
    <s v="Ohio"/>
    <n v="60"/>
    <n v="100"/>
    <n v="60"/>
    <n v="160"/>
    <n v="57"/>
    <s v="Regular"/>
    <n v="0.43809523809523809"/>
    <n v="32"/>
    <n v="50"/>
  </r>
  <r>
    <s v="309"/>
    <n v="75"/>
    <n v="38"/>
    <x v="845"/>
    <n v="659"/>
    <n v="114"/>
    <s v="Major Market"/>
    <x v="0"/>
    <n v="24"/>
    <x v="0"/>
    <x v="1"/>
    <x v="11"/>
    <n v="88"/>
    <n v="201"/>
    <s v="Illinois"/>
    <n v="60"/>
    <n v="90"/>
    <n v="50"/>
    <n v="150"/>
    <n v="55"/>
    <s v="Regular"/>
    <n v="0.43781094527363185"/>
    <n v="38"/>
    <n v="51"/>
  </r>
  <r>
    <s v="740"/>
    <n v="102"/>
    <n v="62"/>
    <x v="846"/>
    <n v="666"/>
    <n v="143"/>
    <s v="Major Market"/>
    <x v="0"/>
    <n v="31"/>
    <x v="0"/>
    <x v="1"/>
    <x v="11"/>
    <n v="132"/>
    <n v="261"/>
    <s v="Ohio"/>
    <n v="80"/>
    <n v="120"/>
    <n v="70"/>
    <n v="200"/>
    <n v="54"/>
    <s v="Regular"/>
    <n v="0.50574712643678166"/>
    <n v="62"/>
    <n v="61"/>
  </r>
  <r>
    <s v="970"/>
    <n v="88"/>
    <n v="44"/>
    <x v="847"/>
    <n v="561"/>
    <n v="112"/>
    <s v="Major Market"/>
    <x v="0"/>
    <n v="29"/>
    <x v="0"/>
    <x v="1"/>
    <x v="3"/>
    <n v="104"/>
    <n v="213"/>
    <s v="Colorado"/>
    <n v="70"/>
    <n v="90"/>
    <n v="60"/>
    <n v="160"/>
    <n v="42"/>
    <s v="Regular"/>
    <n v="0.48826291079812206"/>
    <n v="44"/>
    <n v="53"/>
  </r>
  <r>
    <s v="319"/>
    <n v="10"/>
    <n v="-14"/>
    <x v="848"/>
    <n v="596"/>
    <n v="13"/>
    <s v="Small Market"/>
    <x v="0"/>
    <n v="3"/>
    <x v="1"/>
    <x v="3"/>
    <x v="5"/>
    <n v="-4"/>
    <n v="25"/>
    <s v="Iowa"/>
    <n v="0"/>
    <n v="20"/>
    <n v="10"/>
    <n v="20"/>
    <n v="16"/>
    <s v="Decaf"/>
    <n v="-0.16"/>
    <n v="-14"/>
    <n v="5"/>
  </r>
  <r>
    <s v="920"/>
    <n v="77"/>
    <n v="16"/>
    <x v="849"/>
    <n v="557"/>
    <n v="103"/>
    <s v="Small Market"/>
    <x v="0"/>
    <n v="25"/>
    <x v="1"/>
    <x v="3"/>
    <x v="5"/>
    <n v="76"/>
    <n v="192"/>
    <s v="Wisconsin"/>
    <n v="70"/>
    <n v="100"/>
    <n v="60"/>
    <n v="170"/>
    <n v="52"/>
    <s v="Decaf"/>
    <n v="0.39583333333333331"/>
    <n v="16"/>
    <n v="22"/>
  </r>
  <r>
    <s v="712"/>
    <n v="15"/>
    <n v="2"/>
    <x v="850"/>
    <n v="848"/>
    <n v="24"/>
    <s v="Small Market"/>
    <x v="0"/>
    <n v="4"/>
    <x v="1"/>
    <x v="3"/>
    <x v="6"/>
    <n v="12"/>
    <n v="42"/>
    <s v="Iowa"/>
    <n v="10"/>
    <n v="20"/>
    <n v="10"/>
    <n v="30"/>
    <n v="16"/>
    <s v="Regular"/>
    <n v="0.2857142857142857"/>
    <n v="2"/>
    <n v="12"/>
  </r>
  <r>
    <s v="573"/>
    <n v="82"/>
    <n v="16"/>
    <x v="851"/>
    <n v="601"/>
    <n v="102"/>
    <s v="Small Market"/>
    <x v="0"/>
    <n v="31"/>
    <x v="1"/>
    <x v="3"/>
    <x v="7"/>
    <n v="56"/>
    <n v="196"/>
    <s v="Missouri"/>
    <n v="80"/>
    <n v="100"/>
    <n v="40"/>
    <n v="180"/>
    <n v="64"/>
    <s v="Regular"/>
    <n v="0.2857142857142857"/>
    <n v="16"/>
    <n v="16"/>
  </r>
  <r>
    <s v="608"/>
    <n v="94"/>
    <n v="-6"/>
    <x v="852"/>
    <n v="694"/>
    <n v="130"/>
    <s v="Small Market"/>
    <x v="0"/>
    <n v="85"/>
    <x v="1"/>
    <x v="3"/>
    <x v="7"/>
    <n v="24"/>
    <n v="239"/>
    <s v="Wisconsin"/>
    <n v="90"/>
    <n v="130"/>
    <n v="30"/>
    <n v="220"/>
    <n v="114"/>
    <s v="Regular"/>
    <n v="0.100418410041841"/>
    <n v="-6"/>
    <n v="19"/>
  </r>
  <r>
    <s v="573"/>
    <n v="54"/>
    <n v="-4"/>
    <x v="853"/>
    <n v="885"/>
    <n v="78"/>
    <s v="Small Market"/>
    <x v="0"/>
    <n v="15"/>
    <x v="1"/>
    <x v="2"/>
    <x v="8"/>
    <n v="76"/>
    <n v="141"/>
    <s v="Missouri"/>
    <n v="60"/>
    <n v="100"/>
    <n v="80"/>
    <n v="160"/>
    <n v="27"/>
    <s v="Regular"/>
    <n v="0.53900709219858156"/>
    <n v="-4"/>
    <n v="-19"/>
  </r>
  <r>
    <s v="715"/>
    <n v="75"/>
    <n v="-3"/>
    <x v="854"/>
    <n v="1063"/>
    <n v="89"/>
    <s v="Small Market"/>
    <x v="0"/>
    <n v="23"/>
    <x v="1"/>
    <x v="2"/>
    <x v="8"/>
    <n v="67"/>
    <n v="175"/>
    <s v="Wisconsin"/>
    <n v="90"/>
    <n v="110"/>
    <n v="70"/>
    <n v="200"/>
    <n v="44"/>
    <s v="Regular"/>
    <n v="0.38285714285714284"/>
    <n v="-3"/>
    <n v="-25"/>
  </r>
  <r>
    <s v="641"/>
    <n v="228"/>
    <n v="111"/>
    <x v="855"/>
    <n v="1691"/>
    <n v="304"/>
    <s v="Small Market"/>
    <x v="0"/>
    <n v="75"/>
    <x v="0"/>
    <x v="0"/>
    <x v="10"/>
    <n v="291"/>
    <n v="567"/>
    <s v="Iowa"/>
    <n v="210"/>
    <n v="280"/>
    <n v="180"/>
    <n v="490"/>
    <n v="108"/>
    <s v="Decaf"/>
    <n v="0.51322751322751325"/>
    <n v="111"/>
    <n v="77"/>
  </r>
  <r>
    <s v="641"/>
    <n v="113"/>
    <n v="59"/>
    <x v="856"/>
    <n v="803"/>
    <n v="165"/>
    <s v="Small Market"/>
    <x v="0"/>
    <n v="36"/>
    <x v="0"/>
    <x v="0"/>
    <x v="0"/>
    <n v="159"/>
    <n v="296"/>
    <s v="Iowa"/>
    <n v="100"/>
    <n v="150"/>
    <n v="100"/>
    <n v="250"/>
    <n v="58"/>
    <s v="Decaf"/>
    <n v="0.53716216216216217"/>
    <n v="59"/>
    <n v="46"/>
  </r>
  <r>
    <s v="563"/>
    <n v="211"/>
    <n v="81"/>
    <x v="857"/>
    <n v="1778"/>
    <n v="212"/>
    <s v="Small Market"/>
    <x v="0"/>
    <n v="59"/>
    <x v="0"/>
    <x v="1"/>
    <x v="2"/>
    <n v="191"/>
    <n v="451"/>
    <s v="Iowa"/>
    <n v="170"/>
    <n v="180"/>
    <n v="110"/>
    <n v="350"/>
    <n v="83"/>
    <s v="Regular"/>
    <n v="0.42350332594235035"/>
    <n v="81"/>
    <n v="101"/>
  </r>
  <r>
    <s v="641"/>
    <n v="245"/>
    <n v="127"/>
    <x v="858"/>
    <n v="1784"/>
    <n v="300"/>
    <s v="Small Market"/>
    <x v="0"/>
    <n v="93"/>
    <x v="0"/>
    <x v="1"/>
    <x v="11"/>
    <n v="257"/>
    <n v="581"/>
    <s v="Iowa"/>
    <n v="200"/>
    <n v="250"/>
    <n v="130"/>
    <n v="450"/>
    <n v="127"/>
    <s v="Regular"/>
    <n v="0.44234079173838209"/>
    <n v="127"/>
    <n v="131"/>
  </r>
  <r>
    <s v="720"/>
    <n v="86"/>
    <n v="41"/>
    <x v="859"/>
    <n v="1003"/>
    <n v="124"/>
    <s v="Major Market"/>
    <x v="0"/>
    <n v="24"/>
    <x v="1"/>
    <x v="3"/>
    <x v="5"/>
    <n v="131"/>
    <n v="224"/>
    <s v="Colorado"/>
    <n v="80"/>
    <n v="120"/>
    <n v="90"/>
    <n v="200"/>
    <n v="36"/>
    <s v="Decaf"/>
    <n v="0.5848214285714286"/>
    <n v="41"/>
    <n v="24"/>
  </r>
  <r>
    <s v="312"/>
    <n v="127"/>
    <n v="51"/>
    <x v="860"/>
    <n v="830"/>
    <n v="185"/>
    <s v="Major Market"/>
    <x v="0"/>
    <n v="40"/>
    <x v="1"/>
    <x v="3"/>
    <x v="5"/>
    <n v="181"/>
    <n v="332"/>
    <s v="Illinois"/>
    <n v="120"/>
    <n v="180"/>
    <n v="130"/>
    <n v="300"/>
    <n v="63"/>
    <s v="Decaf"/>
    <n v="0.54518072289156627"/>
    <n v="51"/>
    <n v="32"/>
  </r>
  <r>
    <s v="720"/>
    <n v="67"/>
    <n v="-10"/>
    <x v="861"/>
    <n v="677"/>
    <n v="101"/>
    <s v="Major Market"/>
    <x v="0"/>
    <n v="22"/>
    <x v="1"/>
    <x v="2"/>
    <x v="4"/>
    <n v="70"/>
    <n v="179"/>
    <s v="Colorado"/>
    <n v="80"/>
    <n v="130"/>
    <n v="80"/>
    <n v="210"/>
    <n v="54"/>
    <s v="Decaf"/>
    <n v="0.39106145251396646"/>
    <n v="-10"/>
    <n v="-31"/>
  </r>
  <r>
    <s v="773"/>
    <n v="250"/>
    <n v="-7"/>
    <x v="862"/>
    <n v="1820"/>
    <n v="251"/>
    <s v="Major Market"/>
    <x v="0"/>
    <n v="70"/>
    <x v="1"/>
    <x v="2"/>
    <x v="4"/>
    <n v="233"/>
    <n v="534"/>
    <s v="Illinois"/>
    <n v="320"/>
    <n v="320"/>
    <n v="240"/>
    <n v="640"/>
    <n v="94"/>
    <s v="Decaf"/>
    <n v="0.43632958801498128"/>
    <n v="-7"/>
    <n v="-106"/>
  </r>
  <r>
    <s v="303"/>
    <n v="123"/>
    <n v="69"/>
    <x v="863"/>
    <n v="959"/>
    <n v="179"/>
    <s v="Major Market"/>
    <x v="0"/>
    <n v="34"/>
    <x v="1"/>
    <x v="3"/>
    <x v="6"/>
    <n v="199"/>
    <n v="322"/>
    <s v="Colorado"/>
    <n v="120"/>
    <n v="170"/>
    <n v="130"/>
    <n v="290"/>
    <n v="45"/>
    <s v="Regular"/>
    <n v="0.61801242236024845"/>
    <n v="69"/>
    <n v="32"/>
  </r>
  <r>
    <s v="312"/>
    <n v="224"/>
    <n v="98"/>
    <x v="864"/>
    <n v="1191"/>
    <n v="310"/>
    <s v="Major Market"/>
    <x v="0"/>
    <n v="73"/>
    <x v="1"/>
    <x v="3"/>
    <x v="7"/>
    <n v="288"/>
    <n v="569"/>
    <s v="Illinois"/>
    <n v="220"/>
    <n v="300"/>
    <n v="190"/>
    <n v="520"/>
    <n v="116"/>
    <s v="Regular"/>
    <n v="0.5061511423550088"/>
    <n v="98"/>
    <n v="49"/>
  </r>
  <r>
    <s v="970"/>
    <n v="54"/>
    <n v="-11"/>
    <x v="865"/>
    <n v="601"/>
    <n v="79"/>
    <s v="Major Market"/>
    <x v="0"/>
    <n v="15"/>
    <x v="1"/>
    <x v="2"/>
    <x v="8"/>
    <n v="79"/>
    <n v="142"/>
    <s v="Colorado"/>
    <n v="60"/>
    <n v="110"/>
    <n v="90"/>
    <n v="170"/>
    <n v="26"/>
    <s v="Regular"/>
    <n v="0.55633802816901412"/>
    <n v="-11"/>
    <n v="-28"/>
  </r>
  <r>
    <s v="708"/>
    <n v="247"/>
    <n v="1"/>
    <x v="866"/>
    <n v="1744"/>
    <n v="329"/>
    <s v="Major Market"/>
    <x v="0"/>
    <n v="81"/>
    <x v="1"/>
    <x v="2"/>
    <x v="8"/>
    <n v="321"/>
    <n v="614"/>
    <s v="Illinois"/>
    <n v="310"/>
    <n v="420"/>
    <n v="320"/>
    <n v="730"/>
    <n v="113"/>
    <s v="Regular"/>
    <n v="0.5228013029315961"/>
    <n v="1"/>
    <n v="-116"/>
  </r>
  <r>
    <s v="937"/>
    <n v="153"/>
    <n v="-11"/>
    <x v="867"/>
    <n v="1319"/>
    <n v="153"/>
    <s v="Major Market"/>
    <x v="0"/>
    <n v="42"/>
    <x v="1"/>
    <x v="2"/>
    <x v="8"/>
    <n v="129"/>
    <n v="326"/>
    <s v="Ohio"/>
    <n v="190"/>
    <n v="200"/>
    <n v="140"/>
    <n v="390"/>
    <n v="66"/>
    <s v="Regular"/>
    <n v="0.39570552147239263"/>
    <n v="-11"/>
    <n v="-64"/>
  </r>
  <r>
    <s v="970"/>
    <n v="153"/>
    <n v="49"/>
    <x v="868"/>
    <n v="1319"/>
    <n v="153"/>
    <s v="Major Market"/>
    <x v="0"/>
    <n v="42"/>
    <x v="0"/>
    <x v="0"/>
    <x v="10"/>
    <n v="129"/>
    <n v="326"/>
    <s v="Colorado"/>
    <n v="140"/>
    <n v="140"/>
    <n v="80"/>
    <n v="280"/>
    <n v="66"/>
    <s v="Decaf"/>
    <n v="0.39570552147239263"/>
    <n v="49"/>
    <n v="46"/>
  </r>
  <r>
    <s v="618"/>
    <n v="123"/>
    <n v="67"/>
    <x v="869"/>
    <n v="959"/>
    <n v="179"/>
    <s v="Major Market"/>
    <x v="0"/>
    <n v="34"/>
    <x v="0"/>
    <x v="0"/>
    <x v="10"/>
    <n v="197"/>
    <n v="322"/>
    <s v="Illinois"/>
    <n v="110"/>
    <n v="170"/>
    <n v="130"/>
    <n v="280"/>
    <n v="46"/>
    <s v="Decaf"/>
    <n v="0.61180124223602483"/>
    <n v="67"/>
    <n v="42"/>
  </r>
  <r>
    <s v="312"/>
    <n v="86"/>
    <n v="51"/>
    <x v="870"/>
    <n v="1003"/>
    <n v="124"/>
    <s v="Major Market"/>
    <x v="0"/>
    <n v="24"/>
    <x v="0"/>
    <x v="0"/>
    <x v="1"/>
    <n v="131"/>
    <n v="224"/>
    <s v="Illinois"/>
    <n v="80"/>
    <n v="110"/>
    <n v="80"/>
    <n v="190"/>
    <n v="36"/>
    <s v="Decaf"/>
    <n v="0.5848214285714286"/>
    <n v="51"/>
    <n v="34"/>
  </r>
  <r>
    <s v="513"/>
    <n v="88"/>
    <n v="37"/>
    <x v="871"/>
    <n v="817"/>
    <n v="133"/>
    <s v="Major Market"/>
    <x v="0"/>
    <n v="29"/>
    <x v="0"/>
    <x v="1"/>
    <x v="2"/>
    <n v="107"/>
    <n v="236"/>
    <s v="Ohio"/>
    <n v="70"/>
    <n v="110"/>
    <n v="70"/>
    <n v="180"/>
    <n v="61"/>
    <s v="Regular"/>
    <n v="0.45338983050847459"/>
    <n v="37"/>
    <n v="56"/>
  </r>
  <r>
    <s v="513"/>
    <n v="134"/>
    <n v="90"/>
    <x v="872"/>
    <n v="690"/>
    <n v="186"/>
    <s v="Major Market"/>
    <x v="0"/>
    <n v="41"/>
    <x v="0"/>
    <x v="1"/>
    <x v="11"/>
    <n v="180"/>
    <n v="341"/>
    <s v="Ohio"/>
    <n v="110"/>
    <n v="150"/>
    <n v="90"/>
    <n v="260"/>
    <n v="65"/>
    <s v="Regular"/>
    <n v="0.52785923753665687"/>
    <n v="90"/>
    <n v="81"/>
  </r>
  <r>
    <s v="719"/>
    <n v="81"/>
    <n v="38"/>
    <x v="873"/>
    <n v="551"/>
    <n v="104"/>
    <s v="Major Market"/>
    <x v="0"/>
    <n v="26"/>
    <x v="0"/>
    <x v="1"/>
    <x v="3"/>
    <n v="98"/>
    <n v="197"/>
    <s v="Colorado"/>
    <n v="60"/>
    <n v="90"/>
    <n v="60"/>
    <n v="150"/>
    <n v="38"/>
    <s v="Regular"/>
    <n v="0.49746192893401014"/>
    <n v="38"/>
    <n v="47"/>
  </r>
  <r>
    <s v="712"/>
    <n v="10"/>
    <n v="-11"/>
    <x v="874"/>
    <n v="594"/>
    <n v="14"/>
    <s v="Small Market"/>
    <x v="0"/>
    <n v="3"/>
    <x v="1"/>
    <x v="3"/>
    <x v="5"/>
    <n v="-1"/>
    <n v="26"/>
    <s v="Iowa"/>
    <n v="0"/>
    <n v="20"/>
    <n v="10"/>
    <n v="20"/>
    <n v="15"/>
    <s v="Decaf"/>
    <n v="-3.8461538461538464E-2"/>
    <n v="-11"/>
    <n v="6"/>
  </r>
  <r>
    <s v="414"/>
    <n v="83"/>
    <n v="15"/>
    <x v="875"/>
    <n v="575"/>
    <n v="112"/>
    <s v="Small Market"/>
    <x v="0"/>
    <n v="27"/>
    <x v="1"/>
    <x v="3"/>
    <x v="5"/>
    <n v="85"/>
    <n v="208"/>
    <s v="Wisconsin"/>
    <n v="80"/>
    <n v="110"/>
    <n v="70"/>
    <n v="190"/>
    <n v="55"/>
    <s v="Decaf"/>
    <n v="0.40865384615384615"/>
    <n v="15"/>
    <n v="18"/>
  </r>
  <r>
    <s v="573"/>
    <n v="68"/>
    <n v="-1"/>
    <x v="876"/>
    <n v="619"/>
    <n v="85"/>
    <s v="Small Market"/>
    <x v="0"/>
    <n v="25"/>
    <x v="1"/>
    <x v="3"/>
    <x v="7"/>
    <n v="39"/>
    <n v="163"/>
    <s v="Missouri"/>
    <n v="60"/>
    <n v="90"/>
    <n v="40"/>
    <n v="150"/>
    <n v="59"/>
    <s v="Regular"/>
    <n v="0.2392638036809816"/>
    <n v="-1"/>
    <n v="13"/>
  </r>
  <r>
    <s v="262"/>
    <n v="105"/>
    <n v="0"/>
    <x v="877"/>
    <n v="716"/>
    <n v="145"/>
    <s v="Small Market"/>
    <x v="0"/>
    <n v="95"/>
    <x v="1"/>
    <x v="3"/>
    <x v="7"/>
    <n v="30"/>
    <n v="266"/>
    <s v="Wisconsin"/>
    <n v="100"/>
    <n v="140"/>
    <n v="30"/>
    <n v="240"/>
    <n v="125"/>
    <s v="Regular"/>
    <n v="0.11278195488721804"/>
    <n v="0"/>
    <n v="26"/>
  </r>
  <r>
    <s v="573"/>
    <n v="50"/>
    <n v="1"/>
    <x v="878"/>
    <n v="898"/>
    <n v="73"/>
    <s v="Small Market"/>
    <x v="0"/>
    <n v="14"/>
    <x v="1"/>
    <x v="2"/>
    <x v="8"/>
    <n v="71"/>
    <n v="131"/>
    <s v="Missouri"/>
    <n v="60"/>
    <n v="90"/>
    <n v="70"/>
    <n v="150"/>
    <n v="25"/>
    <s v="Regular"/>
    <n v="0.5419847328244275"/>
    <n v="1"/>
    <n v="-19"/>
  </r>
  <r>
    <s v="262"/>
    <n v="80"/>
    <n v="-6"/>
    <x v="879"/>
    <n v="1079"/>
    <n v="96"/>
    <s v="Small Market"/>
    <x v="0"/>
    <n v="24"/>
    <x v="1"/>
    <x v="2"/>
    <x v="8"/>
    <n v="74"/>
    <n v="188"/>
    <s v="Wisconsin"/>
    <n v="100"/>
    <n v="120"/>
    <n v="80"/>
    <n v="220"/>
    <n v="46"/>
    <s v="Regular"/>
    <n v="0.39361702127659576"/>
    <n v="-6"/>
    <n v="-32"/>
  </r>
  <r>
    <s v="515"/>
    <n v="247"/>
    <n v="121"/>
    <x v="880"/>
    <n v="1744"/>
    <n v="329"/>
    <s v="Small Market"/>
    <x v="0"/>
    <n v="81"/>
    <x v="0"/>
    <x v="0"/>
    <x v="10"/>
    <n v="321"/>
    <n v="614"/>
    <s v="Iowa"/>
    <n v="230"/>
    <n v="300"/>
    <n v="200"/>
    <n v="530"/>
    <n v="113"/>
    <s v="Decaf"/>
    <n v="0.5228013029315961"/>
    <n v="121"/>
    <n v="84"/>
  </r>
  <r>
    <s v="515"/>
    <n v="127"/>
    <n v="63"/>
    <x v="881"/>
    <n v="830"/>
    <n v="185"/>
    <s v="Small Market"/>
    <x v="0"/>
    <n v="40"/>
    <x v="0"/>
    <x v="0"/>
    <x v="0"/>
    <n v="183"/>
    <n v="332"/>
    <s v="Iowa"/>
    <n v="120"/>
    <n v="170"/>
    <n v="120"/>
    <n v="290"/>
    <n v="62"/>
    <s v="Decaf"/>
    <n v="0.5512048192771084"/>
    <n v="63"/>
    <n v="42"/>
  </r>
  <r>
    <s v="641"/>
    <n v="250"/>
    <n v="112"/>
    <x v="882"/>
    <n v="1820"/>
    <n v="251"/>
    <s v="Small Market"/>
    <x v="0"/>
    <n v="70"/>
    <x v="0"/>
    <x v="1"/>
    <x v="2"/>
    <n v="232"/>
    <n v="534"/>
    <s v="Iowa"/>
    <n v="210"/>
    <n v="200"/>
    <n v="120"/>
    <n v="410"/>
    <n v="95"/>
    <s v="Regular"/>
    <n v="0.43445692883895132"/>
    <n v="112"/>
    <n v="124"/>
  </r>
  <r>
    <s v="563"/>
    <n v="294"/>
    <n v="151"/>
    <x v="883"/>
    <n v="1838"/>
    <n v="360"/>
    <s v="Small Market"/>
    <x v="0"/>
    <n v="111"/>
    <x v="0"/>
    <x v="1"/>
    <x v="11"/>
    <n v="321"/>
    <n v="697"/>
    <s v="Iowa"/>
    <n v="240"/>
    <n v="300"/>
    <n v="170"/>
    <n v="540"/>
    <n v="144"/>
    <s v="Regular"/>
    <n v="0.46054519368723101"/>
    <n v="151"/>
    <n v="157"/>
  </r>
  <r>
    <s v="816"/>
    <n v="20"/>
    <n v="-14"/>
    <x v="884"/>
    <n v="218"/>
    <n v="25"/>
    <s v="Small Market"/>
    <x v="0"/>
    <n v="7"/>
    <x v="0"/>
    <x v="1"/>
    <x v="11"/>
    <n v="-24"/>
    <n v="48"/>
    <s v="Missouri"/>
    <n v="10"/>
    <n v="20"/>
    <n v="-10"/>
    <n v="30"/>
    <n v="41"/>
    <s v="Regular"/>
    <n v="-0.5"/>
    <n v="-14"/>
    <n v="18"/>
  </r>
  <r>
    <s v="951"/>
    <n v="154"/>
    <n v="-17"/>
    <x v="885"/>
    <n v="3654"/>
    <n v="-24"/>
    <s v="Major Market"/>
    <x v="3"/>
    <n v="50"/>
    <x v="1"/>
    <x v="3"/>
    <x v="5"/>
    <n v="-117"/>
    <n v="130"/>
    <s v="California"/>
    <n v="220"/>
    <n v="-30"/>
    <n v="-100"/>
    <n v="190"/>
    <n v="93"/>
    <s v="Decaf"/>
    <n v="-0.9"/>
    <n v="-17"/>
    <n v="-60"/>
  </r>
  <r>
    <s v="714"/>
    <n v="257"/>
    <n v="-15"/>
    <x v="886"/>
    <n v="1662"/>
    <n v="341"/>
    <s v="Major Market"/>
    <x v="3"/>
    <n v="84"/>
    <x v="1"/>
    <x v="2"/>
    <x v="4"/>
    <n v="225"/>
    <n v="598"/>
    <s v="California"/>
    <n v="230"/>
    <n v="320"/>
    <n v="240"/>
    <n v="550"/>
    <n v="116"/>
    <s v="Decaf"/>
    <n v="0.37625418060200672"/>
    <n v="-15"/>
    <n v="48"/>
  </r>
  <r>
    <s v="818"/>
    <n v="122"/>
    <n v="-14"/>
    <x v="887"/>
    <n v="2555"/>
    <n v="-13"/>
    <s v="Major Market"/>
    <x v="3"/>
    <n v="39"/>
    <x v="1"/>
    <x v="3"/>
    <x v="6"/>
    <n v="-74"/>
    <n v="109"/>
    <s v="California"/>
    <n v="170"/>
    <n v="-20"/>
    <n v="-60"/>
    <n v="150"/>
    <n v="61"/>
    <s v="Regular"/>
    <n v="-0.67889908256880738"/>
    <n v="-14"/>
    <n v="-41"/>
  </r>
  <r>
    <s v="626"/>
    <n v="260"/>
    <n v="-223"/>
    <x v="888"/>
    <n v="2548"/>
    <n v="390"/>
    <s v="Major Market"/>
    <x v="3"/>
    <n v="91"/>
    <x v="1"/>
    <x v="3"/>
    <x v="7"/>
    <n v="247"/>
    <n v="650"/>
    <s v="California"/>
    <n v="380"/>
    <n v="580"/>
    <n v="470"/>
    <n v="960"/>
    <n v="143"/>
    <s v="Regular"/>
    <n v="0.38"/>
    <n v="-223"/>
    <n v="-310"/>
  </r>
  <r>
    <s v="562"/>
    <n v="239"/>
    <n v="-11"/>
    <x v="889"/>
    <n v="1755"/>
    <n v="239"/>
    <s v="Major Market"/>
    <x v="3"/>
    <n v="66"/>
    <x v="1"/>
    <x v="2"/>
    <x v="9"/>
    <n v="149"/>
    <n v="478"/>
    <s v="California"/>
    <n v="210"/>
    <n v="220"/>
    <n v="160"/>
    <n v="430"/>
    <n v="90"/>
    <s v="Regular"/>
    <n v="0.31171548117154813"/>
    <n v="-11"/>
    <n v="48"/>
  </r>
  <r>
    <s v="562"/>
    <n v="125"/>
    <n v="-23"/>
    <x v="890"/>
    <n v="898"/>
    <n v="173"/>
    <s v="Major Market"/>
    <x v="3"/>
    <n v="113"/>
    <x v="1"/>
    <x v="2"/>
    <x v="8"/>
    <n v="27"/>
    <n v="298"/>
    <s v="California"/>
    <n v="110"/>
    <n v="160"/>
    <n v="50"/>
    <n v="270"/>
    <n v="146"/>
    <s v="Regular"/>
    <n v="9.0604026845637578E-2"/>
    <n v="-23"/>
    <n v="28"/>
  </r>
  <r>
    <s v="661"/>
    <n v="108"/>
    <n v="-5"/>
    <x v="891"/>
    <n v="971"/>
    <n v="157"/>
    <s v="Major Market"/>
    <x v="3"/>
    <n v="30"/>
    <x v="0"/>
    <x v="0"/>
    <x v="10"/>
    <n v="115"/>
    <n v="265"/>
    <s v="California"/>
    <n v="80"/>
    <n v="130"/>
    <n v="120"/>
    <n v="210"/>
    <n v="42"/>
    <s v="Decaf"/>
    <n v="0.43396226415094341"/>
    <n v="-5"/>
    <n v="55"/>
  </r>
  <r>
    <s v="562"/>
    <n v="239"/>
    <n v="16"/>
    <x v="892"/>
    <n v="1246"/>
    <n v="281"/>
    <s v="Major Market"/>
    <x v="3"/>
    <n v="74"/>
    <x v="0"/>
    <x v="0"/>
    <x v="0"/>
    <n v="186"/>
    <n v="520"/>
    <s v="California"/>
    <n v="190"/>
    <n v="220"/>
    <n v="170"/>
    <n v="410"/>
    <n v="95"/>
    <s v="Decaf"/>
    <n v="0.3576923076923077"/>
    <n v="16"/>
    <n v="110"/>
  </r>
  <r>
    <s v="562"/>
    <n v="123"/>
    <n v="54"/>
    <x v="893"/>
    <n v="915"/>
    <n v="179"/>
    <s v="Major Market"/>
    <x v="3"/>
    <n v="34"/>
    <x v="0"/>
    <x v="1"/>
    <x v="2"/>
    <n v="134"/>
    <n v="302"/>
    <s v="California"/>
    <n v="50"/>
    <n v="90"/>
    <n v="80"/>
    <n v="140"/>
    <n v="45"/>
    <s v="Regular"/>
    <n v="0.44370860927152317"/>
    <n v="54"/>
    <n v="162"/>
  </r>
  <r>
    <s v="971"/>
    <n v="43"/>
    <n v="-51"/>
    <x v="894"/>
    <n v="419"/>
    <n v="64"/>
    <s v="Small Market"/>
    <x v="3"/>
    <n v="13"/>
    <x v="1"/>
    <x v="3"/>
    <x v="5"/>
    <n v="29"/>
    <n v="107"/>
    <s v="Oregon"/>
    <n v="50"/>
    <n v="100"/>
    <n v="80"/>
    <n v="150"/>
    <n v="35"/>
    <s v="Decaf"/>
    <n v="0.27102803738317754"/>
    <n v="-51"/>
    <n v="-43"/>
  </r>
  <r>
    <s v="435"/>
    <n v="79"/>
    <n v="-86"/>
    <x v="895"/>
    <n v="593"/>
    <n v="98"/>
    <s v="Small Market"/>
    <x v="3"/>
    <n v="30"/>
    <x v="1"/>
    <x v="3"/>
    <x v="5"/>
    <n v="34"/>
    <n v="177"/>
    <s v="Utah"/>
    <n v="100"/>
    <n v="160"/>
    <n v="120"/>
    <n v="260"/>
    <n v="64"/>
    <s v="Decaf"/>
    <n v="0.19209039548022599"/>
    <n v="-86"/>
    <n v="-83"/>
  </r>
  <r>
    <s v="425"/>
    <n v="96"/>
    <n v="-83"/>
    <x v="896"/>
    <n v="683"/>
    <n v="134"/>
    <s v="Small Market"/>
    <x v="3"/>
    <n v="87"/>
    <x v="1"/>
    <x v="3"/>
    <x v="5"/>
    <n v="17"/>
    <n v="230"/>
    <s v="Washington"/>
    <n v="140"/>
    <n v="190"/>
    <n v="100"/>
    <n v="330"/>
    <n v="117"/>
    <s v="Decaf"/>
    <n v="7.3913043478260873E-2"/>
    <n v="-83"/>
    <n v="-100"/>
  </r>
  <r>
    <s v="503"/>
    <n v="161"/>
    <n v="-19"/>
    <x v="897"/>
    <n v="1267"/>
    <n v="161"/>
    <s v="Small Market"/>
    <x v="3"/>
    <n v="45"/>
    <x v="1"/>
    <x v="2"/>
    <x v="4"/>
    <n v="91"/>
    <n v="322"/>
    <s v="Oregon"/>
    <n v="140"/>
    <n v="150"/>
    <n v="110"/>
    <n v="290"/>
    <n v="70"/>
    <s v="Decaf"/>
    <n v="0.28260869565217389"/>
    <n v="-19"/>
    <n v="32"/>
  </r>
  <r>
    <s v="253"/>
    <n v="80"/>
    <n v="-32"/>
    <x v="898"/>
    <n v="1055"/>
    <n v="94"/>
    <s v="Small Market"/>
    <x v="3"/>
    <n v="24"/>
    <x v="1"/>
    <x v="2"/>
    <x v="4"/>
    <n v="48"/>
    <n v="174"/>
    <s v="Washington"/>
    <n v="60"/>
    <n v="90"/>
    <n v="80"/>
    <n v="150"/>
    <n v="46"/>
    <s v="Decaf"/>
    <n v="0.27586206896551724"/>
    <n v="-32"/>
    <n v="24"/>
  </r>
  <r>
    <s v="971"/>
    <n v="51"/>
    <n v="-55"/>
    <x v="899"/>
    <n v="503"/>
    <n v="71"/>
    <s v="Small Market"/>
    <x v="3"/>
    <n v="46"/>
    <x v="1"/>
    <x v="3"/>
    <x v="6"/>
    <n v="-5"/>
    <n v="122"/>
    <s v="Oregon"/>
    <n v="70"/>
    <n v="100"/>
    <n v="50"/>
    <n v="170"/>
    <n v="76"/>
    <s v="Regular"/>
    <n v="-4.0983606557377046E-2"/>
    <n v="-55"/>
    <n v="-48"/>
  </r>
  <r>
    <s v="435"/>
    <n v="65"/>
    <n v="-54"/>
    <x v="900"/>
    <n v="1053"/>
    <n v="77"/>
    <s v="Small Market"/>
    <x v="3"/>
    <n v="20"/>
    <x v="1"/>
    <x v="3"/>
    <x v="6"/>
    <n v="36"/>
    <n v="142"/>
    <s v="Utah"/>
    <n v="90"/>
    <n v="110"/>
    <n v="90"/>
    <n v="200"/>
    <n v="41"/>
    <s v="Regular"/>
    <n v="0.25352112676056338"/>
    <n v="-54"/>
    <n v="-58"/>
  </r>
  <r>
    <s v="971"/>
    <n v="60"/>
    <n v="-69"/>
    <x v="901"/>
    <n v="463"/>
    <n v="84"/>
    <s v="Small Market"/>
    <x v="3"/>
    <n v="19"/>
    <x v="1"/>
    <x v="3"/>
    <x v="7"/>
    <n v="21"/>
    <n v="144"/>
    <s v="Oregon"/>
    <n v="80"/>
    <n v="130"/>
    <n v="90"/>
    <n v="210"/>
    <n v="63"/>
    <s v="Regular"/>
    <n v="0.14583333333333334"/>
    <n v="-69"/>
    <n v="-66"/>
  </r>
  <r>
    <s v="435"/>
    <n v="47"/>
    <n v="-58"/>
    <x v="902"/>
    <n v="375"/>
    <n v="64"/>
    <s v="Small Market"/>
    <x v="3"/>
    <n v="15"/>
    <x v="1"/>
    <x v="3"/>
    <x v="7"/>
    <n v="22"/>
    <n v="111"/>
    <s v="Utah"/>
    <n v="50"/>
    <n v="100"/>
    <n v="80"/>
    <n v="150"/>
    <n v="42"/>
    <s v="Regular"/>
    <n v="0.1981981981981982"/>
    <n v="-58"/>
    <n v="-39"/>
  </r>
  <r>
    <s v="206"/>
    <n v="68"/>
    <n v="-54"/>
    <x v="903"/>
    <n v="438"/>
    <n v="99"/>
    <s v="Small Market"/>
    <x v="3"/>
    <n v="21"/>
    <x v="1"/>
    <x v="3"/>
    <x v="7"/>
    <n v="56"/>
    <n v="167"/>
    <s v="Washington"/>
    <n v="90"/>
    <n v="140"/>
    <n v="110"/>
    <n v="230"/>
    <n v="43"/>
    <s v="Regular"/>
    <n v="0.33532934131736525"/>
    <n v="-54"/>
    <n v="-63"/>
  </r>
  <r>
    <s v="206"/>
    <n v="22"/>
    <n v="-10"/>
    <x v="904"/>
    <n v="573"/>
    <n v="29"/>
    <s v="Small Market"/>
    <x v="3"/>
    <n v="7"/>
    <x v="1"/>
    <x v="2"/>
    <x v="9"/>
    <n v="10"/>
    <n v="51"/>
    <s v="Washington"/>
    <n v="10"/>
    <n v="20"/>
    <n v="20"/>
    <n v="30"/>
    <n v="19"/>
    <s v="Regular"/>
    <n v="0.19607843137254902"/>
    <n v="-10"/>
    <n v="21"/>
  </r>
  <r>
    <s v="702"/>
    <n v="21"/>
    <n v="-6"/>
    <x v="905"/>
    <n v="846"/>
    <n v="31"/>
    <s v="Small Market"/>
    <x v="3"/>
    <n v="5"/>
    <x v="1"/>
    <x v="2"/>
    <x v="8"/>
    <n v="14"/>
    <n v="52"/>
    <s v="Nevada"/>
    <n v="10"/>
    <n v="20"/>
    <n v="20"/>
    <n v="30"/>
    <n v="17"/>
    <s v="Regular"/>
    <n v="0.26923076923076922"/>
    <n v="-6"/>
    <n v="22"/>
  </r>
  <r>
    <s v="801"/>
    <n v="103"/>
    <n v="-23"/>
    <x v="906"/>
    <n v="564"/>
    <n v="133"/>
    <s v="Small Market"/>
    <x v="3"/>
    <n v="33"/>
    <x v="1"/>
    <x v="2"/>
    <x v="8"/>
    <n v="87"/>
    <n v="236"/>
    <s v="Utah"/>
    <n v="80"/>
    <n v="130"/>
    <n v="110"/>
    <n v="210"/>
    <n v="46"/>
    <s v="Regular"/>
    <n v="0.36864406779661019"/>
    <n v="-23"/>
    <n v="26"/>
  </r>
  <r>
    <s v="775"/>
    <n v="125"/>
    <n v="-34"/>
    <x v="907"/>
    <n v="898"/>
    <n v="173"/>
    <s v="Small Market"/>
    <x v="3"/>
    <n v="113"/>
    <x v="0"/>
    <x v="0"/>
    <x v="10"/>
    <n v="26"/>
    <n v="298"/>
    <s v="Nevada"/>
    <n v="90"/>
    <n v="150"/>
    <n v="60"/>
    <n v="240"/>
    <n v="147"/>
    <s v="Decaf"/>
    <n v="8.7248322147651006E-2"/>
    <n v="-34"/>
    <n v="58"/>
  </r>
  <r>
    <s v="206"/>
    <n v="125"/>
    <n v="-15"/>
    <x v="908"/>
    <n v="1119"/>
    <n v="188"/>
    <s v="Small Market"/>
    <x v="3"/>
    <n v="41"/>
    <x v="0"/>
    <x v="0"/>
    <x v="10"/>
    <n v="115"/>
    <n v="313"/>
    <s v="Washington"/>
    <n v="90"/>
    <n v="160"/>
    <n v="130"/>
    <n v="250"/>
    <n v="73"/>
    <s v="Decaf"/>
    <n v="0.36741214057507987"/>
    <n v="-15"/>
    <n v="63"/>
  </r>
  <r>
    <s v="702"/>
    <n v="154"/>
    <n v="0"/>
    <x v="909"/>
    <n v="1132"/>
    <n v="213"/>
    <s v="Small Market"/>
    <x v="3"/>
    <n v="50"/>
    <x v="0"/>
    <x v="0"/>
    <x v="0"/>
    <n v="120"/>
    <n v="367"/>
    <s v="Nevada"/>
    <n v="120"/>
    <n v="170"/>
    <n v="120"/>
    <n v="290"/>
    <n v="93"/>
    <s v="Decaf"/>
    <n v="0.32697547683923706"/>
    <n v="0"/>
    <n v="77"/>
  </r>
  <r>
    <s v="971"/>
    <n v="90"/>
    <n v="-17"/>
    <x v="910"/>
    <n v="572"/>
    <n v="115"/>
    <s v="Small Market"/>
    <x v="3"/>
    <n v="29"/>
    <x v="0"/>
    <x v="0"/>
    <x v="0"/>
    <n v="73"/>
    <n v="205"/>
    <s v="Oregon"/>
    <n v="60"/>
    <n v="100"/>
    <n v="90"/>
    <n v="160"/>
    <n v="42"/>
    <s v="Decaf"/>
    <n v="0.35609756097560974"/>
    <n v="-17"/>
    <n v="45"/>
  </r>
  <r>
    <s v="702"/>
    <n v="122"/>
    <n v="-16"/>
    <x v="911"/>
    <n v="789"/>
    <n v="176"/>
    <s v="Small Market"/>
    <x v="3"/>
    <n v="39"/>
    <x v="0"/>
    <x v="0"/>
    <x v="1"/>
    <n v="114"/>
    <n v="298"/>
    <s v="Nevada"/>
    <n v="90"/>
    <n v="150"/>
    <n v="130"/>
    <n v="240"/>
    <n v="62"/>
    <s v="Decaf"/>
    <n v="0.3825503355704698"/>
    <n v="-16"/>
    <n v="58"/>
  </r>
  <r>
    <s v="435"/>
    <n v="86"/>
    <n v="-27"/>
    <x v="912"/>
    <n v="1698"/>
    <n v="23"/>
    <s v="Small Market"/>
    <x v="3"/>
    <n v="26"/>
    <x v="0"/>
    <x v="0"/>
    <x v="1"/>
    <n v="-27"/>
    <n v="109"/>
    <s v="Utah"/>
    <n v="60"/>
    <n v="20"/>
    <n v="0"/>
    <n v="80"/>
    <n v="50"/>
    <s v="Decaf"/>
    <n v="-0.24770642201834864"/>
    <n v="-27"/>
    <n v="29"/>
  </r>
  <r>
    <s v="702"/>
    <n v="257"/>
    <n v="94"/>
    <x v="913"/>
    <n v="1662"/>
    <n v="341"/>
    <s v="Small Market"/>
    <x v="3"/>
    <n v="84"/>
    <x v="0"/>
    <x v="1"/>
    <x v="2"/>
    <n v="224"/>
    <n v="598"/>
    <s v="Nevada"/>
    <n v="110"/>
    <n v="180"/>
    <n v="130"/>
    <n v="290"/>
    <n v="117"/>
    <s v="Regular"/>
    <n v="0.37458193979933108"/>
    <n v="94"/>
    <n v="308"/>
  </r>
  <r>
    <s v="541"/>
    <n v="21"/>
    <n v="-4"/>
    <x v="914"/>
    <n v="480"/>
    <n v="32"/>
    <s v="Small Market"/>
    <x v="3"/>
    <n v="5"/>
    <x v="0"/>
    <x v="1"/>
    <x v="2"/>
    <n v="16"/>
    <n v="53"/>
    <s v="Oregon"/>
    <n v="0"/>
    <n v="20"/>
    <n v="20"/>
    <n v="20"/>
    <n v="16"/>
    <s v="Regular"/>
    <n v="0.30188679245283018"/>
    <n v="-4"/>
    <n v="33"/>
  </r>
  <r>
    <s v="775"/>
    <n v="239"/>
    <n v="69"/>
    <x v="915"/>
    <n v="1755"/>
    <n v="239"/>
    <s v="Small Market"/>
    <x v="3"/>
    <n v="66"/>
    <x v="0"/>
    <x v="1"/>
    <x v="11"/>
    <n v="149"/>
    <n v="478"/>
    <s v="Nevada"/>
    <n v="110"/>
    <n v="120"/>
    <n v="80"/>
    <n v="230"/>
    <n v="90"/>
    <s v="Regular"/>
    <n v="0.31171548117154813"/>
    <n v="69"/>
    <n v="248"/>
  </r>
  <r>
    <s v="702"/>
    <n v="255"/>
    <n v="-193"/>
    <x v="916"/>
    <n v="7058"/>
    <n v="-255"/>
    <s v="Small Market"/>
    <x v="3"/>
    <n v="96"/>
    <x v="0"/>
    <x v="1"/>
    <x v="3"/>
    <n v="-363"/>
    <n v="21"/>
    <s v="Nevada"/>
    <n v="110"/>
    <n v="-110"/>
    <n v="-170"/>
    <n v="0"/>
    <n v="129"/>
    <s v="Regular"/>
    <n v="-17.285714285714285"/>
    <n v="-193"/>
    <n v="21"/>
  </r>
  <r>
    <s v="435"/>
    <n v="25"/>
    <n v="-22"/>
    <x v="917"/>
    <n v="209"/>
    <n v="31"/>
    <s v="Small Market"/>
    <x v="3"/>
    <n v="9"/>
    <x v="0"/>
    <x v="1"/>
    <x v="3"/>
    <n v="-12"/>
    <n v="56"/>
    <s v="Utah"/>
    <n v="0"/>
    <n v="20"/>
    <n v="10"/>
    <n v="20"/>
    <n v="43"/>
    <s v="Regular"/>
    <n v="-0.21428571428571427"/>
    <n v="-22"/>
    <n v="36"/>
  </r>
  <r>
    <s v="909"/>
    <n v="173"/>
    <n v="3"/>
    <x v="918"/>
    <n v="3909"/>
    <n v="-27"/>
    <s v="Major Market"/>
    <x v="3"/>
    <n v="57"/>
    <x v="1"/>
    <x v="3"/>
    <x v="5"/>
    <n v="-127"/>
    <n v="146"/>
    <s v="California"/>
    <n v="200"/>
    <n v="-30"/>
    <n v="-130"/>
    <n v="170"/>
    <n v="100"/>
    <s v="Decaf"/>
    <n v="-0.86986301369863017"/>
    <n v="3"/>
    <n v="-24"/>
  </r>
  <r>
    <s v="707"/>
    <n v="228"/>
    <n v="7"/>
    <x v="919"/>
    <n v="1691"/>
    <n v="304"/>
    <s v="Major Market"/>
    <x v="3"/>
    <n v="75"/>
    <x v="1"/>
    <x v="2"/>
    <x v="4"/>
    <n v="197"/>
    <n v="532"/>
    <s v="California"/>
    <n v="220"/>
    <n v="290"/>
    <n v="190"/>
    <n v="510"/>
    <n v="107"/>
    <s v="Decaf"/>
    <n v="0.37030075187969924"/>
    <n v="7"/>
    <n v="22"/>
  </r>
  <r>
    <s v="619"/>
    <n v="113"/>
    <n v="-6"/>
    <x v="920"/>
    <n v="2758"/>
    <n v="3"/>
    <s v="Major Market"/>
    <x v="3"/>
    <n v="36"/>
    <x v="1"/>
    <x v="3"/>
    <x v="6"/>
    <n v="-56"/>
    <n v="116"/>
    <s v="California"/>
    <n v="130"/>
    <n v="0"/>
    <n v="-50"/>
    <n v="130"/>
    <n v="59"/>
    <s v="Regular"/>
    <n v="-0.48275862068965519"/>
    <n v="-6"/>
    <n v="-14"/>
  </r>
  <r>
    <s v="951"/>
    <n v="249"/>
    <n v="-75"/>
    <x v="921"/>
    <n v="2580"/>
    <n v="374"/>
    <s v="Major Market"/>
    <x v="3"/>
    <n v="87"/>
    <x v="1"/>
    <x v="3"/>
    <x v="7"/>
    <n v="235"/>
    <n v="623"/>
    <s v="California"/>
    <n v="290"/>
    <n v="450"/>
    <n v="310"/>
    <n v="740"/>
    <n v="139"/>
    <s v="Regular"/>
    <n v="0.37720706260032105"/>
    <n v="-75"/>
    <n v="-117"/>
  </r>
  <r>
    <s v="559"/>
    <n v="211"/>
    <n v="-11"/>
    <x v="922"/>
    <n v="1778"/>
    <n v="212"/>
    <s v="Major Market"/>
    <x v="3"/>
    <n v="59"/>
    <x v="1"/>
    <x v="2"/>
    <x v="9"/>
    <n v="129"/>
    <n v="423"/>
    <s v="California"/>
    <n v="200"/>
    <n v="210"/>
    <n v="140"/>
    <n v="410"/>
    <n v="83"/>
    <s v="Regular"/>
    <n v="0.30496453900709219"/>
    <n v="-11"/>
    <n v="13"/>
  </r>
  <r>
    <s v="818"/>
    <n v="121"/>
    <n v="-14"/>
    <x v="923"/>
    <n v="912"/>
    <n v="168"/>
    <s v="Major Market"/>
    <x v="3"/>
    <n v="109"/>
    <x v="1"/>
    <x v="2"/>
    <x v="8"/>
    <n v="26"/>
    <n v="289"/>
    <s v="California"/>
    <n v="110"/>
    <n v="170"/>
    <n v="40"/>
    <n v="280"/>
    <n v="142"/>
    <s v="Regular"/>
    <n v="8.9965397923875437E-2"/>
    <n v="-14"/>
    <n v="9"/>
  </r>
  <r>
    <s v="213"/>
    <n v="81"/>
    <n v="4"/>
    <x v="924"/>
    <n v="984"/>
    <n v="117"/>
    <s v="Major Market"/>
    <x v="3"/>
    <n v="22"/>
    <x v="0"/>
    <x v="0"/>
    <x v="10"/>
    <n v="84"/>
    <n v="198"/>
    <s v="California"/>
    <n v="70"/>
    <n v="110"/>
    <n v="80"/>
    <n v="180"/>
    <n v="33"/>
    <s v="Decaf"/>
    <n v="0.42424242424242425"/>
    <n v="4"/>
    <n v="18"/>
  </r>
  <r>
    <s v="213"/>
    <n v="225"/>
    <n v="14"/>
    <x v="925"/>
    <n v="1272"/>
    <n v="265"/>
    <s v="Major Market"/>
    <x v="3"/>
    <n v="69"/>
    <x v="0"/>
    <x v="0"/>
    <x v="0"/>
    <n v="174"/>
    <n v="490"/>
    <s v="California"/>
    <n v="210"/>
    <n v="240"/>
    <n v="160"/>
    <n v="450"/>
    <n v="91"/>
    <s v="Decaf"/>
    <n v="0.35510204081632651"/>
    <n v="14"/>
    <n v="40"/>
  </r>
  <r>
    <s v="213"/>
    <n v="118"/>
    <n v="18"/>
    <x v="926"/>
    <n v="930"/>
    <n v="172"/>
    <s v="Major Market"/>
    <x v="3"/>
    <n v="33"/>
    <x v="0"/>
    <x v="1"/>
    <x v="2"/>
    <n v="128"/>
    <n v="290"/>
    <s v="California"/>
    <n v="80"/>
    <n v="130"/>
    <n v="110"/>
    <n v="210"/>
    <n v="44"/>
    <s v="Regular"/>
    <n v="0.44137931034482758"/>
    <n v="18"/>
    <n v="80"/>
  </r>
  <r>
    <s v="801"/>
    <n v="82"/>
    <n v="-22"/>
    <x v="927"/>
    <n v="601"/>
    <n v="102"/>
    <s v="Small Market"/>
    <x v="3"/>
    <n v="31"/>
    <x v="1"/>
    <x v="3"/>
    <x v="5"/>
    <n v="38"/>
    <n v="184"/>
    <s v="Utah"/>
    <n v="90"/>
    <n v="120"/>
    <n v="60"/>
    <n v="210"/>
    <n v="64"/>
    <s v="Decaf"/>
    <n v="0.20652173913043478"/>
    <n v="-22"/>
    <n v="-26"/>
  </r>
  <r>
    <s v="253"/>
    <n v="94"/>
    <n v="-24"/>
    <x v="928"/>
    <n v="694"/>
    <n v="130"/>
    <s v="Small Market"/>
    <x v="3"/>
    <n v="85"/>
    <x v="1"/>
    <x v="3"/>
    <x v="5"/>
    <n v="16"/>
    <n v="224"/>
    <s v="Washington"/>
    <n v="110"/>
    <n v="150"/>
    <n v="40"/>
    <n v="260"/>
    <n v="114"/>
    <s v="Decaf"/>
    <n v="7.1428571428571425E-2"/>
    <n v="-24"/>
    <n v="-36"/>
  </r>
  <r>
    <s v="503"/>
    <n v="181"/>
    <n v="-12"/>
    <x v="929"/>
    <n v="1283"/>
    <n v="182"/>
    <s v="Small Market"/>
    <x v="3"/>
    <n v="50"/>
    <x v="1"/>
    <x v="2"/>
    <x v="4"/>
    <n v="108"/>
    <n v="363"/>
    <s v="Oregon"/>
    <n v="170"/>
    <n v="180"/>
    <n v="120"/>
    <n v="350"/>
    <n v="74"/>
    <s v="Decaf"/>
    <n v="0.2975206611570248"/>
    <n v="-12"/>
    <n v="13"/>
  </r>
  <r>
    <s v="801"/>
    <n v="69"/>
    <n v="-11"/>
    <x v="930"/>
    <n v="1060"/>
    <n v="81"/>
    <s v="Small Market"/>
    <x v="3"/>
    <n v="21"/>
    <x v="1"/>
    <x v="3"/>
    <x v="6"/>
    <n v="39"/>
    <n v="150"/>
    <s v="Utah"/>
    <n v="80"/>
    <n v="90"/>
    <n v="50"/>
    <n v="170"/>
    <n v="42"/>
    <s v="Regular"/>
    <n v="0.26"/>
    <n v="-11"/>
    <n v="-20"/>
  </r>
  <r>
    <s v="971"/>
    <n v="53"/>
    <n v="-26"/>
    <x v="931"/>
    <n v="470"/>
    <n v="75"/>
    <s v="Small Market"/>
    <x v="3"/>
    <n v="17"/>
    <x v="1"/>
    <x v="3"/>
    <x v="7"/>
    <n v="14"/>
    <n v="128"/>
    <s v="Oregon"/>
    <n v="60"/>
    <n v="90"/>
    <n v="40"/>
    <n v="150"/>
    <n v="61"/>
    <s v="Regular"/>
    <n v="0.109375"/>
    <n v="-26"/>
    <n v="-22"/>
  </r>
  <r>
    <s v="425"/>
    <n v="63"/>
    <n v="-20"/>
    <x v="932"/>
    <n v="446"/>
    <n v="93"/>
    <s v="Small Market"/>
    <x v="3"/>
    <n v="20"/>
    <x v="1"/>
    <x v="3"/>
    <x v="7"/>
    <n v="50"/>
    <n v="156"/>
    <s v="Washington"/>
    <n v="70"/>
    <n v="110"/>
    <n v="70"/>
    <n v="180"/>
    <n v="43"/>
    <s v="Regular"/>
    <n v="0.32051282051282054"/>
    <n v="-20"/>
    <n v="-24"/>
  </r>
  <r>
    <s v="775"/>
    <n v="15"/>
    <n v="-1"/>
    <x v="933"/>
    <n v="848"/>
    <n v="24"/>
    <s v="Small Market"/>
    <x v="3"/>
    <n v="4"/>
    <x v="1"/>
    <x v="2"/>
    <x v="8"/>
    <n v="9"/>
    <n v="39"/>
    <s v="Nevada"/>
    <n v="10"/>
    <n v="20"/>
    <n v="10"/>
    <n v="30"/>
    <n v="15"/>
    <s v="Regular"/>
    <n v="0.23076923076923078"/>
    <n v="-1"/>
    <n v="9"/>
  </r>
  <r>
    <s v="435"/>
    <n v="101"/>
    <n v="-5"/>
    <x v="934"/>
    <n v="552"/>
    <n v="130"/>
    <s v="Small Market"/>
    <x v="3"/>
    <n v="33"/>
    <x v="1"/>
    <x v="2"/>
    <x v="8"/>
    <n v="85"/>
    <n v="231"/>
    <s v="Utah"/>
    <n v="90"/>
    <n v="130"/>
    <n v="90"/>
    <n v="220"/>
    <n v="45"/>
    <s v="Regular"/>
    <n v="0.36796536796536794"/>
    <n v="-5"/>
    <n v="11"/>
  </r>
  <r>
    <s v="775"/>
    <n v="121"/>
    <n v="6"/>
    <x v="935"/>
    <n v="912"/>
    <n v="168"/>
    <s v="Small Market"/>
    <x v="3"/>
    <n v="109"/>
    <x v="0"/>
    <x v="0"/>
    <x v="10"/>
    <n v="26"/>
    <n v="289"/>
    <s v="Nevada"/>
    <n v="110"/>
    <n v="150"/>
    <n v="20"/>
    <n v="260"/>
    <n v="142"/>
    <s v="Decaf"/>
    <n v="8.9965397923875437E-2"/>
    <n v="6"/>
    <n v="29"/>
  </r>
  <r>
    <s v="206"/>
    <n v="130"/>
    <n v="2"/>
    <x v="936"/>
    <n v="1134"/>
    <n v="195"/>
    <s v="Small Market"/>
    <x v="3"/>
    <n v="42"/>
    <x v="0"/>
    <x v="0"/>
    <x v="10"/>
    <n v="122"/>
    <n v="325"/>
    <s v="Washington"/>
    <n v="120"/>
    <n v="180"/>
    <n v="120"/>
    <n v="300"/>
    <n v="73"/>
    <s v="Decaf"/>
    <n v="0.37538461538461537"/>
    <n v="2"/>
    <n v="25"/>
  </r>
  <r>
    <s v="702"/>
    <n v="173"/>
    <n v="8"/>
    <x v="937"/>
    <n v="1150"/>
    <n v="239"/>
    <s v="Small Market"/>
    <x v="3"/>
    <n v="57"/>
    <x v="0"/>
    <x v="0"/>
    <x v="0"/>
    <n v="138"/>
    <n v="412"/>
    <s v="Nevada"/>
    <n v="160"/>
    <n v="220"/>
    <n v="130"/>
    <n v="380"/>
    <n v="101"/>
    <s v="Decaf"/>
    <n v="0.33495145631067963"/>
    <n v="8"/>
    <n v="32"/>
  </r>
  <r>
    <s v="971"/>
    <n v="88"/>
    <n v="0"/>
    <x v="938"/>
    <n v="561"/>
    <n v="112"/>
    <s v="Small Market"/>
    <x v="3"/>
    <n v="29"/>
    <x v="0"/>
    <x v="0"/>
    <x v="0"/>
    <n v="70"/>
    <n v="200"/>
    <s v="Oregon"/>
    <n v="80"/>
    <n v="100"/>
    <n v="70"/>
    <n v="180"/>
    <n v="42"/>
    <s v="Decaf"/>
    <n v="0.35"/>
    <n v="0"/>
    <n v="20"/>
  </r>
  <r>
    <s v="702"/>
    <n v="113"/>
    <n v="7"/>
    <x v="939"/>
    <n v="803"/>
    <n v="165"/>
    <s v="Small Market"/>
    <x v="3"/>
    <n v="36"/>
    <x v="0"/>
    <x v="0"/>
    <x v="1"/>
    <n v="107"/>
    <n v="278"/>
    <s v="Nevada"/>
    <n v="100"/>
    <n v="150"/>
    <n v="100"/>
    <n v="250"/>
    <n v="58"/>
    <s v="Decaf"/>
    <n v="0.38489208633093525"/>
    <n v="7"/>
    <n v="28"/>
  </r>
  <r>
    <s v="702"/>
    <n v="228"/>
    <n v="56"/>
    <x v="940"/>
    <n v="1691"/>
    <n v="304"/>
    <s v="Small Market"/>
    <x v="3"/>
    <n v="75"/>
    <x v="0"/>
    <x v="1"/>
    <x v="2"/>
    <n v="196"/>
    <n v="532"/>
    <s v="Nevada"/>
    <n v="160"/>
    <n v="220"/>
    <n v="140"/>
    <n v="380"/>
    <n v="108"/>
    <s v="Regular"/>
    <n v="0.36842105263157893"/>
    <n v="56"/>
    <n v="152"/>
  </r>
  <r>
    <s v="702"/>
    <n v="211"/>
    <n v="48"/>
    <x v="941"/>
    <n v="1778"/>
    <n v="212"/>
    <s v="Small Market"/>
    <x v="3"/>
    <n v="59"/>
    <x v="0"/>
    <x v="1"/>
    <x v="11"/>
    <n v="128"/>
    <n v="423"/>
    <s v="Nevada"/>
    <n v="150"/>
    <n v="150"/>
    <n v="80"/>
    <n v="300"/>
    <n v="84"/>
    <s v="Regular"/>
    <n v="0.30260047281323876"/>
    <n v="48"/>
    <n v="123"/>
  </r>
  <r>
    <s v="971"/>
    <n v="78"/>
    <n v="12"/>
    <x v="942"/>
    <n v="798"/>
    <n v="119"/>
    <s v="Small Market"/>
    <x v="3"/>
    <n v="25"/>
    <x v="0"/>
    <x v="1"/>
    <x v="11"/>
    <n v="62"/>
    <n v="197"/>
    <s v="Oregon"/>
    <n v="50"/>
    <n v="90"/>
    <n v="50"/>
    <n v="140"/>
    <n v="57"/>
    <s v="Regular"/>
    <n v="0.31472081218274112"/>
    <n v="12"/>
    <n v="57"/>
  </r>
  <r>
    <s v="702"/>
    <n v="245"/>
    <n v="-60"/>
    <x v="943"/>
    <n v="7653"/>
    <n v="-245"/>
    <s v="Small Market"/>
    <x v="3"/>
    <n v="93"/>
    <x v="0"/>
    <x v="1"/>
    <x v="3"/>
    <n v="-340"/>
    <n v="32"/>
    <s v="Nevada"/>
    <n v="180"/>
    <n v="-180"/>
    <n v="-280"/>
    <n v="0"/>
    <n v="127"/>
    <s v="Regular"/>
    <n v="-10.625"/>
    <n v="-60"/>
    <n v="32"/>
  </r>
  <r>
    <s v="971"/>
    <n v="102"/>
    <n v="19"/>
    <x v="944"/>
    <n v="666"/>
    <n v="143"/>
    <s v="Small Market"/>
    <x v="3"/>
    <n v="31"/>
    <x v="0"/>
    <x v="1"/>
    <x v="3"/>
    <n v="89"/>
    <n v="245"/>
    <s v="Oregon"/>
    <n v="70"/>
    <n v="100"/>
    <n v="70"/>
    <n v="170"/>
    <n v="54"/>
    <s v="Regular"/>
    <n v="0.36326530612244901"/>
    <n v="19"/>
    <n v="75"/>
  </r>
  <r>
    <s v="714"/>
    <n v="224"/>
    <n v="1"/>
    <x v="945"/>
    <n v="4216"/>
    <n v="-32"/>
    <s v="Major Market"/>
    <x v="3"/>
    <n v="73"/>
    <x v="1"/>
    <x v="3"/>
    <x v="5"/>
    <n v="-149"/>
    <n v="192"/>
    <s v="California"/>
    <n v="260"/>
    <n v="-40"/>
    <n v="-150"/>
    <n v="220"/>
    <n v="117"/>
    <s v="Decaf"/>
    <n v="-0.77604166666666663"/>
    <n v="1"/>
    <n v="-28"/>
  </r>
  <r>
    <s v="209"/>
    <n v="247"/>
    <n v="6"/>
    <x v="946"/>
    <n v="1744"/>
    <n v="329"/>
    <s v="Major Market"/>
    <x v="3"/>
    <n v="81"/>
    <x v="1"/>
    <x v="2"/>
    <x v="4"/>
    <n v="216"/>
    <n v="576"/>
    <s v="California"/>
    <n v="240"/>
    <n v="310"/>
    <n v="210"/>
    <n v="550"/>
    <n v="113"/>
    <s v="Decaf"/>
    <n v="0.375"/>
    <n v="6"/>
    <n v="26"/>
  </r>
  <r>
    <s v="951"/>
    <n v="127"/>
    <n v="2"/>
    <x v="947"/>
    <n v="2947"/>
    <n v="-25"/>
    <s v="Major Market"/>
    <x v="3"/>
    <n v="40"/>
    <x v="1"/>
    <x v="3"/>
    <x v="6"/>
    <n v="-88"/>
    <n v="102"/>
    <s v="California"/>
    <n v="150"/>
    <n v="-30"/>
    <n v="-90"/>
    <n v="120"/>
    <n v="63"/>
    <s v="Regular"/>
    <n v="-0.86274509803921573"/>
    <n v="2"/>
    <n v="-18"/>
  </r>
  <r>
    <s v="707"/>
    <n v="279"/>
    <n v="-79"/>
    <x v="948"/>
    <n v="2642"/>
    <n v="420"/>
    <s v="Major Market"/>
    <x v="3"/>
    <n v="97"/>
    <x v="1"/>
    <x v="3"/>
    <x v="7"/>
    <n v="271"/>
    <n v="699"/>
    <s v="California"/>
    <n v="330"/>
    <n v="500"/>
    <n v="350"/>
    <n v="830"/>
    <n v="149"/>
    <s v="Regular"/>
    <n v="0.38769670958512159"/>
    <n v="-79"/>
    <n v="-131"/>
  </r>
  <r>
    <s v="916"/>
    <n v="250"/>
    <n v="-3"/>
    <x v="949"/>
    <n v="1820"/>
    <n v="251"/>
    <s v="Major Market"/>
    <x v="3"/>
    <n v="70"/>
    <x v="1"/>
    <x v="2"/>
    <x v="9"/>
    <n v="157"/>
    <n v="501"/>
    <s v="California"/>
    <n v="240"/>
    <n v="240"/>
    <n v="160"/>
    <n v="480"/>
    <n v="94"/>
    <s v="Regular"/>
    <n v="0.31337325349301398"/>
    <n v="-3"/>
    <n v="21"/>
  </r>
  <r>
    <s v="530"/>
    <n v="135"/>
    <n v="-9"/>
    <x v="950"/>
    <n v="940"/>
    <n v="187"/>
    <s v="Major Market"/>
    <x v="3"/>
    <n v="122"/>
    <x v="1"/>
    <x v="2"/>
    <x v="8"/>
    <n v="31"/>
    <n v="322"/>
    <s v="California"/>
    <n v="130"/>
    <n v="180"/>
    <n v="40"/>
    <n v="310"/>
    <n v="156"/>
    <s v="Regular"/>
    <n v="9.627329192546584E-2"/>
    <n v="-9"/>
    <n v="12"/>
  </r>
  <r>
    <s v="626"/>
    <n v="86"/>
    <n v="9"/>
    <x v="951"/>
    <n v="1003"/>
    <n v="124"/>
    <s v="Major Market"/>
    <x v="3"/>
    <n v="24"/>
    <x v="0"/>
    <x v="0"/>
    <x v="10"/>
    <n v="89"/>
    <n v="210"/>
    <s v="California"/>
    <n v="80"/>
    <n v="110"/>
    <n v="80"/>
    <n v="190"/>
    <n v="35"/>
    <s v="Decaf"/>
    <n v="0.4238095238095238"/>
    <n v="9"/>
    <n v="20"/>
  </r>
  <r>
    <s v="415"/>
    <n v="241"/>
    <n v="18"/>
    <x v="952"/>
    <n v="1321"/>
    <n v="284"/>
    <s v="Major Market"/>
    <x v="3"/>
    <n v="74"/>
    <x v="0"/>
    <x v="0"/>
    <x v="0"/>
    <n v="188"/>
    <n v="525"/>
    <s v="California"/>
    <n v="220"/>
    <n v="260"/>
    <n v="170"/>
    <n v="480"/>
    <n v="96"/>
    <s v="Decaf"/>
    <n v="0.35809523809523808"/>
    <n v="18"/>
    <n v="45"/>
  </r>
  <r>
    <s v="916"/>
    <n v="123"/>
    <n v="24"/>
    <x v="953"/>
    <n v="959"/>
    <n v="179"/>
    <s v="Major Market"/>
    <x v="3"/>
    <n v="34"/>
    <x v="0"/>
    <x v="1"/>
    <x v="2"/>
    <n v="134"/>
    <n v="302"/>
    <s v="California"/>
    <n v="90"/>
    <n v="130"/>
    <n v="110"/>
    <n v="220"/>
    <n v="45"/>
    <s v="Regular"/>
    <n v="0.44370860927152317"/>
    <n v="24"/>
    <n v="82"/>
  </r>
  <r>
    <s v="435"/>
    <n v="68"/>
    <n v="-24"/>
    <x v="954"/>
    <n v="619"/>
    <n v="85"/>
    <s v="Small Market"/>
    <x v="3"/>
    <n v="25"/>
    <x v="1"/>
    <x v="3"/>
    <x v="5"/>
    <n v="26"/>
    <n v="153"/>
    <s v="Utah"/>
    <n v="80"/>
    <n v="100"/>
    <n v="50"/>
    <n v="180"/>
    <n v="59"/>
    <s v="Decaf"/>
    <n v="0.16993464052287582"/>
    <n v="-24"/>
    <n v="-27"/>
  </r>
  <r>
    <s v="509"/>
    <n v="105"/>
    <n v="-30"/>
    <x v="955"/>
    <n v="716"/>
    <n v="145"/>
    <s v="Small Market"/>
    <x v="3"/>
    <n v="95"/>
    <x v="1"/>
    <x v="3"/>
    <x v="5"/>
    <n v="20"/>
    <n v="250"/>
    <s v="Washington"/>
    <n v="120"/>
    <n v="170"/>
    <n v="50"/>
    <n v="290"/>
    <n v="125"/>
    <s v="Decaf"/>
    <n v="0.08"/>
    <n v="-30"/>
    <n v="-40"/>
  </r>
  <r>
    <s v="971"/>
    <n v="153"/>
    <n v="7"/>
    <x v="956"/>
    <n v="1319"/>
    <n v="153"/>
    <s v="Small Market"/>
    <x v="3"/>
    <n v="42"/>
    <x v="1"/>
    <x v="2"/>
    <x v="4"/>
    <n v="87"/>
    <n v="306"/>
    <s v="Oregon"/>
    <n v="150"/>
    <n v="140"/>
    <n v="80"/>
    <n v="290"/>
    <n v="66"/>
    <s v="Decaf"/>
    <n v="0.28431372549019607"/>
    <n v="7"/>
    <n v="16"/>
  </r>
  <r>
    <s v="253"/>
    <n v="80"/>
    <n v="-9"/>
    <x v="957"/>
    <n v="1079"/>
    <n v="96"/>
    <s v="Small Market"/>
    <x v="3"/>
    <n v="24"/>
    <x v="1"/>
    <x v="2"/>
    <x v="4"/>
    <n v="51"/>
    <n v="176"/>
    <s v="Washington"/>
    <n v="70"/>
    <n v="100"/>
    <n v="60"/>
    <n v="170"/>
    <n v="45"/>
    <s v="Decaf"/>
    <n v="0.28977272727272729"/>
    <n v="-9"/>
    <n v="6"/>
  </r>
  <r>
    <s v="435"/>
    <n v="63"/>
    <n v="-14"/>
    <x v="958"/>
    <n v="1075"/>
    <n v="76"/>
    <s v="Small Market"/>
    <x v="3"/>
    <n v="19"/>
    <x v="1"/>
    <x v="3"/>
    <x v="6"/>
    <n v="36"/>
    <n v="139"/>
    <s v="Utah"/>
    <n v="70"/>
    <n v="90"/>
    <n v="50"/>
    <n v="160"/>
    <n v="40"/>
    <s v="Regular"/>
    <n v="0.25899280575539568"/>
    <n v="-14"/>
    <n v="-21"/>
  </r>
  <r>
    <s v="253"/>
    <n v="72"/>
    <n v="-22"/>
    <x v="959"/>
    <n v="461"/>
    <n v="104"/>
    <s v="Small Market"/>
    <x v="3"/>
    <n v="23"/>
    <x v="1"/>
    <x v="3"/>
    <x v="7"/>
    <n v="58"/>
    <n v="176"/>
    <s v="Washington"/>
    <n v="80"/>
    <n v="120"/>
    <n v="80"/>
    <n v="200"/>
    <n v="46"/>
    <s v="Regular"/>
    <n v="0.32954545454545453"/>
    <n v="-22"/>
    <n v="-24"/>
  </r>
  <r>
    <s v="775"/>
    <n v="16"/>
    <n v="0"/>
    <x v="960"/>
    <n v="851"/>
    <n v="25"/>
    <s v="Small Market"/>
    <x v="3"/>
    <n v="4"/>
    <x v="1"/>
    <x v="2"/>
    <x v="8"/>
    <n v="10"/>
    <n v="41"/>
    <s v="Nevada"/>
    <n v="10"/>
    <n v="20"/>
    <n v="10"/>
    <n v="30"/>
    <n v="15"/>
    <s v="Regular"/>
    <n v="0.24390243902439024"/>
    <n v="0"/>
    <n v="11"/>
  </r>
  <r>
    <s v="435"/>
    <n v="94"/>
    <n v="7"/>
    <x v="961"/>
    <n v="540"/>
    <n v="120"/>
    <s v="Small Market"/>
    <x v="3"/>
    <n v="31"/>
    <x v="1"/>
    <x v="2"/>
    <x v="8"/>
    <n v="77"/>
    <n v="214"/>
    <s v="Utah"/>
    <n v="90"/>
    <n v="110"/>
    <n v="70"/>
    <n v="200"/>
    <n v="43"/>
    <s v="Regular"/>
    <n v="0.35981308411214952"/>
    <n v="7"/>
    <n v="14"/>
  </r>
  <r>
    <s v="702"/>
    <n v="135"/>
    <n v="2"/>
    <x v="962"/>
    <n v="940"/>
    <n v="187"/>
    <s v="Small Market"/>
    <x v="3"/>
    <n v="122"/>
    <x v="0"/>
    <x v="0"/>
    <x v="10"/>
    <n v="32"/>
    <n v="322"/>
    <s v="Nevada"/>
    <n v="120"/>
    <n v="170"/>
    <n v="30"/>
    <n v="290"/>
    <n v="155"/>
    <s v="Decaf"/>
    <n v="9.9378881987577633E-2"/>
    <n v="2"/>
    <n v="32"/>
  </r>
  <r>
    <s v="509"/>
    <n v="115"/>
    <n v="-5"/>
    <x v="963"/>
    <n v="1166"/>
    <n v="174"/>
    <s v="Small Market"/>
    <x v="3"/>
    <n v="37"/>
    <x v="0"/>
    <x v="0"/>
    <x v="10"/>
    <n v="105"/>
    <n v="289"/>
    <s v="Washington"/>
    <n v="100"/>
    <n v="160"/>
    <n v="110"/>
    <n v="260"/>
    <n v="69"/>
    <s v="Decaf"/>
    <n v="0.36332179930795849"/>
    <n v="-5"/>
    <n v="29"/>
  </r>
  <r>
    <s v="775"/>
    <n v="224"/>
    <n v="24"/>
    <x v="964"/>
    <n v="1191"/>
    <n v="310"/>
    <s v="Small Market"/>
    <x v="3"/>
    <n v="73"/>
    <x v="0"/>
    <x v="0"/>
    <x v="0"/>
    <n v="194"/>
    <n v="534"/>
    <s v="Nevada"/>
    <n v="210"/>
    <n v="280"/>
    <n v="170"/>
    <n v="490"/>
    <n v="116"/>
    <s v="Decaf"/>
    <n v="0.36329588014981273"/>
    <n v="24"/>
    <n v="44"/>
  </r>
  <r>
    <s v="541"/>
    <n v="81"/>
    <n v="-4"/>
    <x v="965"/>
    <n v="551"/>
    <n v="104"/>
    <s v="Small Market"/>
    <x v="3"/>
    <n v="26"/>
    <x v="0"/>
    <x v="0"/>
    <x v="0"/>
    <n v="66"/>
    <n v="185"/>
    <s v="Oregon"/>
    <n v="70"/>
    <n v="100"/>
    <n v="70"/>
    <n v="170"/>
    <n v="38"/>
    <s v="Decaf"/>
    <n v="0.35675675675675678"/>
    <n v="-4"/>
    <n v="15"/>
  </r>
  <r>
    <s v="775"/>
    <n v="127"/>
    <n v="2"/>
    <x v="966"/>
    <n v="830"/>
    <n v="185"/>
    <s v="Small Market"/>
    <x v="3"/>
    <n v="40"/>
    <x v="0"/>
    <x v="0"/>
    <x v="1"/>
    <n v="122"/>
    <n v="312"/>
    <s v="Nevada"/>
    <n v="120"/>
    <n v="170"/>
    <n v="120"/>
    <n v="290"/>
    <n v="63"/>
    <s v="Decaf"/>
    <n v="0.39102564102564102"/>
    <n v="2"/>
    <n v="22"/>
  </r>
  <r>
    <s v="702"/>
    <n v="247"/>
    <n v="65"/>
    <x v="967"/>
    <n v="1744"/>
    <n v="329"/>
    <s v="Small Market"/>
    <x v="3"/>
    <n v="81"/>
    <x v="0"/>
    <x v="1"/>
    <x v="2"/>
    <n v="215"/>
    <n v="576"/>
    <s v="Nevada"/>
    <n v="180"/>
    <n v="240"/>
    <n v="150"/>
    <n v="420"/>
    <n v="114"/>
    <s v="Regular"/>
    <n v="0.3732638888888889"/>
    <n v="65"/>
    <n v="156"/>
  </r>
  <r>
    <s v="702"/>
    <n v="250"/>
    <n v="57"/>
    <x v="968"/>
    <n v="1820"/>
    <n v="251"/>
    <s v="Small Market"/>
    <x v="3"/>
    <n v="70"/>
    <x v="0"/>
    <x v="1"/>
    <x v="11"/>
    <n v="157"/>
    <n v="501"/>
    <s v="Nevada"/>
    <n v="180"/>
    <n v="180"/>
    <n v="100"/>
    <n v="360"/>
    <n v="94"/>
    <s v="Regular"/>
    <n v="0.31337325349301398"/>
    <n v="57"/>
    <n v="141"/>
  </r>
  <r>
    <s v="971"/>
    <n v="88"/>
    <n v="13"/>
    <x v="969"/>
    <n v="817"/>
    <n v="133"/>
    <s v="Small Market"/>
    <x v="3"/>
    <n v="29"/>
    <x v="0"/>
    <x v="1"/>
    <x v="11"/>
    <n v="73"/>
    <n v="221"/>
    <s v="Oregon"/>
    <n v="60"/>
    <n v="100"/>
    <n v="60"/>
    <n v="160"/>
    <n v="60"/>
    <s v="Regular"/>
    <n v="0.33031674208144796"/>
    <n v="13"/>
    <n v="61"/>
  </r>
  <r>
    <s v="775"/>
    <n v="294"/>
    <n v="-88"/>
    <x v="970"/>
    <n v="8252"/>
    <n v="-294"/>
    <s v="Small Market"/>
    <x v="3"/>
    <n v="111"/>
    <x v="0"/>
    <x v="1"/>
    <x v="3"/>
    <n v="-408"/>
    <n v="31"/>
    <s v="Nevada"/>
    <n v="210"/>
    <n v="-210"/>
    <n v="-320"/>
    <n v="0"/>
    <n v="145"/>
    <s v="Regular"/>
    <n v="-13.161290322580646"/>
    <n v="-88"/>
    <n v="31"/>
  </r>
  <r>
    <s v="503"/>
    <n v="134"/>
    <n v="21"/>
    <x v="971"/>
    <n v="690"/>
    <n v="186"/>
    <s v="Small Market"/>
    <x v="3"/>
    <n v="41"/>
    <x v="0"/>
    <x v="1"/>
    <x v="3"/>
    <n v="121"/>
    <n v="320"/>
    <s v="Oregon"/>
    <n v="90"/>
    <n v="140"/>
    <n v="100"/>
    <n v="230"/>
    <n v="65"/>
    <s v="Regular"/>
    <n v="0.37812499999999999"/>
    <n v="21"/>
    <n v="90"/>
  </r>
  <r>
    <s v="435"/>
    <n v="20"/>
    <n v="-15"/>
    <x v="972"/>
    <n v="218"/>
    <n v="25"/>
    <s v="Small Market"/>
    <x v="3"/>
    <n v="7"/>
    <x v="0"/>
    <x v="1"/>
    <x v="3"/>
    <n v="-15"/>
    <n v="45"/>
    <s v="Utah"/>
    <n v="10"/>
    <n v="20"/>
    <n v="0"/>
    <n v="30"/>
    <n v="40"/>
    <s v="Regular"/>
    <n v="-0.33333333333333331"/>
    <n v="-15"/>
    <n v="15"/>
  </r>
  <r>
    <s v="650"/>
    <n v="154"/>
    <n v="-74"/>
    <x v="973"/>
    <n v="3654"/>
    <n v="-24"/>
    <s v="Major Market"/>
    <x v="3"/>
    <n v="50"/>
    <x v="1"/>
    <x v="3"/>
    <x v="5"/>
    <n v="-174"/>
    <n v="139"/>
    <s v="California"/>
    <n v="220"/>
    <n v="-30"/>
    <n v="-100"/>
    <n v="190"/>
    <n v="93"/>
    <s v="Decaf"/>
    <n v="-1.2517985611510791"/>
    <n v="-74"/>
    <n v="-51"/>
  </r>
  <r>
    <s v="415"/>
    <n v="257"/>
    <n v="94"/>
    <x v="974"/>
    <n v="1662"/>
    <n v="341"/>
    <s v="Major Market"/>
    <x v="3"/>
    <n v="84"/>
    <x v="1"/>
    <x v="2"/>
    <x v="4"/>
    <n v="334"/>
    <n v="637"/>
    <s v="California"/>
    <n v="230"/>
    <n v="320"/>
    <n v="240"/>
    <n v="550"/>
    <n v="116"/>
    <s v="Decaf"/>
    <n v="0.52433281004709575"/>
    <n v="94"/>
    <n v="87"/>
  </r>
  <r>
    <s v="909"/>
    <n v="122"/>
    <n v="-50"/>
    <x v="975"/>
    <n v="2555"/>
    <n v="-13"/>
    <s v="Major Market"/>
    <x v="3"/>
    <n v="39"/>
    <x v="1"/>
    <x v="3"/>
    <x v="6"/>
    <n v="-110"/>
    <n v="116"/>
    <s v="California"/>
    <n v="170"/>
    <n v="-20"/>
    <n v="-60"/>
    <n v="150"/>
    <n v="61"/>
    <s v="Regular"/>
    <n v="-0.94827586206896552"/>
    <n v="-50"/>
    <n v="-34"/>
  </r>
  <r>
    <s v="818"/>
    <n v="260"/>
    <n v="-103"/>
    <x v="976"/>
    <n v="2548"/>
    <n v="390"/>
    <s v="Major Market"/>
    <x v="3"/>
    <n v="91"/>
    <x v="1"/>
    <x v="3"/>
    <x v="7"/>
    <n v="367"/>
    <n v="693"/>
    <s v="California"/>
    <n v="380"/>
    <n v="580"/>
    <n v="470"/>
    <n v="960"/>
    <n v="143"/>
    <s v="Regular"/>
    <n v="0.5295815295815296"/>
    <n v="-103"/>
    <n v="-267"/>
  </r>
  <r>
    <s v="714"/>
    <n v="239"/>
    <n v="61"/>
    <x v="977"/>
    <n v="1755"/>
    <n v="239"/>
    <s v="Major Market"/>
    <x v="3"/>
    <n v="66"/>
    <x v="1"/>
    <x v="2"/>
    <x v="9"/>
    <n v="221"/>
    <n v="509"/>
    <s v="California"/>
    <n v="210"/>
    <n v="220"/>
    <n v="160"/>
    <n v="430"/>
    <n v="90"/>
    <s v="Regular"/>
    <n v="0.43418467583497056"/>
    <n v="61"/>
    <n v="79"/>
  </r>
  <r>
    <s v="805"/>
    <n v="125"/>
    <n v="-10"/>
    <x v="978"/>
    <n v="898"/>
    <n v="173"/>
    <s v="Major Market"/>
    <x v="3"/>
    <n v="113"/>
    <x v="1"/>
    <x v="2"/>
    <x v="8"/>
    <n v="40"/>
    <n v="318"/>
    <s v="California"/>
    <n v="110"/>
    <n v="160"/>
    <n v="50"/>
    <n v="270"/>
    <n v="146"/>
    <s v="Regular"/>
    <n v="0.12578616352201258"/>
    <n v="-10"/>
    <n v="48"/>
  </r>
  <r>
    <s v="925"/>
    <n v="108"/>
    <n v="51"/>
    <x v="979"/>
    <n v="971"/>
    <n v="157"/>
    <s v="Major Market"/>
    <x v="3"/>
    <n v="30"/>
    <x v="0"/>
    <x v="0"/>
    <x v="10"/>
    <n v="171"/>
    <n v="282"/>
    <s v="California"/>
    <n v="80"/>
    <n v="130"/>
    <n v="120"/>
    <n v="210"/>
    <n v="42"/>
    <s v="Decaf"/>
    <n v="0.6063829787234043"/>
    <n v="51"/>
    <n v="72"/>
  </r>
  <r>
    <s v="951"/>
    <n v="239"/>
    <n v="106"/>
    <x v="980"/>
    <n v="1246"/>
    <n v="281"/>
    <s v="Major Market"/>
    <x v="3"/>
    <n v="74"/>
    <x v="0"/>
    <x v="0"/>
    <x v="0"/>
    <n v="276"/>
    <n v="554"/>
    <s v="California"/>
    <n v="190"/>
    <n v="220"/>
    <n v="170"/>
    <n v="410"/>
    <n v="95"/>
    <s v="Decaf"/>
    <n v="0.49819494584837543"/>
    <n v="106"/>
    <n v="144"/>
  </r>
  <r>
    <s v="831"/>
    <n v="123"/>
    <n v="119"/>
    <x v="981"/>
    <n v="915"/>
    <n v="179"/>
    <s v="Major Market"/>
    <x v="3"/>
    <n v="34"/>
    <x v="0"/>
    <x v="1"/>
    <x v="2"/>
    <n v="199"/>
    <n v="322"/>
    <s v="California"/>
    <n v="50"/>
    <n v="90"/>
    <n v="80"/>
    <n v="140"/>
    <n v="45"/>
    <s v="Regular"/>
    <n v="0.61801242236024845"/>
    <n v="119"/>
    <n v="182"/>
  </r>
  <r>
    <s v="971"/>
    <n v="43"/>
    <n v="-37"/>
    <x v="982"/>
    <n v="419"/>
    <n v="64"/>
    <s v="Small Market"/>
    <x v="3"/>
    <n v="13"/>
    <x v="1"/>
    <x v="3"/>
    <x v="5"/>
    <n v="43"/>
    <n v="114"/>
    <s v="Oregon"/>
    <n v="50"/>
    <n v="100"/>
    <n v="80"/>
    <n v="150"/>
    <n v="35"/>
    <s v="Decaf"/>
    <n v="0.37719298245614036"/>
    <n v="-37"/>
    <n v="-36"/>
  </r>
  <r>
    <s v="435"/>
    <n v="79"/>
    <n v="-70"/>
    <x v="983"/>
    <n v="593"/>
    <n v="98"/>
    <s v="Small Market"/>
    <x v="3"/>
    <n v="30"/>
    <x v="1"/>
    <x v="3"/>
    <x v="5"/>
    <n v="50"/>
    <n v="189"/>
    <s v="Utah"/>
    <n v="100"/>
    <n v="160"/>
    <n v="120"/>
    <n v="260"/>
    <n v="64"/>
    <s v="Decaf"/>
    <n v="0.26455026455026454"/>
    <n v="-70"/>
    <n v="-71"/>
  </r>
  <r>
    <s v="206"/>
    <n v="96"/>
    <n v="-75"/>
    <x v="984"/>
    <n v="683"/>
    <n v="134"/>
    <s v="Small Market"/>
    <x v="3"/>
    <n v="87"/>
    <x v="1"/>
    <x v="3"/>
    <x v="5"/>
    <n v="25"/>
    <n v="245"/>
    <s v="Washington"/>
    <n v="140"/>
    <n v="190"/>
    <n v="100"/>
    <n v="330"/>
    <n v="117"/>
    <s v="Decaf"/>
    <n v="0.10204081632653061"/>
    <n v="-75"/>
    <n v="-85"/>
  </r>
  <r>
    <s v="503"/>
    <n v="161"/>
    <n v="25"/>
    <x v="985"/>
    <n v="1267"/>
    <n v="161"/>
    <s v="Small Market"/>
    <x v="3"/>
    <n v="45"/>
    <x v="1"/>
    <x v="2"/>
    <x v="4"/>
    <n v="135"/>
    <n v="343"/>
    <s v="Oregon"/>
    <n v="140"/>
    <n v="150"/>
    <n v="110"/>
    <n v="290"/>
    <n v="70"/>
    <s v="Decaf"/>
    <n v="0.39358600583090381"/>
    <n v="25"/>
    <n v="53"/>
  </r>
  <r>
    <s v="360"/>
    <n v="80"/>
    <n v="-9"/>
    <x v="986"/>
    <n v="1055"/>
    <n v="94"/>
    <s v="Small Market"/>
    <x v="3"/>
    <n v="24"/>
    <x v="1"/>
    <x v="2"/>
    <x v="4"/>
    <n v="71"/>
    <n v="185"/>
    <s v="Washington"/>
    <n v="60"/>
    <n v="90"/>
    <n v="80"/>
    <n v="150"/>
    <n v="46"/>
    <s v="Decaf"/>
    <n v="0.38378378378378381"/>
    <n v="-9"/>
    <n v="35"/>
  </r>
  <r>
    <s v="503"/>
    <n v="51"/>
    <n v="-57"/>
    <x v="987"/>
    <n v="503"/>
    <n v="71"/>
    <s v="Small Market"/>
    <x v="3"/>
    <n v="46"/>
    <x v="1"/>
    <x v="3"/>
    <x v="6"/>
    <n v="-7"/>
    <n v="130"/>
    <s v="Oregon"/>
    <n v="70"/>
    <n v="100"/>
    <n v="50"/>
    <n v="170"/>
    <n v="76"/>
    <s v="Regular"/>
    <n v="-5.3846153846153849E-2"/>
    <n v="-57"/>
    <n v="-40"/>
  </r>
  <r>
    <s v="435"/>
    <n v="65"/>
    <n v="-37"/>
    <x v="988"/>
    <n v="1053"/>
    <n v="77"/>
    <s v="Small Market"/>
    <x v="3"/>
    <n v="20"/>
    <x v="1"/>
    <x v="3"/>
    <x v="6"/>
    <n v="53"/>
    <n v="151"/>
    <s v="Utah"/>
    <n v="90"/>
    <n v="110"/>
    <n v="90"/>
    <n v="200"/>
    <n v="41"/>
    <s v="Regular"/>
    <n v="0.35099337748344372"/>
    <n v="-37"/>
    <n v="-49"/>
  </r>
  <r>
    <s v="503"/>
    <n v="60"/>
    <n v="-59"/>
    <x v="989"/>
    <n v="463"/>
    <n v="84"/>
    <s v="Small Market"/>
    <x v="3"/>
    <n v="19"/>
    <x v="1"/>
    <x v="3"/>
    <x v="7"/>
    <n v="31"/>
    <n v="153"/>
    <s v="Oregon"/>
    <n v="80"/>
    <n v="130"/>
    <n v="90"/>
    <n v="210"/>
    <n v="63"/>
    <s v="Regular"/>
    <n v="0.20261437908496732"/>
    <n v="-59"/>
    <n v="-57"/>
  </r>
  <r>
    <s v="435"/>
    <n v="47"/>
    <n v="-47"/>
    <x v="990"/>
    <n v="375"/>
    <n v="64"/>
    <s v="Small Market"/>
    <x v="3"/>
    <n v="15"/>
    <x v="1"/>
    <x v="3"/>
    <x v="7"/>
    <n v="33"/>
    <n v="118"/>
    <s v="Utah"/>
    <n v="50"/>
    <n v="100"/>
    <n v="80"/>
    <n v="150"/>
    <n v="42"/>
    <s v="Regular"/>
    <n v="0.27966101694915252"/>
    <n v="-47"/>
    <n v="-32"/>
  </r>
  <r>
    <s v="360"/>
    <n v="68"/>
    <n v="-27"/>
    <x v="991"/>
    <n v="438"/>
    <n v="99"/>
    <s v="Small Market"/>
    <x v="3"/>
    <n v="21"/>
    <x v="1"/>
    <x v="3"/>
    <x v="7"/>
    <n v="83"/>
    <n v="178"/>
    <s v="Washington"/>
    <n v="90"/>
    <n v="140"/>
    <n v="110"/>
    <n v="230"/>
    <n v="43"/>
    <s v="Regular"/>
    <n v="0.46629213483146065"/>
    <n v="-27"/>
    <n v="-52"/>
  </r>
  <r>
    <s v="206"/>
    <n v="22"/>
    <n v="-5"/>
    <x v="992"/>
    <n v="573"/>
    <n v="29"/>
    <s v="Small Market"/>
    <x v="3"/>
    <n v="7"/>
    <x v="1"/>
    <x v="2"/>
    <x v="9"/>
    <n v="15"/>
    <n v="54"/>
    <s v="Washington"/>
    <n v="10"/>
    <n v="20"/>
    <n v="20"/>
    <n v="30"/>
    <n v="19"/>
    <s v="Regular"/>
    <n v="0.27777777777777779"/>
    <n v="-5"/>
    <n v="24"/>
  </r>
  <r>
    <s v="775"/>
    <n v="21"/>
    <n v="1"/>
    <x v="993"/>
    <n v="846"/>
    <n v="31"/>
    <s v="Small Market"/>
    <x v="3"/>
    <n v="5"/>
    <x v="1"/>
    <x v="2"/>
    <x v="8"/>
    <n v="21"/>
    <n v="55"/>
    <s v="Nevada"/>
    <n v="10"/>
    <n v="20"/>
    <n v="20"/>
    <n v="30"/>
    <n v="17"/>
    <s v="Regular"/>
    <n v="0.38181818181818183"/>
    <n v="1"/>
    <n v="25"/>
  </r>
  <r>
    <s v="435"/>
    <n v="103"/>
    <n v="19"/>
    <x v="994"/>
    <n v="564"/>
    <n v="133"/>
    <s v="Small Market"/>
    <x v="3"/>
    <n v="33"/>
    <x v="1"/>
    <x v="2"/>
    <x v="8"/>
    <n v="129"/>
    <n v="251"/>
    <s v="Utah"/>
    <n v="80"/>
    <n v="130"/>
    <n v="110"/>
    <n v="210"/>
    <n v="46"/>
    <s v="Regular"/>
    <n v="0.51394422310756971"/>
    <n v="19"/>
    <n v="41"/>
  </r>
  <r>
    <s v="702"/>
    <n v="125"/>
    <n v="-21"/>
    <x v="995"/>
    <n v="898"/>
    <n v="173"/>
    <s v="Small Market"/>
    <x v="3"/>
    <n v="113"/>
    <x v="0"/>
    <x v="0"/>
    <x v="10"/>
    <n v="39"/>
    <n v="318"/>
    <s v="Nevada"/>
    <n v="90"/>
    <n v="150"/>
    <n v="60"/>
    <n v="240"/>
    <n v="147"/>
    <s v="Decaf"/>
    <n v="0.12264150943396226"/>
    <n v="-21"/>
    <n v="78"/>
  </r>
  <r>
    <s v="360"/>
    <n v="125"/>
    <n v="41"/>
    <x v="996"/>
    <n v="1119"/>
    <n v="188"/>
    <s v="Small Market"/>
    <x v="3"/>
    <n v="41"/>
    <x v="0"/>
    <x v="0"/>
    <x v="10"/>
    <n v="171"/>
    <n v="334"/>
    <s v="Washington"/>
    <n v="90"/>
    <n v="160"/>
    <n v="130"/>
    <n v="250"/>
    <n v="73"/>
    <s v="Decaf"/>
    <n v="0.5119760479041916"/>
    <n v="41"/>
    <n v="84"/>
  </r>
  <r>
    <s v="775"/>
    <n v="154"/>
    <n v="58"/>
    <x v="997"/>
    <n v="1132"/>
    <n v="213"/>
    <s v="Small Market"/>
    <x v="3"/>
    <n v="50"/>
    <x v="0"/>
    <x v="0"/>
    <x v="0"/>
    <n v="178"/>
    <n v="391"/>
    <s v="Nevada"/>
    <n v="120"/>
    <n v="170"/>
    <n v="120"/>
    <n v="290"/>
    <n v="93"/>
    <s v="Decaf"/>
    <n v="0.45524296675191817"/>
    <n v="58"/>
    <n v="101"/>
  </r>
  <r>
    <s v="541"/>
    <n v="90"/>
    <n v="18"/>
    <x v="998"/>
    <n v="572"/>
    <n v="115"/>
    <s v="Small Market"/>
    <x v="3"/>
    <n v="29"/>
    <x v="0"/>
    <x v="0"/>
    <x v="0"/>
    <n v="108"/>
    <n v="218"/>
    <s v="Oregon"/>
    <n v="60"/>
    <n v="100"/>
    <n v="90"/>
    <n v="160"/>
    <n v="42"/>
    <s v="Decaf"/>
    <n v="0.49541284403669728"/>
    <n v="18"/>
    <n v="58"/>
  </r>
  <r>
    <s v="775"/>
    <n v="122"/>
    <n v="39"/>
    <x v="999"/>
    <n v="789"/>
    <n v="176"/>
    <s v="Small Market"/>
    <x v="3"/>
    <n v="39"/>
    <x v="0"/>
    <x v="0"/>
    <x v="1"/>
    <n v="169"/>
    <n v="318"/>
    <s v="Nevada"/>
    <n v="90"/>
    <n v="150"/>
    <n v="130"/>
    <n v="240"/>
    <n v="62"/>
    <s v="Decaf"/>
    <n v="0.53144654088050314"/>
    <n v="39"/>
    <n v="78"/>
  </r>
  <r>
    <s v="435"/>
    <n v="86"/>
    <n v="-40"/>
    <x v="1000"/>
    <n v="1698"/>
    <n v="23"/>
    <s v="Small Market"/>
    <x v="3"/>
    <n v="26"/>
    <x v="0"/>
    <x v="0"/>
    <x v="1"/>
    <n v="-40"/>
    <n v="116"/>
    <s v="Utah"/>
    <n v="60"/>
    <n v="20"/>
    <n v="0"/>
    <n v="80"/>
    <n v="50"/>
    <s v="Decaf"/>
    <n v="-0.34482758620689657"/>
    <n v="-40"/>
    <n v="36"/>
  </r>
  <r>
    <s v="775"/>
    <n v="257"/>
    <n v="202"/>
    <x v="1001"/>
    <n v="1662"/>
    <n v="341"/>
    <s v="Small Market"/>
    <x v="3"/>
    <n v="84"/>
    <x v="0"/>
    <x v="1"/>
    <x v="2"/>
    <n v="332"/>
    <n v="637"/>
    <s v="Nevada"/>
    <n v="110"/>
    <n v="180"/>
    <n v="130"/>
    <n v="290"/>
    <n v="117"/>
    <s v="Regular"/>
    <n v="0.52119309262166402"/>
    <n v="202"/>
    <n v="347"/>
  </r>
  <r>
    <s v="971"/>
    <n v="21"/>
    <n v="4"/>
    <x v="1002"/>
    <n v="480"/>
    <n v="32"/>
    <s v="Small Market"/>
    <x v="3"/>
    <n v="5"/>
    <x v="0"/>
    <x v="1"/>
    <x v="2"/>
    <n v="24"/>
    <n v="56"/>
    <s v="Oregon"/>
    <n v="0"/>
    <n v="20"/>
    <n v="20"/>
    <n v="20"/>
    <n v="16"/>
    <s v="Regular"/>
    <n v="0.42857142857142855"/>
    <n v="4"/>
    <n v="36"/>
  </r>
  <r>
    <s v="775"/>
    <n v="239"/>
    <n v="141"/>
    <x v="1003"/>
    <n v="1755"/>
    <n v="239"/>
    <s v="Small Market"/>
    <x v="3"/>
    <n v="66"/>
    <x v="0"/>
    <x v="1"/>
    <x v="11"/>
    <n v="221"/>
    <n v="509"/>
    <s v="Nevada"/>
    <n v="110"/>
    <n v="120"/>
    <n v="80"/>
    <n v="230"/>
    <n v="90"/>
    <s v="Regular"/>
    <n v="0.43418467583497056"/>
    <n v="141"/>
    <n v="279"/>
  </r>
  <r>
    <s v="702"/>
    <n v="255"/>
    <n v="-369"/>
    <x v="1004"/>
    <n v="7058"/>
    <n v="-255"/>
    <s v="Small Market"/>
    <x v="3"/>
    <n v="96"/>
    <x v="0"/>
    <x v="1"/>
    <x v="3"/>
    <n v="-539"/>
    <n v="22"/>
    <s v="Nevada"/>
    <n v="110"/>
    <n v="-110"/>
    <n v="-170"/>
    <n v="0"/>
    <n v="129"/>
    <s v="Regular"/>
    <n v="-24.5"/>
    <n v="-369"/>
    <n v="22"/>
  </r>
  <r>
    <s v="435"/>
    <n v="25"/>
    <n v="-28"/>
    <x v="1005"/>
    <n v="209"/>
    <n v="31"/>
    <s v="Small Market"/>
    <x v="3"/>
    <n v="9"/>
    <x v="0"/>
    <x v="1"/>
    <x v="3"/>
    <n v="-18"/>
    <n v="60"/>
    <s v="Utah"/>
    <n v="0"/>
    <n v="20"/>
    <n v="10"/>
    <n v="20"/>
    <n v="43"/>
    <s v="Regular"/>
    <n v="-0.3"/>
    <n v="-28"/>
    <n v="40"/>
  </r>
  <r>
    <s v="626"/>
    <n v="173"/>
    <n v="-58"/>
    <x v="1006"/>
    <n v="3909"/>
    <n v="-27"/>
    <s v="Major Market"/>
    <x v="3"/>
    <n v="57"/>
    <x v="1"/>
    <x v="3"/>
    <x v="5"/>
    <n v="-188"/>
    <n v="156"/>
    <s v="California"/>
    <n v="200"/>
    <n v="-30"/>
    <n v="-130"/>
    <n v="170"/>
    <n v="100"/>
    <s v="Decaf"/>
    <n v="-1.2051282051282051"/>
    <n v="-58"/>
    <n v="-14"/>
  </r>
  <r>
    <s v="213"/>
    <n v="228"/>
    <n v="102"/>
    <x v="1007"/>
    <n v="1691"/>
    <n v="304"/>
    <s v="Major Market"/>
    <x v="3"/>
    <n v="75"/>
    <x v="1"/>
    <x v="2"/>
    <x v="4"/>
    <n v="292"/>
    <n v="567"/>
    <s v="California"/>
    <n v="220"/>
    <n v="290"/>
    <n v="190"/>
    <n v="510"/>
    <n v="107"/>
    <s v="Decaf"/>
    <n v="0.5149911816578483"/>
    <n v="102"/>
    <n v="57"/>
  </r>
  <r>
    <s v="916"/>
    <n v="113"/>
    <n v="-33"/>
    <x v="1008"/>
    <n v="2758"/>
    <n v="3"/>
    <s v="Major Market"/>
    <x v="3"/>
    <n v="36"/>
    <x v="1"/>
    <x v="3"/>
    <x v="6"/>
    <n v="-83"/>
    <n v="124"/>
    <s v="California"/>
    <n v="130"/>
    <n v="0"/>
    <n v="-50"/>
    <n v="130"/>
    <n v="59"/>
    <s v="Regular"/>
    <n v="-0.66935483870967738"/>
    <n v="-33"/>
    <n v="-6"/>
  </r>
  <r>
    <s v="213"/>
    <n v="249"/>
    <n v="39"/>
    <x v="1009"/>
    <n v="2580"/>
    <n v="374"/>
    <s v="Major Market"/>
    <x v="3"/>
    <n v="87"/>
    <x v="1"/>
    <x v="3"/>
    <x v="7"/>
    <n v="349"/>
    <n v="664"/>
    <s v="California"/>
    <n v="290"/>
    <n v="450"/>
    <n v="310"/>
    <n v="740"/>
    <n v="139"/>
    <s v="Regular"/>
    <n v="0.5256024096385542"/>
    <n v="39"/>
    <n v="-76"/>
  </r>
  <r>
    <s v="951"/>
    <n v="211"/>
    <n v="51"/>
    <x v="1010"/>
    <n v="1778"/>
    <n v="212"/>
    <s v="Major Market"/>
    <x v="3"/>
    <n v="59"/>
    <x v="1"/>
    <x v="2"/>
    <x v="9"/>
    <n v="191"/>
    <n v="451"/>
    <s v="California"/>
    <n v="200"/>
    <n v="210"/>
    <n v="140"/>
    <n v="410"/>
    <n v="83"/>
    <s v="Regular"/>
    <n v="0.42350332594235035"/>
    <n v="51"/>
    <n v="41"/>
  </r>
  <r>
    <s v="916"/>
    <n v="121"/>
    <n v="-1"/>
    <x v="1011"/>
    <n v="912"/>
    <n v="168"/>
    <s v="Major Market"/>
    <x v="3"/>
    <n v="109"/>
    <x v="1"/>
    <x v="2"/>
    <x v="8"/>
    <n v="39"/>
    <n v="308"/>
    <s v="California"/>
    <n v="110"/>
    <n v="170"/>
    <n v="40"/>
    <n v="280"/>
    <n v="142"/>
    <s v="Regular"/>
    <n v="0.12662337662337661"/>
    <n v="-1"/>
    <n v="28"/>
  </r>
  <r>
    <s v="760"/>
    <n v="81"/>
    <n v="45"/>
    <x v="1012"/>
    <n v="984"/>
    <n v="117"/>
    <s v="Major Market"/>
    <x v="3"/>
    <n v="22"/>
    <x v="0"/>
    <x v="0"/>
    <x v="10"/>
    <n v="125"/>
    <n v="211"/>
    <s v="California"/>
    <n v="70"/>
    <n v="110"/>
    <n v="80"/>
    <n v="180"/>
    <n v="33"/>
    <s v="Decaf"/>
    <n v="0.59241706161137442"/>
    <n v="45"/>
    <n v="31"/>
  </r>
  <r>
    <s v="510"/>
    <n v="225"/>
    <n v="98"/>
    <x v="1013"/>
    <n v="1272"/>
    <n v="265"/>
    <s v="Major Market"/>
    <x v="3"/>
    <n v="69"/>
    <x v="0"/>
    <x v="0"/>
    <x v="0"/>
    <n v="258"/>
    <n v="522"/>
    <s v="California"/>
    <n v="210"/>
    <n v="240"/>
    <n v="160"/>
    <n v="450"/>
    <n v="91"/>
    <s v="Decaf"/>
    <n v="0.4942528735632184"/>
    <n v="98"/>
    <n v="72"/>
  </r>
  <r>
    <s v="805"/>
    <n v="118"/>
    <n v="80"/>
    <x v="1014"/>
    <n v="930"/>
    <n v="172"/>
    <s v="Major Market"/>
    <x v="3"/>
    <n v="33"/>
    <x v="0"/>
    <x v="1"/>
    <x v="2"/>
    <n v="190"/>
    <n v="309"/>
    <s v="California"/>
    <n v="80"/>
    <n v="130"/>
    <n v="110"/>
    <n v="210"/>
    <n v="44"/>
    <s v="Regular"/>
    <n v="0.61488673139158578"/>
    <n v="80"/>
    <n v="99"/>
  </r>
  <r>
    <s v="435"/>
    <n v="82"/>
    <n v="-4"/>
    <x v="1015"/>
    <n v="601"/>
    <n v="102"/>
    <s v="Small Market"/>
    <x v="3"/>
    <n v="31"/>
    <x v="1"/>
    <x v="3"/>
    <x v="5"/>
    <n v="56"/>
    <n v="196"/>
    <s v="Utah"/>
    <n v="90"/>
    <n v="120"/>
    <n v="60"/>
    <n v="210"/>
    <n v="64"/>
    <s v="Decaf"/>
    <n v="0.2857142857142857"/>
    <n v="-4"/>
    <n v="-14"/>
  </r>
  <r>
    <s v="509"/>
    <n v="94"/>
    <n v="-16"/>
    <x v="1016"/>
    <n v="694"/>
    <n v="130"/>
    <s v="Small Market"/>
    <x v="3"/>
    <n v="85"/>
    <x v="1"/>
    <x v="3"/>
    <x v="5"/>
    <n v="24"/>
    <n v="239"/>
    <s v="Washington"/>
    <n v="110"/>
    <n v="150"/>
    <n v="40"/>
    <n v="260"/>
    <n v="114"/>
    <s v="Decaf"/>
    <n v="0.100418410041841"/>
    <n v="-16"/>
    <n v="-21"/>
  </r>
  <r>
    <s v="971"/>
    <n v="181"/>
    <n v="40"/>
    <x v="1017"/>
    <n v="1283"/>
    <n v="182"/>
    <s v="Small Market"/>
    <x v="3"/>
    <n v="50"/>
    <x v="1"/>
    <x v="2"/>
    <x v="4"/>
    <n v="160"/>
    <n v="387"/>
    <s v="Oregon"/>
    <n v="170"/>
    <n v="180"/>
    <n v="120"/>
    <n v="350"/>
    <n v="74"/>
    <s v="Decaf"/>
    <n v="0.41343669250645992"/>
    <n v="40"/>
    <n v="37"/>
  </r>
  <r>
    <s v="435"/>
    <n v="69"/>
    <n v="8"/>
    <x v="1018"/>
    <n v="1060"/>
    <n v="81"/>
    <s v="Small Market"/>
    <x v="3"/>
    <n v="21"/>
    <x v="1"/>
    <x v="3"/>
    <x v="6"/>
    <n v="58"/>
    <n v="160"/>
    <s v="Utah"/>
    <n v="80"/>
    <n v="90"/>
    <n v="50"/>
    <n v="170"/>
    <n v="42"/>
    <s v="Regular"/>
    <n v="0.36249999999999999"/>
    <n v="8"/>
    <n v="-10"/>
  </r>
  <r>
    <s v="541"/>
    <n v="53"/>
    <n v="-19"/>
    <x v="1019"/>
    <n v="470"/>
    <n v="75"/>
    <s v="Small Market"/>
    <x v="3"/>
    <n v="17"/>
    <x v="1"/>
    <x v="3"/>
    <x v="7"/>
    <n v="21"/>
    <n v="136"/>
    <s v="Oregon"/>
    <n v="60"/>
    <n v="90"/>
    <n v="40"/>
    <n v="150"/>
    <n v="61"/>
    <s v="Regular"/>
    <n v="0.15441176470588236"/>
    <n v="-19"/>
    <n v="-14"/>
  </r>
  <r>
    <s v="253"/>
    <n v="63"/>
    <n v="4"/>
    <x v="1020"/>
    <n v="446"/>
    <n v="93"/>
    <s v="Small Market"/>
    <x v="3"/>
    <n v="20"/>
    <x v="1"/>
    <x v="3"/>
    <x v="7"/>
    <n v="74"/>
    <n v="166"/>
    <s v="Washington"/>
    <n v="70"/>
    <n v="110"/>
    <n v="70"/>
    <n v="180"/>
    <n v="43"/>
    <s v="Regular"/>
    <n v="0.44578313253012047"/>
    <n v="4"/>
    <n v="-14"/>
  </r>
  <r>
    <s v="775"/>
    <n v="15"/>
    <n v="3"/>
    <x v="1021"/>
    <n v="848"/>
    <n v="24"/>
    <s v="Small Market"/>
    <x v="3"/>
    <n v="4"/>
    <x v="1"/>
    <x v="2"/>
    <x v="8"/>
    <n v="13"/>
    <n v="42"/>
    <s v="Nevada"/>
    <n v="10"/>
    <n v="20"/>
    <n v="10"/>
    <n v="30"/>
    <n v="15"/>
    <s v="Regular"/>
    <n v="0.30952380952380953"/>
    <n v="3"/>
    <n v="12"/>
  </r>
  <r>
    <s v="801"/>
    <n v="101"/>
    <n v="36"/>
    <x v="1022"/>
    <n v="552"/>
    <n v="130"/>
    <s v="Small Market"/>
    <x v="3"/>
    <n v="33"/>
    <x v="1"/>
    <x v="2"/>
    <x v="8"/>
    <n v="126"/>
    <n v="246"/>
    <s v="Utah"/>
    <n v="90"/>
    <n v="130"/>
    <n v="90"/>
    <n v="220"/>
    <n v="45"/>
    <s v="Regular"/>
    <n v="0.51219512195121952"/>
    <n v="36"/>
    <n v="26"/>
  </r>
  <r>
    <s v="702"/>
    <n v="121"/>
    <n v="19"/>
    <x v="1023"/>
    <n v="912"/>
    <n v="168"/>
    <s v="Small Market"/>
    <x v="3"/>
    <n v="109"/>
    <x v="0"/>
    <x v="0"/>
    <x v="10"/>
    <n v="39"/>
    <n v="308"/>
    <s v="Nevada"/>
    <n v="110"/>
    <n v="150"/>
    <n v="20"/>
    <n v="260"/>
    <n v="142"/>
    <s v="Decaf"/>
    <n v="0.12662337662337661"/>
    <n v="19"/>
    <n v="48"/>
  </r>
  <r>
    <s v="206"/>
    <n v="130"/>
    <n v="61"/>
    <x v="1024"/>
    <n v="1134"/>
    <n v="195"/>
    <s v="Small Market"/>
    <x v="3"/>
    <n v="42"/>
    <x v="0"/>
    <x v="0"/>
    <x v="10"/>
    <n v="181"/>
    <n v="346"/>
    <s v="Washington"/>
    <n v="120"/>
    <n v="180"/>
    <n v="120"/>
    <n v="300"/>
    <n v="73"/>
    <s v="Decaf"/>
    <n v="0.52312138728323698"/>
    <n v="61"/>
    <n v="46"/>
  </r>
  <r>
    <s v="702"/>
    <n v="173"/>
    <n v="75"/>
    <x v="1025"/>
    <n v="1150"/>
    <n v="239"/>
    <s v="Small Market"/>
    <x v="3"/>
    <n v="57"/>
    <x v="0"/>
    <x v="0"/>
    <x v="0"/>
    <n v="205"/>
    <n v="439"/>
    <s v="Nevada"/>
    <n v="160"/>
    <n v="220"/>
    <n v="130"/>
    <n v="380"/>
    <n v="101"/>
    <s v="Decaf"/>
    <n v="0.46697038724373574"/>
    <n v="75"/>
    <n v="59"/>
  </r>
  <r>
    <s v="541"/>
    <n v="88"/>
    <n v="34"/>
    <x v="1026"/>
    <n v="561"/>
    <n v="112"/>
    <s v="Small Market"/>
    <x v="3"/>
    <n v="29"/>
    <x v="0"/>
    <x v="0"/>
    <x v="0"/>
    <n v="104"/>
    <n v="213"/>
    <s v="Oregon"/>
    <n v="80"/>
    <n v="100"/>
    <n v="70"/>
    <n v="180"/>
    <n v="42"/>
    <s v="Decaf"/>
    <n v="0.48826291079812206"/>
    <n v="34"/>
    <n v="33"/>
  </r>
  <r>
    <s v="775"/>
    <n v="113"/>
    <n v="59"/>
    <x v="1027"/>
    <n v="803"/>
    <n v="165"/>
    <s v="Small Market"/>
    <x v="3"/>
    <n v="36"/>
    <x v="0"/>
    <x v="0"/>
    <x v="1"/>
    <n v="159"/>
    <n v="296"/>
    <s v="Nevada"/>
    <n v="100"/>
    <n v="150"/>
    <n v="100"/>
    <n v="250"/>
    <n v="58"/>
    <s v="Decaf"/>
    <n v="0.53716216216216217"/>
    <n v="59"/>
    <n v="46"/>
  </r>
  <r>
    <s v="775"/>
    <n v="228"/>
    <n v="151"/>
    <x v="1028"/>
    <n v="1691"/>
    <n v="304"/>
    <s v="Small Market"/>
    <x v="3"/>
    <n v="75"/>
    <x v="0"/>
    <x v="1"/>
    <x v="2"/>
    <n v="291"/>
    <n v="567"/>
    <s v="Nevada"/>
    <n v="160"/>
    <n v="220"/>
    <n v="140"/>
    <n v="380"/>
    <n v="108"/>
    <s v="Regular"/>
    <n v="0.51322751322751325"/>
    <n v="151"/>
    <n v="187"/>
  </r>
  <r>
    <s v="702"/>
    <n v="211"/>
    <n v="110"/>
    <x v="1029"/>
    <n v="1778"/>
    <n v="212"/>
    <s v="Small Market"/>
    <x v="3"/>
    <n v="59"/>
    <x v="0"/>
    <x v="1"/>
    <x v="11"/>
    <n v="190"/>
    <n v="451"/>
    <s v="Nevada"/>
    <n v="150"/>
    <n v="150"/>
    <n v="80"/>
    <n v="300"/>
    <n v="84"/>
    <s v="Regular"/>
    <n v="0.42128603104212858"/>
    <n v="110"/>
    <n v="151"/>
  </r>
  <r>
    <s v="503"/>
    <n v="78"/>
    <n v="42"/>
    <x v="1030"/>
    <n v="798"/>
    <n v="119"/>
    <s v="Small Market"/>
    <x v="3"/>
    <n v="25"/>
    <x v="0"/>
    <x v="1"/>
    <x v="11"/>
    <n v="92"/>
    <n v="210"/>
    <s v="Oregon"/>
    <n v="50"/>
    <n v="90"/>
    <n v="50"/>
    <n v="140"/>
    <n v="57"/>
    <s v="Regular"/>
    <n v="0.43809523809523809"/>
    <n v="42"/>
    <n v="70"/>
  </r>
  <r>
    <s v="775"/>
    <n v="245"/>
    <n v="-225"/>
    <x v="1031"/>
    <n v="7653"/>
    <n v="-245"/>
    <s v="Small Market"/>
    <x v="3"/>
    <n v="93"/>
    <x v="0"/>
    <x v="1"/>
    <x v="3"/>
    <n v="-505"/>
    <n v="34"/>
    <s v="Nevada"/>
    <n v="180"/>
    <n v="-180"/>
    <n v="-280"/>
    <n v="0"/>
    <n v="127"/>
    <s v="Regular"/>
    <n v="-14.852941176470589"/>
    <n v="-225"/>
    <n v="34"/>
  </r>
  <r>
    <s v="971"/>
    <n v="102"/>
    <n v="62"/>
    <x v="1032"/>
    <n v="666"/>
    <n v="143"/>
    <s v="Small Market"/>
    <x v="3"/>
    <n v="31"/>
    <x v="0"/>
    <x v="1"/>
    <x v="3"/>
    <n v="132"/>
    <n v="261"/>
    <s v="Oregon"/>
    <n v="70"/>
    <n v="100"/>
    <n v="70"/>
    <n v="170"/>
    <n v="54"/>
    <s v="Regular"/>
    <n v="0.50574712643678166"/>
    <n v="62"/>
    <n v="91"/>
  </r>
  <r>
    <s v="951"/>
    <n v="224"/>
    <n v="-71"/>
    <x v="1033"/>
    <n v="4216"/>
    <n v="-32"/>
    <s v="Major Market"/>
    <x v="3"/>
    <n v="73"/>
    <x v="1"/>
    <x v="3"/>
    <x v="5"/>
    <n v="-221"/>
    <n v="205"/>
    <s v="California"/>
    <n v="260"/>
    <n v="-40"/>
    <n v="-150"/>
    <n v="220"/>
    <n v="117"/>
    <s v="Decaf"/>
    <n v="-1.0780487804878049"/>
    <n v="-71"/>
    <n v="-15"/>
  </r>
  <r>
    <s v="209"/>
    <n v="247"/>
    <n v="111"/>
    <x v="1034"/>
    <n v="1744"/>
    <n v="329"/>
    <s v="Major Market"/>
    <x v="3"/>
    <n v="81"/>
    <x v="1"/>
    <x v="2"/>
    <x v="4"/>
    <n v="321"/>
    <n v="614"/>
    <s v="California"/>
    <n v="240"/>
    <n v="310"/>
    <n v="210"/>
    <n v="550"/>
    <n v="113"/>
    <s v="Decaf"/>
    <n v="0.5228013029315961"/>
    <n v="111"/>
    <n v="64"/>
  </r>
  <r>
    <s v="209"/>
    <n v="127"/>
    <n v="-41"/>
    <x v="1035"/>
    <n v="2947"/>
    <n v="-25"/>
    <s v="Major Market"/>
    <x v="3"/>
    <n v="40"/>
    <x v="1"/>
    <x v="3"/>
    <x v="6"/>
    <n v="-131"/>
    <n v="109"/>
    <s v="California"/>
    <n v="150"/>
    <n v="-30"/>
    <n v="-90"/>
    <n v="120"/>
    <n v="63"/>
    <s v="Regular"/>
    <n v="-1.201834862385321"/>
    <n v="-41"/>
    <n v="-11"/>
  </r>
  <r>
    <s v="530"/>
    <n v="279"/>
    <n v="52"/>
    <x v="1036"/>
    <n v="2642"/>
    <n v="420"/>
    <s v="Major Market"/>
    <x v="3"/>
    <n v="97"/>
    <x v="1"/>
    <x v="3"/>
    <x v="7"/>
    <n v="402"/>
    <n v="745"/>
    <s v="California"/>
    <n v="330"/>
    <n v="500"/>
    <n v="350"/>
    <n v="830"/>
    <n v="149"/>
    <s v="Regular"/>
    <n v="0.53959731543624156"/>
    <n v="52"/>
    <n v="-85"/>
  </r>
  <r>
    <s v="949"/>
    <n v="250"/>
    <n v="73"/>
    <x v="1037"/>
    <n v="1820"/>
    <n v="251"/>
    <s v="Major Market"/>
    <x v="3"/>
    <n v="70"/>
    <x v="1"/>
    <x v="2"/>
    <x v="9"/>
    <n v="233"/>
    <n v="534"/>
    <s v="California"/>
    <n v="240"/>
    <n v="240"/>
    <n v="160"/>
    <n v="480"/>
    <n v="94"/>
    <s v="Regular"/>
    <n v="0.43632958801498128"/>
    <n v="73"/>
    <n v="54"/>
  </r>
  <r>
    <s v="530"/>
    <n v="135"/>
    <n v="6"/>
    <x v="1038"/>
    <n v="940"/>
    <n v="187"/>
    <s v="Major Market"/>
    <x v="3"/>
    <n v="122"/>
    <x v="1"/>
    <x v="2"/>
    <x v="8"/>
    <n v="46"/>
    <n v="343"/>
    <s v="California"/>
    <n v="130"/>
    <n v="180"/>
    <n v="40"/>
    <n v="310"/>
    <n v="156"/>
    <s v="Regular"/>
    <n v="0.13411078717201166"/>
    <n v="6"/>
    <n v="33"/>
  </r>
  <r>
    <s v="916"/>
    <n v="86"/>
    <n v="52"/>
    <x v="1039"/>
    <n v="1003"/>
    <n v="124"/>
    <s v="Major Market"/>
    <x v="3"/>
    <n v="24"/>
    <x v="0"/>
    <x v="0"/>
    <x v="10"/>
    <n v="132"/>
    <n v="224"/>
    <s v="California"/>
    <n v="80"/>
    <n v="110"/>
    <n v="80"/>
    <n v="190"/>
    <n v="35"/>
    <s v="Decaf"/>
    <n v="0.5892857142857143"/>
    <n v="52"/>
    <n v="34"/>
  </r>
  <r>
    <s v="661"/>
    <n v="241"/>
    <n v="109"/>
    <x v="1040"/>
    <n v="1321"/>
    <n v="284"/>
    <s v="Major Market"/>
    <x v="3"/>
    <n v="74"/>
    <x v="0"/>
    <x v="0"/>
    <x v="0"/>
    <n v="279"/>
    <n v="559"/>
    <s v="California"/>
    <n v="220"/>
    <n v="260"/>
    <n v="170"/>
    <n v="480"/>
    <n v="96"/>
    <s v="Decaf"/>
    <n v="0.49910554561717352"/>
    <n v="109"/>
    <n v="79"/>
  </r>
  <r>
    <s v="323"/>
    <n v="123"/>
    <n v="89"/>
    <x v="1041"/>
    <n v="959"/>
    <n v="179"/>
    <s v="Major Market"/>
    <x v="3"/>
    <n v="34"/>
    <x v="0"/>
    <x v="1"/>
    <x v="2"/>
    <n v="199"/>
    <n v="322"/>
    <s v="California"/>
    <n v="90"/>
    <n v="130"/>
    <n v="110"/>
    <n v="220"/>
    <n v="45"/>
    <s v="Regular"/>
    <n v="0.61801242236024845"/>
    <n v="89"/>
    <n v="102"/>
  </r>
  <r>
    <s v="801"/>
    <n v="68"/>
    <n v="-11"/>
    <x v="1042"/>
    <n v="619"/>
    <n v="85"/>
    <s v="Small Market"/>
    <x v="3"/>
    <n v="25"/>
    <x v="1"/>
    <x v="3"/>
    <x v="5"/>
    <n v="39"/>
    <n v="163"/>
    <s v="Utah"/>
    <n v="80"/>
    <n v="100"/>
    <n v="50"/>
    <n v="180"/>
    <n v="59"/>
    <s v="Decaf"/>
    <n v="0.2392638036809816"/>
    <n v="-11"/>
    <n v="-17"/>
  </r>
  <r>
    <s v="206"/>
    <n v="105"/>
    <n v="-20"/>
    <x v="1043"/>
    <n v="716"/>
    <n v="145"/>
    <s v="Small Market"/>
    <x v="3"/>
    <n v="95"/>
    <x v="1"/>
    <x v="3"/>
    <x v="5"/>
    <n v="30"/>
    <n v="266"/>
    <s v="Washington"/>
    <n v="120"/>
    <n v="170"/>
    <n v="50"/>
    <n v="290"/>
    <n v="125"/>
    <s v="Decaf"/>
    <n v="0.11278195488721804"/>
    <n v="-20"/>
    <n v="-24"/>
  </r>
  <r>
    <s v="971"/>
    <n v="153"/>
    <n v="49"/>
    <x v="1044"/>
    <n v="1319"/>
    <n v="153"/>
    <s v="Small Market"/>
    <x v="3"/>
    <n v="42"/>
    <x v="1"/>
    <x v="2"/>
    <x v="4"/>
    <n v="129"/>
    <n v="326"/>
    <s v="Oregon"/>
    <n v="150"/>
    <n v="140"/>
    <n v="80"/>
    <n v="290"/>
    <n v="66"/>
    <s v="Decaf"/>
    <n v="0.39570552147239263"/>
    <n v="49"/>
    <n v="36"/>
  </r>
  <r>
    <s v="360"/>
    <n v="80"/>
    <n v="16"/>
    <x v="1045"/>
    <n v="1079"/>
    <n v="96"/>
    <s v="Small Market"/>
    <x v="3"/>
    <n v="24"/>
    <x v="1"/>
    <x v="2"/>
    <x v="4"/>
    <n v="76"/>
    <n v="188"/>
    <s v="Washington"/>
    <n v="70"/>
    <n v="100"/>
    <n v="60"/>
    <n v="170"/>
    <n v="45"/>
    <s v="Decaf"/>
    <n v="0.40425531914893614"/>
    <n v="16"/>
    <n v="18"/>
  </r>
  <r>
    <s v="435"/>
    <n v="63"/>
    <n v="3"/>
    <x v="1046"/>
    <n v="1075"/>
    <n v="76"/>
    <s v="Small Market"/>
    <x v="3"/>
    <n v="19"/>
    <x v="1"/>
    <x v="3"/>
    <x v="6"/>
    <n v="53"/>
    <n v="148"/>
    <s v="Utah"/>
    <n v="70"/>
    <n v="90"/>
    <n v="50"/>
    <n v="160"/>
    <n v="40"/>
    <s v="Regular"/>
    <n v="0.35810810810810811"/>
    <n v="3"/>
    <n v="-12"/>
  </r>
  <r>
    <s v="360"/>
    <n v="72"/>
    <n v="6"/>
    <x v="1047"/>
    <n v="461"/>
    <n v="104"/>
    <s v="Small Market"/>
    <x v="3"/>
    <n v="23"/>
    <x v="1"/>
    <x v="3"/>
    <x v="7"/>
    <n v="86"/>
    <n v="188"/>
    <s v="Washington"/>
    <n v="80"/>
    <n v="120"/>
    <n v="80"/>
    <n v="200"/>
    <n v="46"/>
    <s v="Regular"/>
    <n v="0.45744680851063829"/>
    <n v="6"/>
    <n v="-12"/>
  </r>
  <r>
    <s v="775"/>
    <n v="16"/>
    <n v="5"/>
    <x v="1048"/>
    <n v="851"/>
    <n v="25"/>
    <s v="Small Market"/>
    <x v="3"/>
    <n v="4"/>
    <x v="1"/>
    <x v="2"/>
    <x v="8"/>
    <n v="15"/>
    <n v="44"/>
    <s v="Nevada"/>
    <n v="10"/>
    <n v="20"/>
    <n v="10"/>
    <n v="30"/>
    <n v="15"/>
    <s v="Regular"/>
    <n v="0.34090909090909088"/>
    <n v="5"/>
    <n v="14"/>
  </r>
  <r>
    <s v="435"/>
    <n v="94"/>
    <n v="44"/>
    <x v="1049"/>
    <n v="540"/>
    <n v="120"/>
    <s v="Small Market"/>
    <x v="3"/>
    <n v="31"/>
    <x v="1"/>
    <x v="2"/>
    <x v="8"/>
    <n v="114"/>
    <n v="228"/>
    <s v="Utah"/>
    <n v="90"/>
    <n v="110"/>
    <n v="70"/>
    <n v="200"/>
    <n v="43"/>
    <s v="Regular"/>
    <n v="0.5"/>
    <n v="44"/>
    <n v="28"/>
  </r>
  <r>
    <s v="702"/>
    <n v="135"/>
    <n v="17"/>
    <x v="1050"/>
    <n v="940"/>
    <n v="187"/>
    <s v="Small Market"/>
    <x v="3"/>
    <n v="122"/>
    <x v="0"/>
    <x v="0"/>
    <x v="10"/>
    <n v="47"/>
    <n v="343"/>
    <s v="Nevada"/>
    <n v="120"/>
    <n v="170"/>
    <n v="30"/>
    <n v="290"/>
    <n v="155"/>
    <s v="Decaf"/>
    <n v="0.13702623906705538"/>
    <n v="17"/>
    <n v="53"/>
  </r>
  <r>
    <s v="253"/>
    <n v="115"/>
    <n v="46"/>
    <x v="1051"/>
    <n v="1166"/>
    <n v="174"/>
    <s v="Small Market"/>
    <x v="3"/>
    <n v="37"/>
    <x v="0"/>
    <x v="0"/>
    <x v="10"/>
    <n v="156"/>
    <n v="308"/>
    <s v="Washington"/>
    <n v="100"/>
    <n v="160"/>
    <n v="110"/>
    <n v="260"/>
    <n v="69"/>
    <s v="Decaf"/>
    <n v="0.50649350649350644"/>
    <n v="46"/>
    <n v="48"/>
  </r>
  <r>
    <s v="702"/>
    <n v="224"/>
    <n v="118"/>
    <x v="1052"/>
    <n v="1191"/>
    <n v="310"/>
    <s v="Small Market"/>
    <x v="3"/>
    <n v="73"/>
    <x v="0"/>
    <x v="0"/>
    <x v="0"/>
    <n v="288"/>
    <n v="569"/>
    <s v="Nevada"/>
    <n v="210"/>
    <n v="280"/>
    <n v="170"/>
    <n v="490"/>
    <n v="116"/>
    <s v="Decaf"/>
    <n v="0.5061511423550088"/>
    <n v="118"/>
    <n v="79"/>
  </r>
  <r>
    <s v="503"/>
    <n v="81"/>
    <n v="28"/>
    <x v="1053"/>
    <n v="551"/>
    <n v="104"/>
    <s v="Small Market"/>
    <x v="3"/>
    <n v="26"/>
    <x v="0"/>
    <x v="0"/>
    <x v="0"/>
    <n v="98"/>
    <n v="197"/>
    <s v="Oregon"/>
    <n v="70"/>
    <n v="100"/>
    <n v="70"/>
    <n v="170"/>
    <n v="38"/>
    <s v="Decaf"/>
    <n v="0.49746192893401014"/>
    <n v="28"/>
    <n v="27"/>
  </r>
  <r>
    <s v="775"/>
    <n v="127"/>
    <n v="61"/>
    <x v="1054"/>
    <n v="830"/>
    <n v="185"/>
    <s v="Small Market"/>
    <x v="3"/>
    <n v="40"/>
    <x v="0"/>
    <x v="0"/>
    <x v="1"/>
    <n v="181"/>
    <n v="332"/>
    <s v="Nevada"/>
    <n v="120"/>
    <n v="170"/>
    <n v="120"/>
    <n v="290"/>
    <n v="63"/>
    <s v="Decaf"/>
    <n v="0.54518072289156627"/>
    <n v="61"/>
    <n v="42"/>
  </r>
  <r>
    <s v="775"/>
    <n v="247"/>
    <n v="169"/>
    <x v="1055"/>
    <n v="1744"/>
    <n v="329"/>
    <s v="Small Market"/>
    <x v="3"/>
    <n v="81"/>
    <x v="0"/>
    <x v="1"/>
    <x v="2"/>
    <n v="319"/>
    <n v="614"/>
    <s v="Nevada"/>
    <n v="180"/>
    <n v="240"/>
    <n v="150"/>
    <n v="420"/>
    <n v="114"/>
    <s v="Regular"/>
    <n v="0.51954397394136809"/>
    <n v="169"/>
    <n v="194"/>
  </r>
  <r>
    <s v="775"/>
    <n v="250"/>
    <n v="133"/>
    <x v="1056"/>
    <n v="1820"/>
    <n v="251"/>
    <s v="Small Market"/>
    <x v="3"/>
    <n v="70"/>
    <x v="0"/>
    <x v="1"/>
    <x v="11"/>
    <n v="233"/>
    <n v="534"/>
    <s v="Nevada"/>
    <n v="180"/>
    <n v="180"/>
    <n v="100"/>
    <n v="360"/>
    <n v="94"/>
    <s v="Regular"/>
    <n v="0.43632958801498128"/>
    <n v="133"/>
    <n v="174"/>
  </r>
  <r>
    <s v="971"/>
    <n v="88"/>
    <n v="48"/>
    <x v="1057"/>
    <n v="817"/>
    <n v="133"/>
    <s v="Small Market"/>
    <x v="3"/>
    <n v="29"/>
    <x v="0"/>
    <x v="1"/>
    <x v="11"/>
    <n v="108"/>
    <n v="236"/>
    <s v="Oregon"/>
    <n v="60"/>
    <n v="100"/>
    <n v="60"/>
    <n v="160"/>
    <n v="60"/>
    <s v="Regular"/>
    <n v="0.4576271186440678"/>
    <n v="48"/>
    <n v="76"/>
  </r>
  <r>
    <s v="775"/>
    <n v="294"/>
    <n v="-285"/>
    <x v="1058"/>
    <n v="8252"/>
    <n v="-294"/>
    <s v="Small Market"/>
    <x v="3"/>
    <n v="111"/>
    <x v="0"/>
    <x v="1"/>
    <x v="3"/>
    <n v="-605"/>
    <n v="33"/>
    <s v="Nevada"/>
    <n v="210"/>
    <n v="-210"/>
    <n v="-320"/>
    <n v="0"/>
    <n v="145"/>
    <s v="Regular"/>
    <n v="-18.333333333333332"/>
    <n v="-285"/>
    <n v="33"/>
  </r>
  <r>
    <s v="503"/>
    <n v="134"/>
    <n v="80"/>
    <x v="1059"/>
    <n v="690"/>
    <n v="186"/>
    <s v="Small Market"/>
    <x v="3"/>
    <n v="41"/>
    <x v="0"/>
    <x v="1"/>
    <x v="3"/>
    <n v="180"/>
    <n v="341"/>
    <s v="Oregon"/>
    <n v="90"/>
    <n v="140"/>
    <n v="100"/>
    <n v="230"/>
    <n v="65"/>
    <s v="Regular"/>
    <n v="0.52785923753665687"/>
    <n v="80"/>
    <n v="111"/>
  </r>
  <r>
    <s v="435"/>
    <n v="20"/>
    <n v="-22"/>
    <x v="1060"/>
    <n v="218"/>
    <n v="25"/>
    <s v="Small Market"/>
    <x v="3"/>
    <n v="7"/>
    <x v="0"/>
    <x v="1"/>
    <x v="3"/>
    <n v="-22"/>
    <n v="48"/>
    <s v="Utah"/>
    <n v="10"/>
    <n v="20"/>
    <n v="0"/>
    <n v="30"/>
    <n v="40"/>
    <s v="Regular"/>
    <n v="-0.45833333333333331"/>
    <n v="-22"/>
    <n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83471E-840B-46B2-A512-5E39A116D1BB}"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6:A7" firstHeaderRow="1" firstDataRow="1" firstDataCol="0"/>
  <pivotFields count="27">
    <pivotField showAll="0"/>
    <pivotField showAll="0"/>
    <pivotField showAll="0"/>
    <pivotField numFmtId="14" showAll="0">
      <items count="10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t="default"/>
      </items>
    </pivotField>
    <pivotField showAll="0"/>
    <pivotField showAll="0"/>
    <pivotField showAll="0"/>
    <pivotField showAll="0">
      <items count="5">
        <item x="0"/>
        <item x="2"/>
        <item x="1"/>
        <item x="3"/>
        <item t="default"/>
      </items>
    </pivotField>
    <pivotField showAll="0"/>
    <pivotField showAll="0">
      <items count="3">
        <item x="1"/>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Profit" fld="12" baseField="0" baseItem="0" numFmtId="44"/>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EAD3AC-1791-468C-8D0F-CED73CC6232D}"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7">
    <pivotField showAll="0"/>
    <pivotField showAll="0"/>
    <pivotField showAll="0"/>
    <pivotField numFmtId="14" showAll="0">
      <items count="10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t="default"/>
      </items>
    </pivotField>
    <pivotField showAll="0"/>
    <pivotField showAll="0"/>
    <pivotField showAll="0"/>
    <pivotField showAll="0">
      <items count="5">
        <item x="0"/>
        <item x="2"/>
        <item x="1"/>
        <item x="3"/>
        <item t="default"/>
      </items>
    </pivotField>
    <pivotField showAll="0"/>
    <pivotField showAll="0">
      <items count="3">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13" baseField="0" baseItem="0" numFmtId="44"/>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F0DC75-6A87-4A8B-865E-F70825024253}"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9:A10" firstHeaderRow="1" firstDataRow="1" firstDataCol="0"/>
  <pivotFields count="27">
    <pivotField showAll="0"/>
    <pivotField showAll="0"/>
    <pivotField showAll="0"/>
    <pivotField numFmtId="14" showAll="0">
      <items count="10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t="default"/>
      </items>
    </pivotField>
    <pivotField showAll="0"/>
    <pivotField showAll="0"/>
    <pivotField showAll="0"/>
    <pivotField showAll="0">
      <items count="5">
        <item x="0"/>
        <item x="2"/>
        <item x="1"/>
        <item x="3"/>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Profit Margin" fld="2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D00198-6C76-44E1-9F20-BE81629FB17F}"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Product Type">
  <location ref="A20:B25" firstHeaderRow="1" firstDataRow="1" firstDataCol="1"/>
  <pivotFields count="27">
    <pivotField showAll="0"/>
    <pivotField showAll="0"/>
    <pivotField showAll="0"/>
    <pivotField numFmtId="14" showAll="0">
      <items count="10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t="default"/>
      </items>
    </pivotField>
    <pivotField showAll="0"/>
    <pivotField showAll="0"/>
    <pivotField showAll="0"/>
    <pivotField showAll="0">
      <items count="5">
        <item x="0"/>
        <item x="2"/>
        <item x="1"/>
        <item x="3"/>
        <item t="default"/>
      </items>
    </pivotField>
    <pivotField showAll="0"/>
    <pivotField showAll="0">
      <items count="3">
        <item x="1"/>
        <item x="0"/>
        <item t="default"/>
      </items>
    </pivotField>
    <pivotField axis="axisRow"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5">
    <i>
      <x v="1"/>
    </i>
    <i>
      <x/>
    </i>
    <i>
      <x v="2"/>
    </i>
    <i>
      <x v="3"/>
    </i>
    <i t="grand">
      <x/>
    </i>
  </rowItems>
  <colItems count="1">
    <i/>
  </colItems>
  <dataFields count="1">
    <dataField name="Sum of Sales" fld="13" baseField="0" baseItem="0" numFmtId="44"/>
  </dataFields>
  <formats count="1">
    <format dxfId="18">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1"/>
          </reference>
        </references>
      </pivotArea>
    </chartFormat>
    <chartFormat chart="0" format="2">
      <pivotArea type="data" outline="0" fieldPosition="0">
        <references count="2">
          <reference field="4294967294" count="1" selected="0">
            <x v="0"/>
          </reference>
          <reference field="10" count="1" selected="0">
            <x v="3"/>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0"/>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10" count="1" selected="0">
            <x v="1"/>
          </reference>
        </references>
      </pivotArea>
    </chartFormat>
    <chartFormat chart="6" format="12">
      <pivotArea type="data" outline="0" fieldPosition="0">
        <references count="2">
          <reference field="4294967294" count="1" selected="0">
            <x v="0"/>
          </reference>
          <reference field="10" count="1" selected="0">
            <x v="0"/>
          </reference>
        </references>
      </pivotArea>
    </chartFormat>
    <chartFormat chart="6" format="13">
      <pivotArea type="data" outline="0" fieldPosition="0">
        <references count="2">
          <reference field="4294967294" count="1" selected="0">
            <x v="0"/>
          </reference>
          <reference field="10" count="1" selected="0">
            <x v="2"/>
          </reference>
        </references>
      </pivotArea>
    </chartFormat>
    <chartFormat chart="6" format="14">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72D6CB-5ADF-4A5A-BC61-351FC5C6BF88}"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Product">
  <location ref="A3:B17" firstHeaderRow="1" firstDataRow="1" firstDataCol="1"/>
  <pivotFields count="27">
    <pivotField showAll="0"/>
    <pivotField showAll="0"/>
    <pivotField showAll="0"/>
    <pivotField numFmtId="14" showAll="0">
      <items count="10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t="default"/>
      </items>
    </pivotField>
    <pivotField showAll="0"/>
    <pivotField showAll="0"/>
    <pivotField showAll="0"/>
    <pivotField showAll="0">
      <items count="5">
        <item x="0"/>
        <item x="2"/>
        <item x="1"/>
        <item x="3"/>
        <item t="default"/>
      </items>
    </pivotField>
    <pivotField showAll="0"/>
    <pivotField showAll="0">
      <items count="3">
        <item x="1"/>
        <item x="0"/>
        <item t="default"/>
      </items>
    </pivotField>
    <pivotField showAll="0"/>
    <pivotField axis="axisRow" showAll="0" sortType="descending">
      <items count="14">
        <item x="6"/>
        <item x="9"/>
        <item x="8"/>
        <item x="10"/>
        <item x="7"/>
        <item x="2"/>
        <item x="4"/>
        <item x="5"/>
        <item x="11"/>
        <item x="3"/>
        <item x="0"/>
        <item x="1"/>
        <item x="1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1"/>
  </rowFields>
  <rowItems count="14">
    <i>
      <x v="4"/>
    </i>
    <i>
      <x v="10"/>
    </i>
    <i>
      <x v="2"/>
    </i>
    <i>
      <x v="3"/>
    </i>
    <i>
      <x v="6"/>
    </i>
    <i>
      <x v="5"/>
    </i>
    <i>
      <x v="8"/>
    </i>
    <i>
      <x v="7"/>
    </i>
    <i>
      <x v="1"/>
    </i>
    <i>
      <x v="9"/>
    </i>
    <i>
      <x v="11"/>
    </i>
    <i>
      <x/>
    </i>
    <i>
      <x v="12"/>
    </i>
    <i t="grand">
      <x/>
    </i>
  </rowItems>
  <colItems count="1">
    <i/>
  </colItems>
  <dataFields count="1">
    <dataField name="Sum of Sales" fld="13" baseField="0" baseItem="0" numFmtId="44"/>
  </dataFields>
  <formats count="1">
    <format dxfId="1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5E3602-93BE-45A5-AE6E-3D1AF879336A}"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4:C27" firstHeaderRow="0" firstDataRow="1" firstDataCol="1"/>
  <pivotFields count="27">
    <pivotField showAll="0"/>
    <pivotField showAll="0"/>
    <pivotField showAll="0"/>
    <pivotField axis="axisRow" numFmtId="14" showAll="0">
      <items count="10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t="default"/>
      </items>
    </pivotField>
    <pivotField showAll="0"/>
    <pivotField showAll="0"/>
    <pivotField showAll="0"/>
    <pivotField showAll="0">
      <items count="5">
        <item x="0"/>
        <item x="2"/>
        <item x="1"/>
        <item x="3"/>
        <item t="default"/>
      </items>
    </pivotField>
    <pivotField showAll="0"/>
    <pivotField showAll="0">
      <items count="3">
        <item x="1"/>
        <item x="0"/>
        <item t="default"/>
      </items>
    </pivotField>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4"/>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3" baseField="0" baseItem="0"/>
    <dataField name="Sum of Profit" fld="12" baseField="0" baseItem="0"/>
  </dataFields>
  <formats count="2">
    <format dxfId="16">
      <pivotArea outline="0" collapsedLevelsAreSubtotals="1" fieldPosition="0"/>
    </format>
    <format dxfId="15">
      <pivotArea outline="0" collapsedLevelsAreSubtotals="1" fieldPosition="0"/>
    </format>
  </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52325B-4B16-458C-B928-C799377F858F}"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Market">
  <location ref="A3:C8" firstHeaderRow="0" firstDataRow="1" firstDataCol="1"/>
  <pivotFields count="27">
    <pivotField showAll="0"/>
    <pivotField showAll="0"/>
    <pivotField showAll="0"/>
    <pivotField numFmtId="14" showAll="0">
      <items count="10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t="default"/>
      </items>
    </pivotField>
    <pivotField showAll="0"/>
    <pivotField showAll="0"/>
    <pivotField showAll="0"/>
    <pivotField axis="axisRow" showAll="0" sortType="descending">
      <items count="5">
        <item x="0"/>
        <item x="2"/>
        <item x="1"/>
        <item x="3"/>
        <item t="default"/>
      </items>
      <autoSortScope>
        <pivotArea dataOnly="0" outline="0" fieldPosition="0">
          <references count="1">
            <reference field="4294967294" count="1" selected="0">
              <x v="1"/>
            </reference>
          </references>
        </pivotArea>
      </autoSortScope>
    </pivotField>
    <pivotField showAll="0"/>
    <pivotField showAll="0">
      <items count="3">
        <item x="1"/>
        <item x="0"/>
        <item t="default"/>
      </items>
    </pivotField>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5">
    <i>
      <x v="3"/>
    </i>
    <i>
      <x/>
    </i>
    <i>
      <x v="1"/>
    </i>
    <i>
      <x v="2"/>
    </i>
    <i t="grand">
      <x/>
    </i>
  </rowItems>
  <colFields count="1">
    <field x="-2"/>
  </colFields>
  <colItems count="2">
    <i>
      <x/>
    </i>
    <i i="1">
      <x v="1"/>
    </i>
  </colItems>
  <dataFields count="2">
    <dataField name="Sum of Profit" fld="12" baseField="0" baseItem="0"/>
    <dataField name="Sum of Sales" fld="13" baseField="0" baseItem="0"/>
  </dataFields>
  <formats count="1">
    <format dxfId="17">
      <pivotArea outline="0" collapsedLevelsAreSubtotals="1" fieldPosition="0"/>
    </format>
  </format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EA5BCE8-335E-4F34-9E5F-10208974220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rket">
  <location ref="A3:C8" firstHeaderRow="0" firstDataRow="1" firstDataCol="1"/>
  <pivotFields count="27">
    <pivotField showAll="0"/>
    <pivotField showAll="0"/>
    <pivotField showAll="0"/>
    <pivotField numFmtId="14" showAll="0">
      <items count="10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t="default"/>
      </items>
    </pivotField>
    <pivotField showAll="0"/>
    <pivotField showAll="0"/>
    <pivotField showAll="0"/>
    <pivotField axis="axisRow" showAll="0" sortType="descending">
      <items count="5">
        <item x="0"/>
        <item x="2"/>
        <item x="1"/>
        <item x="3"/>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defaultSubtotal="0"/>
    <pivotField showAll="0" defaultSubtotal="0"/>
    <pivotField showAll="0" defaultSubtotal="0">
      <items count="6">
        <item x="0"/>
        <item x="1"/>
        <item x="2"/>
        <item x="3"/>
        <item x="4"/>
        <item x="5"/>
      </items>
    </pivotField>
  </pivotFields>
  <rowFields count="1">
    <field x="7"/>
  </rowFields>
  <rowItems count="5">
    <i>
      <x v="3"/>
    </i>
    <i>
      <x v="1"/>
    </i>
    <i>
      <x/>
    </i>
    <i>
      <x v="2"/>
    </i>
    <i t="grand">
      <x/>
    </i>
  </rowItems>
  <colFields count="1">
    <field x="-2"/>
  </colFields>
  <colItems count="2">
    <i>
      <x/>
    </i>
    <i i="1">
      <x v="1"/>
    </i>
  </colItems>
  <dataFields count="2">
    <dataField name="Sum of Actual vs Target Profit Variance" fld="22" baseField="0" baseItem="0"/>
    <dataField name="Sum of Actual vs Target Sales Variance"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133B6D4-77CB-499F-8A9F-DC5745D59B9F}" autoFormatId="16" applyNumberFormats="0" applyBorderFormats="0" applyFontFormats="0" applyPatternFormats="0" applyAlignmentFormats="0" applyWidthHeightFormats="0">
  <queryTableRefresh nextId="28" unboundColumnsRight="6">
    <queryTableFields count="27">
      <queryTableField id="1" name="Area Code" tableColumnId="1"/>
      <queryTableField id="2" name="Cogs" tableColumnId="2"/>
      <queryTableField id="3" name="DifferenceBetweenActualandTargetProfit" tableColumnId="3"/>
      <queryTableField id="4" name="Date" tableColumnId="4"/>
      <queryTableField id="5" name="Inventory Margin" tableColumnId="5"/>
      <queryTableField id="6" name="Margin" tableColumnId="6"/>
      <queryTableField id="7" name="Market_size" tableColumnId="7"/>
      <queryTableField id="8" name="Market" tableColumnId="8"/>
      <queryTableField id="9" name="Marketing" tableColumnId="9"/>
      <queryTableField id="10" name="Product_line" tableColumnId="10"/>
      <queryTableField id="11" name="Product_type" tableColumnId="11"/>
      <queryTableField id="12" name="Product" tableColumnId="12"/>
      <queryTableField id="13" name="Profit" tableColumnId="13"/>
      <queryTableField id="14" name="Sales" tableColumnId="14"/>
      <queryTableField id="15" name="State" tableColumnId="15"/>
      <queryTableField id="16" name="Target_cogs" tableColumnId="16"/>
      <queryTableField id="17" name="Target_margin" tableColumnId="17"/>
      <queryTableField id="18" name="Target_profit" tableColumnId="18"/>
      <queryTableField id="19" name="Target_sales " tableColumnId="19"/>
      <queryTableField id="20" name="Total_expenses" tableColumnId="20"/>
      <queryTableField id="21" name="Type" tableColumnId="21"/>
      <queryTableField id="22" dataBound="0" tableColumnId="22"/>
      <queryTableField id="23" dataBound="0" tableColumnId="23"/>
      <queryTableField id="24" dataBound="0" tableColumnId="24"/>
      <queryTableField id="25" dataBound="0" tableColumnId="25"/>
      <queryTableField id="26" dataBound="0" tableColumnId="26"/>
      <queryTableField id="27" dataBound="0"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 xr10:uid="{CB212CAC-3EE9-4A40-A14B-038B9666AE58}" sourceName="Market">
  <pivotTables>
    <pivotTable tabId="5" name="PivotTable6"/>
    <pivotTable tabId="3" name="PivotTable1"/>
    <pivotTable tabId="3" name="PivotTable2"/>
    <pivotTable tabId="3" name="PivotTable3"/>
    <pivotTable tabId="4" name="PivotTable4"/>
    <pivotTable tabId="4" name="PivotTable5"/>
    <pivotTable tabId="5" name="PivotTable7"/>
  </pivotTables>
  <data>
    <tabular pivotCacheId="1402679043">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C6D0837E-C0BB-41DE-91C3-85A859257494}" sourceName="Product_line">
  <pivotTables>
    <pivotTable tabId="5" name="PivotTable6"/>
    <pivotTable tabId="3" name="PivotTable1"/>
    <pivotTable tabId="3" name="PivotTable2"/>
    <pivotTable tabId="3" name="PivotTable3"/>
    <pivotTable tabId="4" name="PivotTable4"/>
    <pivotTable tabId="4" name="PivotTable5"/>
    <pivotTable tabId="5" name="PivotTable7"/>
  </pivotTables>
  <data>
    <tabular pivotCacheId="140267904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ket" xr10:uid="{B5FD51AA-CB9F-4160-AB63-25DD699AD2A4}" cache="Slicer_Market" caption="Market" style="SlicerStyleDark1" rowHeight="257175"/>
  <slicer name="Product_line" xr10:uid="{2CE89C79-9F53-4112-87C0-A2E56732C9B1}" cache="Slicer_Product_line" caption="Product_line" style="SlicerStyleDark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DFEC1C-B53B-4F24-93EB-FA5B8655EAA3}" name="Coffee_Chain_Sales" displayName="Coffee_Chain_Sales" ref="A1:AA1063" tableType="queryTable" totalsRowShown="0">
  <autoFilter ref="A1:AA1063" xr:uid="{27DFEC1C-B53B-4F24-93EB-FA5B8655EAA3}"/>
  <tableColumns count="27">
    <tableColumn id="1" xr3:uid="{800CFE3F-9A03-4426-9ABD-0C2A3F37483D}" uniqueName="1" name="Area Code" queryTableFieldId="1" dataDxfId="14"/>
    <tableColumn id="2" xr3:uid="{575F3E55-4BC9-40D5-BFD0-4B018492A0F6}" uniqueName="2" name="Cogs" queryTableFieldId="2"/>
    <tableColumn id="3" xr3:uid="{DBE39CB7-E47B-4F05-B62A-1C59A691FDA4}" uniqueName="3" name="DifferenceBetweenActualandTargetProfit" queryTableFieldId="3"/>
    <tableColumn id="4" xr3:uid="{5B273928-7789-49E2-AB50-74B1064A4DC8}" uniqueName="4" name="Date" queryTableFieldId="4" dataDxfId="13"/>
    <tableColumn id="5" xr3:uid="{053C0244-33DA-4ED1-9312-B01931F3C32B}" uniqueName="5" name="Inventory Margin" queryTableFieldId="5"/>
    <tableColumn id="6" xr3:uid="{39D839E8-21CA-4173-805E-BFDF12DD3061}" uniqueName="6" name="Margin" queryTableFieldId="6"/>
    <tableColumn id="7" xr3:uid="{DEB2479D-925E-438D-BEA4-A717BF3E13E8}" uniqueName="7" name="Market_size" queryTableFieldId="7" dataDxfId="12"/>
    <tableColumn id="8" xr3:uid="{98105B88-CB35-4E42-8ED9-238E33DCFC2A}" uniqueName="8" name="Market" queryTableFieldId="8" dataDxfId="11"/>
    <tableColumn id="9" xr3:uid="{FC9DC045-CF2C-40A3-A823-F7E156999B2C}" uniqueName="9" name="Marketing" queryTableFieldId="9"/>
    <tableColumn id="10" xr3:uid="{BDB9111D-F9DF-443D-88F1-DDBC3550B0FE}" uniqueName="10" name="Product_line" queryTableFieldId="10" dataDxfId="10"/>
    <tableColumn id="11" xr3:uid="{228169BD-8F04-4069-9099-7F83205F2475}" uniqueName="11" name="Product_type" queryTableFieldId="11" dataDxfId="9"/>
    <tableColumn id="12" xr3:uid="{286470F1-0194-4496-887A-E617CEF7E205}" uniqueName="12" name="Product" queryTableFieldId="12" dataDxfId="8"/>
    <tableColumn id="13" xr3:uid="{E41C6ACC-5287-4363-A87F-6DC59B4B4FCD}" uniqueName="13" name="Profit" queryTableFieldId="13"/>
    <tableColumn id="14" xr3:uid="{77545775-2223-415F-B467-46672F7276AD}" uniqueName="14" name="Sales" queryTableFieldId="14"/>
    <tableColumn id="15" xr3:uid="{61AA3FFC-117C-4685-BF97-B763F89159A6}" uniqueName="15" name="State" queryTableFieldId="15" dataDxfId="7"/>
    <tableColumn id="16" xr3:uid="{DE6C5B3C-7EBD-4DE0-8902-4DAE86683EE4}" uniqueName="16" name="Target_cogs" queryTableFieldId="16"/>
    <tableColumn id="17" xr3:uid="{911840AA-19E8-46CD-91A7-966440AD0025}" uniqueName="17" name="Target_margin" queryTableFieldId="17"/>
    <tableColumn id="18" xr3:uid="{CBDD2AB4-52A4-45E3-86D0-F8055803C1A0}" uniqueName="18" name="Target_profit" queryTableFieldId="18"/>
    <tableColumn id="19" xr3:uid="{9461D0EB-1D64-40AF-BBC5-6ACDAD48EA3B}" uniqueName="19" name="Target_sales " queryTableFieldId="19"/>
    <tableColumn id="20" xr3:uid="{AC614EC7-B807-4C4D-8A4D-B50689273D12}" uniqueName="20" name="Total_expenses" queryTableFieldId="20"/>
    <tableColumn id="21" xr3:uid="{997FF9DF-4CC6-472A-A382-E7196C352BAB}" uniqueName="21" name="Type" queryTableFieldId="21" dataDxfId="6"/>
    <tableColumn id="22" xr3:uid="{6BD107AC-A1AA-4AA2-9B11-54A0AF6C9D4E}" uniqueName="22" name="Profit Margin" queryTableFieldId="22" dataDxfId="5">
      <calculatedColumnFormula>M2/N2</calculatedColumnFormula>
    </tableColumn>
    <tableColumn id="23" xr3:uid="{517080E3-1F02-4D9B-9DE3-6269FB9C6D99}" uniqueName="23" name="Actual vs Target Profit Variance" queryTableFieldId="23" dataDxfId="4">
      <calculatedColumnFormula>M2-R2</calculatedColumnFormula>
    </tableColumn>
    <tableColumn id="24" xr3:uid="{EF853910-BBFB-46E2-9D92-1BE375CEF99A}" uniqueName="24" name="Actual vs Target Sales Variance" queryTableFieldId="24" dataDxfId="3">
      <calculatedColumnFormula>N2-S2</calculatedColumnFormula>
    </tableColumn>
    <tableColumn id="25" xr3:uid="{FF8D0481-CBC9-4205-A971-8A9DD1997AEB}" uniqueName="25" name="COGS % of Sales" queryTableFieldId="25" dataDxfId="2">
      <calculatedColumnFormula>B2/N2</calculatedColumnFormula>
    </tableColumn>
    <tableColumn id="26" xr3:uid="{721CEE96-A53A-4D11-ADF2-19CFA406084E}" uniqueName="26" name="Sales Performance" queryTableFieldId="26" dataDxfId="1">
      <calculatedColumnFormula>IF(N2&gt;=AVERAGE(N2:N1063),"High Sales","Low Sales")</calculatedColumnFormula>
    </tableColumn>
    <tableColumn id="27" xr3:uid="{A03E8D78-6105-4C0A-B955-A7C82D91297C}" uniqueName="27" name="Sales Performance2" queryTableFieldId="27" dataDxfId="0">
      <calculatedColumnFormula>IF(V2&gt;=AVERAGE(V2:V1063), "High Margin", "Low Margin")</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DDC0F47-E09B-479D-A0FC-7038FD1690EF}" sourceName="Date">
  <pivotTables>
    <pivotTable tabId="5" name="PivotTable6"/>
    <pivotTable tabId="3" name="PivotTable1"/>
    <pivotTable tabId="3" name="PivotTable2"/>
    <pivotTable tabId="3" name="PivotTable3"/>
    <pivotTable tabId="4" name="PivotTable4"/>
    <pivotTable tabId="4" name="PivotTable5"/>
    <pivotTable tabId="5" name="PivotTable7"/>
  </pivotTables>
  <state minimalRefreshVersion="6" lastRefreshVersion="6" pivotCacheId="1402679043" filterType="unknown">
    <bounds startDate="2012-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E3A5092-CA6A-4CF4-BFB5-E0269EFD51D9}" cache="NativeTimeline_Date" caption="Date" level="0" selectionLevel="2" scrollPosition="2012-01-01T00:00:00" style="TimeSlicerStyleDark1"/>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3E2C-44E9-4F0E-937B-4997350E2DD6}">
  <dimension ref="A3:A10"/>
  <sheetViews>
    <sheetView workbookViewId="0">
      <selection activeCell="B16" sqref="B16"/>
    </sheetView>
  </sheetViews>
  <sheetFormatPr defaultRowHeight="15" x14ac:dyDescent="0.25"/>
  <cols>
    <col min="1" max="1" width="12.5703125" bestFit="1" customWidth="1"/>
  </cols>
  <sheetData>
    <row r="3" spans="1:1" x14ac:dyDescent="0.25">
      <c r="A3" t="s">
        <v>217</v>
      </c>
    </row>
    <row r="4" spans="1:1" x14ac:dyDescent="0.25">
      <c r="A4" s="2">
        <v>202895</v>
      </c>
    </row>
    <row r="6" spans="1:1" x14ac:dyDescent="0.25">
      <c r="A6" t="s">
        <v>218</v>
      </c>
    </row>
    <row r="7" spans="1:1" x14ac:dyDescent="0.25">
      <c r="A7" s="2">
        <v>64311</v>
      </c>
    </row>
    <row r="9" spans="1:1" x14ac:dyDescent="0.25">
      <c r="A9" t="s">
        <v>220</v>
      </c>
    </row>
    <row r="10" spans="1:1" x14ac:dyDescent="0.25">
      <c r="A10">
        <v>0.15941628741048411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F5ADB-514F-40D2-8F74-B5FA00F4F4D4}">
  <dimension ref="A3:B25"/>
  <sheetViews>
    <sheetView topLeftCell="A4" workbookViewId="0">
      <selection activeCell="C19" sqref="C19"/>
    </sheetView>
  </sheetViews>
  <sheetFormatPr defaultRowHeight="15" x14ac:dyDescent="0.25"/>
  <cols>
    <col min="1" max="1" width="15" bestFit="1" customWidth="1"/>
    <col min="2" max="2" width="12.5703125" bestFit="1" customWidth="1"/>
  </cols>
  <sheetData>
    <row r="3" spans="1:2" x14ac:dyDescent="0.25">
      <c r="A3" s="3" t="s">
        <v>11</v>
      </c>
      <c r="B3" t="s">
        <v>217</v>
      </c>
    </row>
    <row r="4" spans="1:2" x14ac:dyDescent="0.25">
      <c r="A4" s="4" t="s">
        <v>52</v>
      </c>
      <c r="B4" s="2">
        <v>30761</v>
      </c>
    </row>
    <row r="5" spans="1:2" x14ac:dyDescent="0.25">
      <c r="A5" s="4" t="s">
        <v>25</v>
      </c>
      <c r="B5" s="2">
        <v>24048</v>
      </c>
    </row>
    <row r="6" spans="1:2" x14ac:dyDescent="0.25">
      <c r="A6" s="4" t="s">
        <v>53</v>
      </c>
      <c r="B6" s="2">
        <v>21716</v>
      </c>
    </row>
    <row r="7" spans="1:2" x14ac:dyDescent="0.25">
      <c r="A7" s="4" t="s">
        <v>57</v>
      </c>
      <c r="B7" s="2">
        <v>19295</v>
      </c>
    </row>
    <row r="8" spans="1:2" x14ac:dyDescent="0.25">
      <c r="A8" s="4" t="s">
        <v>42</v>
      </c>
      <c r="B8" s="2">
        <v>18888</v>
      </c>
    </row>
    <row r="9" spans="1:2" x14ac:dyDescent="0.25">
      <c r="A9" s="4" t="s">
        <v>33</v>
      </c>
      <c r="B9" s="2">
        <v>17758</v>
      </c>
    </row>
    <row r="10" spans="1:2" x14ac:dyDescent="0.25">
      <c r="A10" s="4" t="s">
        <v>61</v>
      </c>
      <c r="B10" s="2">
        <v>16546</v>
      </c>
    </row>
    <row r="11" spans="1:2" x14ac:dyDescent="0.25">
      <c r="A11" s="4" t="s">
        <v>46</v>
      </c>
      <c r="B11" s="2">
        <v>14831</v>
      </c>
    </row>
    <row r="12" spans="1:2" x14ac:dyDescent="0.25">
      <c r="A12" s="4" t="s">
        <v>54</v>
      </c>
      <c r="B12" s="2">
        <v>8665</v>
      </c>
    </row>
    <row r="13" spans="1:2" x14ac:dyDescent="0.25">
      <c r="A13" s="4" t="s">
        <v>37</v>
      </c>
      <c r="B13" s="2">
        <v>8520</v>
      </c>
    </row>
    <row r="14" spans="1:2" x14ac:dyDescent="0.25">
      <c r="A14" s="4" t="s">
        <v>28</v>
      </c>
      <c r="B14" s="2">
        <v>8342</v>
      </c>
    </row>
    <row r="15" spans="1:2" x14ac:dyDescent="0.25">
      <c r="A15" s="4" t="s">
        <v>50</v>
      </c>
      <c r="B15" s="2">
        <v>6781</v>
      </c>
    </row>
    <row r="16" spans="1:2" x14ac:dyDescent="0.25">
      <c r="A16" s="4" t="s">
        <v>66</v>
      </c>
      <c r="B16" s="2">
        <v>6744</v>
      </c>
    </row>
    <row r="17" spans="1:2" x14ac:dyDescent="0.25">
      <c r="A17" s="4" t="s">
        <v>222</v>
      </c>
      <c r="B17" s="2">
        <v>202895</v>
      </c>
    </row>
    <row r="20" spans="1:2" x14ac:dyDescent="0.25">
      <c r="A20" s="3" t="s">
        <v>223</v>
      </c>
      <c r="B20" t="s">
        <v>217</v>
      </c>
    </row>
    <row r="21" spans="1:2" x14ac:dyDescent="0.25">
      <c r="A21" s="4" t="s">
        <v>41</v>
      </c>
      <c r="B21" s="2">
        <v>56013</v>
      </c>
    </row>
    <row r="22" spans="1:2" x14ac:dyDescent="0.25">
      <c r="A22" s="4" t="s">
        <v>45</v>
      </c>
      <c r="B22" s="2">
        <v>52373</v>
      </c>
    </row>
    <row r="23" spans="1:2" x14ac:dyDescent="0.25">
      <c r="A23" s="4" t="s">
        <v>24</v>
      </c>
      <c r="B23" s="2">
        <v>51685</v>
      </c>
    </row>
    <row r="24" spans="1:2" x14ac:dyDescent="0.25">
      <c r="A24" s="4" t="s">
        <v>32</v>
      </c>
      <c r="B24" s="2">
        <v>42824</v>
      </c>
    </row>
    <row r="25" spans="1:2" x14ac:dyDescent="0.25">
      <c r="A25" s="4" t="s">
        <v>222</v>
      </c>
      <c r="B25" s="2">
        <v>202895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1F29F-7900-4539-A157-2E7D5AA7C738}">
  <dimension ref="A3:C27"/>
  <sheetViews>
    <sheetView topLeftCell="A4" workbookViewId="0">
      <selection activeCell="O16" sqref="O16"/>
    </sheetView>
  </sheetViews>
  <sheetFormatPr defaultRowHeight="15" x14ac:dyDescent="0.25"/>
  <cols>
    <col min="1" max="1" width="13.42578125" bestFit="1" customWidth="1"/>
    <col min="2" max="2" width="12.5703125" bestFit="1" customWidth="1"/>
    <col min="3" max="3" width="12.7109375" bestFit="1" customWidth="1"/>
  </cols>
  <sheetData>
    <row r="3" spans="1:3" x14ac:dyDescent="0.25">
      <c r="A3" s="3" t="s">
        <v>7</v>
      </c>
      <c r="B3" t="s">
        <v>218</v>
      </c>
      <c r="C3" t="s">
        <v>217</v>
      </c>
    </row>
    <row r="4" spans="1:3" x14ac:dyDescent="0.25">
      <c r="A4" s="4" t="s">
        <v>36</v>
      </c>
      <c r="B4" s="2">
        <v>18269</v>
      </c>
      <c r="C4" s="2">
        <v>67418</v>
      </c>
    </row>
    <row r="5" spans="1:3" x14ac:dyDescent="0.25">
      <c r="A5" s="4" t="s">
        <v>22</v>
      </c>
      <c r="B5" s="2">
        <v>22901</v>
      </c>
      <c r="C5" s="2">
        <v>64981</v>
      </c>
    </row>
    <row r="6" spans="1:3" x14ac:dyDescent="0.25">
      <c r="A6" s="4" t="s">
        <v>31</v>
      </c>
      <c r="B6" s="2">
        <v>14745</v>
      </c>
      <c r="C6" s="2">
        <v>44108</v>
      </c>
    </row>
    <row r="7" spans="1:3" x14ac:dyDescent="0.25">
      <c r="A7" s="4" t="s">
        <v>29</v>
      </c>
      <c r="B7" s="2">
        <v>8396</v>
      </c>
      <c r="C7" s="2">
        <v>26388</v>
      </c>
    </row>
    <row r="8" spans="1:3" x14ac:dyDescent="0.25">
      <c r="A8" s="4" t="s">
        <v>222</v>
      </c>
      <c r="B8" s="2">
        <v>64311</v>
      </c>
      <c r="C8" s="2">
        <v>202895</v>
      </c>
    </row>
    <row r="14" spans="1:3" x14ac:dyDescent="0.25">
      <c r="A14" s="3" t="s">
        <v>221</v>
      </c>
      <c r="B14" t="s">
        <v>217</v>
      </c>
      <c r="C14" t="s">
        <v>218</v>
      </c>
    </row>
    <row r="15" spans="1:3" x14ac:dyDescent="0.25">
      <c r="A15" s="4" t="s">
        <v>224</v>
      </c>
      <c r="B15" s="5">
        <v>14651</v>
      </c>
      <c r="C15" s="5">
        <v>5529</v>
      </c>
    </row>
    <row r="16" spans="1:3" x14ac:dyDescent="0.25">
      <c r="A16" s="4" t="s">
        <v>225</v>
      </c>
      <c r="B16" s="5">
        <v>15546</v>
      </c>
      <c r="C16" s="5">
        <v>5956</v>
      </c>
    </row>
    <row r="17" spans="1:3" x14ac:dyDescent="0.25">
      <c r="A17" s="4" t="s">
        <v>226</v>
      </c>
      <c r="B17" s="5">
        <v>16321</v>
      </c>
      <c r="C17" s="5">
        <v>4686</v>
      </c>
    </row>
    <row r="18" spans="1:3" x14ac:dyDescent="0.25">
      <c r="A18" s="4" t="s">
        <v>227</v>
      </c>
      <c r="B18" s="5">
        <v>16892</v>
      </c>
      <c r="C18" s="5">
        <v>4525</v>
      </c>
    </row>
    <row r="19" spans="1:3" x14ac:dyDescent="0.25">
      <c r="A19" s="4" t="s">
        <v>228</v>
      </c>
      <c r="B19" s="5">
        <v>18247</v>
      </c>
      <c r="C19" s="5">
        <v>4817</v>
      </c>
    </row>
    <row r="20" spans="1:3" x14ac:dyDescent="0.25">
      <c r="A20" s="4" t="s">
        <v>229</v>
      </c>
      <c r="B20" s="5">
        <v>17924</v>
      </c>
      <c r="C20" s="5">
        <v>6230</v>
      </c>
    </row>
    <row r="21" spans="1:3" x14ac:dyDescent="0.25">
      <c r="A21" s="4" t="s">
        <v>230</v>
      </c>
      <c r="B21" s="5">
        <v>21028</v>
      </c>
      <c r="C21" s="5">
        <v>5683</v>
      </c>
    </row>
    <row r="22" spans="1:3" x14ac:dyDescent="0.25">
      <c r="A22" s="4" t="s">
        <v>231</v>
      </c>
      <c r="B22" s="5">
        <v>21533</v>
      </c>
      <c r="C22" s="5">
        <v>7888</v>
      </c>
    </row>
    <row r="23" spans="1:3" x14ac:dyDescent="0.25">
      <c r="A23" s="4" t="s">
        <v>232</v>
      </c>
      <c r="B23" s="5">
        <v>14283</v>
      </c>
      <c r="C23" s="5">
        <v>4802</v>
      </c>
    </row>
    <row r="24" spans="1:3" x14ac:dyDescent="0.25">
      <c r="A24" s="4" t="s">
        <v>233</v>
      </c>
      <c r="B24" s="5">
        <v>16637</v>
      </c>
      <c r="C24" s="5">
        <v>4768</v>
      </c>
    </row>
    <row r="25" spans="1:3" x14ac:dyDescent="0.25">
      <c r="A25" s="4" t="s">
        <v>234</v>
      </c>
      <c r="B25" s="5">
        <v>15397</v>
      </c>
      <c r="C25" s="5">
        <v>4661</v>
      </c>
    </row>
    <row r="26" spans="1:3" x14ac:dyDescent="0.25">
      <c r="A26" s="4" t="s">
        <v>235</v>
      </c>
      <c r="B26" s="5">
        <v>14436</v>
      </c>
      <c r="C26" s="5">
        <v>4766</v>
      </c>
    </row>
    <row r="27" spans="1:3" x14ac:dyDescent="0.25">
      <c r="A27" s="4" t="s">
        <v>222</v>
      </c>
      <c r="B27" s="5">
        <v>202895</v>
      </c>
      <c r="C27" s="5">
        <v>64311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4F942-A0D0-47BF-BFA5-2B5D22A51650}">
  <dimension ref="A3:C8"/>
  <sheetViews>
    <sheetView workbookViewId="0">
      <selection activeCell="C12" sqref="C12"/>
    </sheetView>
  </sheetViews>
  <sheetFormatPr defaultRowHeight="15" x14ac:dyDescent="0.25"/>
  <cols>
    <col min="1" max="1" width="11.28515625" bestFit="1" customWidth="1"/>
    <col min="2" max="2" width="36.140625" bestFit="1" customWidth="1"/>
    <col min="3" max="3" width="36" bestFit="1" customWidth="1"/>
  </cols>
  <sheetData>
    <row r="3" spans="1:3" x14ac:dyDescent="0.25">
      <c r="A3" s="3" t="s">
        <v>7</v>
      </c>
      <c r="B3" t="s">
        <v>238</v>
      </c>
      <c r="C3" t="s">
        <v>239</v>
      </c>
    </row>
    <row r="4" spans="1:3" x14ac:dyDescent="0.25">
      <c r="A4" s="4" t="s">
        <v>36</v>
      </c>
      <c r="B4">
        <v>149</v>
      </c>
      <c r="C4">
        <v>9218</v>
      </c>
    </row>
    <row r="5" spans="1:3" x14ac:dyDescent="0.25">
      <c r="A5" s="4" t="s">
        <v>31</v>
      </c>
      <c r="B5">
        <v>1165</v>
      </c>
      <c r="C5">
        <v>7368</v>
      </c>
    </row>
    <row r="6" spans="1:3" x14ac:dyDescent="0.25">
      <c r="A6" s="4" t="s">
        <v>22</v>
      </c>
      <c r="B6">
        <v>-659</v>
      </c>
      <c r="C6">
        <v>4421</v>
      </c>
    </row>
    <row r="7" spans="1:3" x14ac:dyDescent="0.25">
      <c r="A7" s="4" t="s">
        <v>29</v>
      </c>
      <c r="B7">
        <v>-244</v>
      </c>
      <c r="C7">
        <v>2948</v>
      </c>
    </row>
    <row r="8" spans="1:3" x14ac:dyDescent="0.25">
      <c r="A8" s="4" t="s">
        <v>222</v>
      </c>
      <c r="B8">
        <v>411</v>
      </c>
      <c r="C8">
        <v>23955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E89DC-D2DE-49B3-81AC-FBCB45B46471}">
  <dimension ref="A1:AA1063"/>
  <sheetViews>
    <sheetView tabSelected="1" workbookViewId="0">
      <selection activeCell="AA4" sqref="AA4"/>
    </sheetView>
  </sheetViews>
  <sheetFormatPr defaultRowHeight="15" x14ac:dyDescent="0.25"/>
  <cols>
    <col min="1" max="1" width="12.5703125" bestFit="1" customWidth="1"/>
    <col min="2" max="2" width="7.85546875" bestFit="1" customWidth="1"/>
    <col min="3" max="3" width="41.28515625" bestFit="1" customWidth="1"/>
    <col min="4" max="4" width="10.42578125" bestFit="1" customWidth="1"/>
    <col min="5" max="5" width="18.42578125" bestFit="1" customWidth="1"/>
    <col min="6" max="6" width="9.28515625" bestFit="1" customWidth="1"/>
    <col min="7" max="7" width="13.85546875" bestFit="1" customWidth="1"/>
    <col min="8" max="8" width="9.42578125" bestFit="1" customWidth="1"/>
    <col min="9" max="9" width="12.140625" bestFit="1" customWidth="1"/>
    <col min="10" max="10" width="14.5703125" bestFit="1" customWidth="1"/>
    <col min="11" max="11" width="15.140625" bestFit="1" customWidth="1"/>
    <col min="12" max="12" width="16.7109375" bestFit="1" customWidth="1"/>
    <col min="13" max="13" width="8.28515625" bestFit="1" customWidth="1"/>
    <col min="14" max="14" width="8.140625" bestFit="1" customWidth="1"/>
    <col min="15" max="15" width="15.140625" bestFit="1" customWidth="1"/>
    <col min="16" max="16" width="13.85546875" bestFit="1" customWidth="1"/>
    <col min="17" max="17" width="16" bestFit="1" customWidth="1"/>
    <col min="18" max="18" width="14.7109375" bestFit="1" customWidth="1"/>
    <col min="19" max="19" width="14.85546875" bestFit="1" customWidth="1"/>
    <col min="20" max="20" width="17.42578125" bestFit="1" customWidth="1"/>
    <col min="21" max="21" width="7.7109375" bestFit="1" customWidth="1"/>
    <col min="26" max="26" width="20.42578125" bestFit="1" customWidth="1"/>
    <col min="27" max="27" width="21.42578125" bestFit="1" customWidth="1"/>
  </cols>
  <sheetData>
    <row r="1" spans="1:2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219</v>
      </c>
      <c r="W1" t="s">
        <v>236</v>
      </c>
      <c r="X1" t="s">
        <v>237</v>
      </c>
      <c r="Y1" t="s">
        <v>240</v>
      </c>
      <c r="Z1" t="s">
        <v>241</v>
      </c>
      <c r="AA1" t="s">
        <v>242</v>
      </c>
    </row>
    <row r="2" spans="1:27" x14ac:dyDescent="0.25">
      <c r="A2" t="s">
        <v>68</v>
      </c>
      <c r="B2">
        <v>51</v>
      </c>
      <c r="C2">
        <v>-35</v>
      </c>
      <c r="D2" s="1">
        <v>41183</v>
      </c>
      <c r="E2">
        <v>503</v>
      </c>
      <c r="F2">
        <v>71</v>
      </c>
      <c r="G2" t="s">
        <v>21</v>
      </c>
      <c r="H2" t="s">
        <v>22</v>
      </c>
      <c r="I2">
        <v>46</v>
      </c>
      <c r="J2" t="s">
        <v>23</v>
      </c>
      <c r="K2" t="s">
        <v>24</v>
      </c>
      <c r="L2" t="s">
        <v>25</v>
      </c>
      <c r="M2">
        <v>-5</v>
      </c>
      <c r="N2">
        <v>122</v>
      </c>
      <c r="O2" t="s">
        <v>26</v>
      </c>
      <c r="P2">
        <v>30</v>
      </c>
      <c r="Q2">
        <v>60</v>
      </c>
      <c r="R2">
        <v>30</v>
      </c>
      <c r="S2">
        <v>90</v>
      </c>
      <c r="T2">
        <v>76</v>
      </c>
      <c r="U2" t="s">
        <v>27</v>
      </c>
      <c r="V2">
        <f t="shared" ref="V2:V65" si="0">M2/N2</f>
        <v>-4.0983606557377046E-2</v>
      </c>
      <c r="W2">
        <f t="shared" ref="W2:W65" si="1">M2-R2</f>
        <v>-35</v>
      </c>
      <c r="X2">
        <f t="shared" ref="X2:X65" si="2">N2-S2</f>
        <v>32</v>
      </c>
      <c r="Y2">
        <f t="shared" ref="Y2:Y65" si="3">B2/N2</f>
        <v>0.41803278688524592</v>
      </c>
      <c r="Z2" s="7" t="str">
        <f t="shared" ref="Z2:Z65" si="4">IF(N2&gt;=AVERAGE(N2:N1063),"High Sales","Low Sales")</f>
        <v>Low Sales</v>
      </c>
      <c r="AA2" s="7" t="str">
        <f t="shared" ref="AA2:AA65" si="5">IF(V2&gt;=AVERAGE(V2:V1063), "High Margin", "Low Margin")</f>
        <v>Low Margin</v>
      </c>
    </row>
    <row r="3" spans="1:27" x14ac:dyDescent="0.25">
      <c r="A3" t="s">
        <v>69</v>
      </c>
      <c r="B3">
        <v>52</v>
      </c>
      <c r="C3">
        <v>-24</v>
      </c>
      <c r="D3" s="1">
        <v>41183</v>
      </c>
      <c r="E3">
        <v>405</v>
      </c>
      <c r="F3">
        <v>71</v>
      </c>
      <c r="G3" t="s">
        <v>21</v>
      </c>
      <c r="H3" t="s">
        <v>22</v>
      </c>
      <c r="I3">
        <v>17</v>
      </c>
      <c r="J3" t="s">
        <v>23</v>
      </c>
      <c r="K3" t="s">
        <v>24</v>
      </c>
      <c r="L3" t="s">
        <v>28</v>
      </c>
      <c r="M3">
        <v>26</v>
      </c>
      <c r="N3">
        <v>123</v>
      </c>
      <c r="O3" t="s">
        <v>26</v>
      </c>
      <c r="P3">
        <v>30</v>
      </c>
      <c r="Q3">
        <v>60</v>
      </c>
      <c r="R3">
        <v>50</v>
      </c>
      <c r="S3">
        <v>90</v>
      </c>
      <c r="T3">
        <v>45</v>
      </c>
      <c r="U3" t="s">
        <v>27</v>
      </c>
      <c r="V3">
        <f t="shared" si="0"/>
        <v>0.21138211382113822</v>
      </c>
      <c r="W3">
        <f t="shared" si="1"/>
        <v>-24</v>
      </c>
      <c r="X3">
        <f t="shared" si="2"/>
        <v>33</v>
      </c>
      <c r="Y3">
        <f t="shared" si="3"/>
        <v>0.42276422764227645</v>
      </c>
      <c r="Z3" s="7" t="str">
        <f t="shared" si="4"/>
        <v>Low Sales</v>
      </c>
      <c r="AA3" s="7" t="str">
        <f t="shared" si="5"/>
        <v>High Margin</v>
      </c>
    </row>
    <row r="4" spans="1:27" x14ac:dyDescent="0.25">
      <c r="A4" t="s">
        <v>70</v>
      </c>
      <c r="B4">
        <v>43</v>
      </c>
      <c r="C4">
        <v>-22</v>
      </c>
      <c r="D4" s="1">
        <v>41184</v>
      </c>
      <c r="E4">
        <v>419</v>
      </c>
      <c r="F4">
        <v>64</v>
      </c>
      <c r="G4" t="s">
        <v>21</v>
      </c>
      <c r="H4" t="s">
        <v>29</v>
      </c>
      <c r="I4">
        <v>13</v>
      </c>
      <c r="J4" t="s">
        <v>23</v>
      </c>
      <c r="K4" t="s">
        <v>24</v>
      </c>
      <c r="L4" t="s">
        <v>25</v>
      </c>
      <c r="M4">
        <v>28</v>
      </c>
      <c r="N4">
        <v>107</v>
      </c>
      <c r="O4" t="s">
        <v>30</v>
      </c>
      <c r="P4">
        <v>30</v>
      </c>
      <c r="Q4">
        <v>60</v>
      </c>
      <c r="R4">
        <v>50</v>
      </c>
      <c r="S4">
        <v>90</v>
      </c>
      <c r="T4">
        <v>36</v>
      </c>
      <c r="U4" t="s">
        <v>27</v>
      </c>
      <c r="V4">
        <f t="shared" si="0"/>
        <v>0.26168224299065418</v>
      </c>
      <c r="W4">
        <f t="shared" si="1"/>
        <v>-22</v>
      </c>
      <c r="X4">
        <f t="shared" si="2"/>
        <v>17</v>
      </c>
      <c r="Y4">
        <f t="shared" si="3"/>
        <v>0.40186915887850466</v>
      </c>
      <c r="Z4" s="7" t="str">
        <f t="shared" si="4"/>
        <v>Low Sales</v>
      </c>
      <c r="AA4" s="7" t="str">
        <f t="shared" si="5"/>
        <v>High Margin</v>
      </c>
    </row>
    <row r="5" spans="1:27" x14ac:dyDescent="0.25">
      <c r="A5" t="s">
        <v>71</v>
      </c>
      <c r="B5">
        <v>38</v>
      </c>
      <c r="C5">
        <v>-15</v>
      </c>
      <c r="D5" s="1">
        <v>41185</v>
      </c>
      <c r="E5">
        <v>871</v>
      </c>
      <c r="F5">
        <v>56</v>
      </c>
      <c r="G5" t="s">
        <v>21</v>
      </c>
      <c r="H5" t="s">
        <v>31</v>
      </c>
      <c r="I5">
        <v>10</v>
      </c>
      <c r="J5" t="s">
        <v>23</v>
      </c>
      <c r="K5" t="s">
        <v>32</v>
      </c>
      <c r="L5" t="s">
        <v>33</v>
      </c>
      <c r="M5">
        <v>35</v>
      </c>
      <c r="N5">
        <v>94</v>
      </c>
      <c r="O5" t="s">
        <v>34</v>
      </c>
      <c r="P5">
        <v>40</v>
      </c>
      <c r="Q5">
        <v>60</v>
      </c>
      <c r="R5">
        <v>50</v>
      </c>
      <c r="S5">
        <v>100</v>
      </c>
      <c r="T5">
        <v>21</v>
      </c>
      <c r="U5" t="s">
        <v>35</v>
      </c>
      <c r="V5">
        <f t="shared" si="0"/>
        <v>0.37234042553191488</v>
      </c>
      <c r="W5">
        <f t="shared" si="1"/>
        <v>-15</v>
      </c>
      <c r="X5">
        <f t="shared" si="2"/>
        <v>-6</v>
      </c>
      <c r="Y5">
        <f t="shared" si="3"/>
        <v>0.40425531914893614</v>
      </c>
      <c r="Z5" s="7" t="str">
        <f t="shared" si="4"/>
        <v>Low Sales</v>
      </c>
      <c r="AA5" s="7" t="str">
        <f t="shared" si="5"/>
        <v>High Margin</v>
      </c>
    </row>
    <row r="6" spans="1:27" x14ac:dyDescent="0.25">
      <c r="A6" t="s">
        <v>72</v>
      </c>
      <c r="B6">
        <v>72</v>
      </c>
      <c r="C6">
        <v>6</v>
      </c>
      <c r="D6" s="1">
        <v>41186</v>
      </c>
      <c r="E6">
        <v>650</v>
      </c>
      <c r="F6">
        <v>110</v>
      </c>
      <c r="G6" t="s">
        <v>21</v>
      </c>
      <c r="H6" t="s">
        <v>36</v>
      </c>
      <c r="I6">
        <v>23</v>
      </c>
      <c r="J6" t="s">
        <v>23</v>
      </c>
      <c r="K6" t="s">
        <v>32</v>
      </c>
      <c r="L6" t="s">
        <v>37</v>
      </c>
      <c r="M6">
        <v>56</v>
      </c>
      <c r="N6">
        <v>182</v>
      </c>
      <c r="O6" t="s">
        <v>38</v>
      </c>
      <c r="P6">
        <v>20</v>
      </c>
      <c r="Q6">
        <v>60</v>
      </c>
      <c r="R6">
        <v>50</v>
      </c>
      <c r="S6">
        <v>80</v>
      </c>
      <c r="T6">
        <v>54</v>
      </c>
      <c r="U6" t="s">
        <v>35</v>
      </c>
      <c r="V6">
        <f t="shared" si="0"/>
        <v>0.30769230769230771</v>
      </c>
      <c r="W6">
        <f t="shared" si="1"/>
        <v>6</v>
      </c>
      <c r="X6">
        <f t="shared" si="2"/>
        <v>102</v>
      </c>
      <c r="Y6">
        <f t="shared" si="3"/>
        <v>0.39560439560439559</v>
      </c>
      <c r="Z6" s="7" t="str">
        <f t="shared" si="4"/>
        <v>Low Sales</v>
      </c>
      <c r="AA6" s="7" t="str">
        <f t="shared" si="5"/>
        <v>High Margin</v>
      </c>
    </row>
    <row r="7" spans="1:27" x14ac:dyDescent="0.25">
      <c r="A7" t="s">
        <v>73</v>
      </c>
      <c r="B7">
        <v>0</v>
      </c>
      <c r="C7">
        <v>-29</v>
      </c>
      <c r="D7" s="1">
        <v>41187</v>
      </c>
      <c r="E7">
        <v>430</v>
      </c>
      <c r="F7">
        <v>43</v>
      </c>
      <c r="G7" t="s">
        <v>39</v>
      </c>
      <c r="H7" t="s">
        <v>22</v>
      </c>
      <c r="I7">
        <v>0</v>
      </c>
      <c r="J7" t="s">
        <v>40</v>
      </c>
      <c r="K7" t="s">
        <v>41</v>
      </c>
      <c r="L7" t="s">
        <v>42</v>
      </c>
      <c r="M7">
        <v>31</v>
      </c>
      <c r="N7">
        <v>43</v>
      </c>
      <c r="O7" t="s">
        <v>43</v>
      </c>
      <c r="P7">
        <v>0</v>
      </c>
      <c r="Q7">
        <v>60</v>
      </c>
      <c r="R7">
        <v>60</v>
      </c>
      <c r="S7">
        <v>60</v>
      </c>
      <c r="T7">
        <v>12</v>
      </c>
      <c r="U7" t="s">
        <v>27</v>
      </c>
      <c r="V7">
        <f t="shared" si="0"/>
        <v>0.72093023255813948</v>
      </c>
      <c r="W7">
        <f t="shared" si="1"/>
        <v>-29</v>
      </c>
      <c r="X7">
        <f t="shared" si="2"/>
        <v>-17</v>
      </c>
      <c r="Y7">
        <f t="shared" si="3"/>
        <v>0</v>
      </c>
      <c r="Z7" s="7" t="str">
        <f t="shared" si="4"/>
        <v>Low Sales</v>
      </c>
      <c r="AA7" s="7" t="str">
        <f t="shared" si="5"/>
        <v>High Margin</v>
      </c>
    </row>
    <row r="8" spans="1:27" x14ac:dyDescent="0.25">
      <c r="A8" t="s">
        <v>74</v>
      </c>
      <c r="B8">
        <v>47</v>
      </c>
      <c r="C8">
        <v>-29</v>
      </c>
      <c r="D8" s="1">
        <v>41188</v>
      </c>
      <c r="E8">
        <v>375</v>
      </c>
      <c r="F8">
        <v>64</v>
      </c>
      <c r="G8" t="s">
        <v>39</v>
      </c>
      <c r="H8" t="s">
        <v>31</v>
      </c>
      <c r="I8">
        <v>15</v>
      </c>
      <c r="J8" t="s">
        <v>40</v>
      </c>
      <c r="K8" t="s">
        <v>41</v>
      </c>
      <c r="L8" t="s">
        <v>42</v>
      </c>
      <c r="M8">
        <v>21</v>
      </c>
      <c r="N8">
        <v>111</v>
      </c>
      <c r="O8" t="s">
        <v>44</v>
      </c>
      <c r="P8">
        <v>30</v>
      </c>
      <c r="Q8">
        <v>60</v>
      </c>
      <c r="R8">
        <v>50</v>
      </c>
      <c r="S8">
        <v>90</v>
      </c>
      <c r="T8">
        <v>43</v>
      </c>
      <c r="U8" t="s">
        <v>27</v>
      </c>
      <c r="V8">
        <f t="shared" si="0"/>
        <v>0.1891891891891892</v>
      </c>
      <c r="W8">
        <f t="shared" si="1"/>
        <v>-29</v>
      </c>
      <c r="X8">
        <f t="shared" si="2"/>
        <v>21</v>
      </c>
      <c r="Y8">
        <f t="shared" si="3"/>
        <v>0.42342342342342343</v>
      </c>
      <c r="Z8" s="7" t="str">
        <f t="shared" si="4"/>
        <v>Low Sales</v>
      </c>
      <c r="AA8" s="7" t="str">
        <f t="shared" si="5"/>
        <v>High Margin</v>
      </c>
    </row>
    <row r="9" spans="1:27" x14ac:dyDescent="0.25">
      <c r="A9" t="s">
        <v>75</v>
      </c>
      <c r="B9">
        <v>27</v>
      </c>
      <c r="C9">
        <v>-39</v>
      </c>
      <c r="D9" s="1">
        <v>41189</v>
      </c>
      <c r="E9">
        <v>859</v>
      </c>
      <c r="F9">
        <v>39</v>
      </c>
      <c r="G9" t="s">
        <v>39</v>
      </c>
      <c r="H9" t="s">
        <v>29</v>
      </c>
      <c r="I9">
        <v>7</v>
      </c>
      <c r="J9" t="s">
        <v>40</v>
      </c>
      <c r="K9" t="s">
        <v>45</v>
      </c>
      <c r="L9" t="s">
        <v>46</v>
      </c>
      <c r="M9">
        <v>21</v>
      </c>
      <c r="N9">
        <v>66</v>
      </c>
      <c r="O9" t="s">
        <v>47</v>
      </c>
      <c r="P9">
        <v>30</v>
      </c>
      <c r="Q9">
        <v>60</v>
      </c>
      <c r="R9">
        <v>60</v>
      </c>
      <c r="S9">
        <v>90</v>
      </c>
      <c r="T9">
        <v>18</v>
      </c>
      <c r="U9" t="s">
        <v>27</v>
      </c>
      <c r="V9">
        <f t="shared" si="0"/>
        <v>0.31818181818181818</v>
      </c>
      <c r="W9">
        <f t="shared" si="1"/>
        <v>-39</v>
      </c>
      <c r="X9">
        <f t="shared" si="2"/>
        <v>-24</v>
      </c>
      <c r="Y9">
        <f t="shared" si="3"/>
        <v>0.40909090909090912</v>
      </c>
      <c r="Z9" s="7" t="str">
        <f t="shared" si="4"/>
        <v>Low Sales</v>
      </c>
      <c r="AA9" s="7" t="str">
        <f t="shared" si="5"/>
        <v>High Margin</v>
      </c>
    </row>
    <row r="10" spans="1:27" x14ac:dyDescent="0.25">
      <c r="A10" t="s">
        <v>76</v>
      </c>
      <c r="B10">
        <v>31</v>
      </c>
      <c r="C10">
        <v>-43</v>
      </c>
      <c r="D10" s="1">
        <v>41190</v>
      </c>
      <c r="E10">
        <v>1000</v>
      </c>
      <c r="F10">
        <v>37</v>
      </c>
      <c r="G10" t="s">
        <v>39</v>
      </c>
      <c r="H10" t="s">
        <v>36</v>
      </c>
      <c r="I10">
        <v>9</v>
      </c>
      <c r="J10" t="s">
        <v>40</v>
      </c>
      <c r="K10" t="s">
        <v>45</v>
      </c>
      <c r="L10" t="s">
        <v>46</v>
      </c>
      <c r="M10">
        <v>7</v>
      </c>
      <c r="N10">
        <v>68</v>
      </c>
      <c r="O10" t="s">
        <v>48</v>
      </c>
      <c r="P10">
        <v>30</v>
      </c>
      <c r="Q10">
        <v>60</v>
      </c>
      <c r="R10">
        <v>50</v>
      </c>
      <c r="S10">
        <v>90</v>
      </c>
      <c r="T10">
        <v>30</v>
      </c>
      <c r="U10" t="s">
        <v>27</v>
      </c>
      <c r="V10">
        <f t="shared" si="0"/>
        <v>0.10294117647058823</v>
      </c>
      <c r="W10">
        <f t="shared" si="1"/>
        <v>-43</v>
      </c>
      <c r="X10">
        <f t="shared" si="2"/>
        <v>-22</v>
      </c>
      <c r="Y10">
        <f t="shared" si="3"/>
        <v>0.45588235294117646</v>
      </c>
      <c r="Z10" s="7" t="str">
        <f t="shared" si="4"/>
        <v>Low Sales</v>
      </c>
      <c r="AA10" s="7" t="str">
        <f t="shared" si="5"/>
        <v>Low Margin</v>
      </c>
    </row>
    <row r="11" spans="1:27" x14ac:dyDescent="0.25">
      <c r="A11" t="s">
        <v>77</v>
      </c>
      <c r="B11">
        <v>40</v>
      </c>
      <c r="C11">
        <v>-23</v>
      </c>
      <c r="D11" s="1">
        <v>41191</v>
      </c>
      <c r="E11">
        <v>881</v>
      </c>
      <c r="F11">
        <v>59</v>
      </c>
      <c r="G11" t="s">
        <v>39</v>
      </c>
      <c r="H11" t="s">
        <v>36</v>
      </c>
      <c r="I11">
        <v>11</v>
      </c>
      <c r="J11" t="s">
        <v>40</v>
      </c>
      <c r="K11" t="s">
        <v>41</v>
      </c>
      <c r="L11" t="s">
        <v>42</v>
      </c>
      <c r="M11">
        <v>37</v>
      </c>
      <c r="N11">
        <v>99</v>
      </c>
      <c r="O11" t="s">
        <v>49</v>
      </c>
      <c r="P11">
        <v>20</v>
      </c>
      <c r="Q11">
        <v>60</v>
      </c>
      <c r="R11">
        <v>60</v>
      </c>
      <c r="S11">
        <v>80</v>
      </c>
      <c r="T11">
        <v>22</v>
      </c>
      <c r="U11" t="s">
        <v>27</v>
      </c>
      <c r="V11">
        <f t="shared" si="0"/>
        <v>0.37373737373737376</v>
      </c>
      <c r="W11">
        <f t="shared" si="1"/>
        <v>-23</v>
      </c>
      <c r="X11">
        <f t="shared" si="2"/>
        <v>19</v>
      </c>
      <c r="Y11">
        <f t="shared" si="3"/>
        <v>0.40404040404040403</v>
      </c>
      <c r="Z11" s="7" t="str">
        <f t="shared" si="4"/>
        <v>Low Sales</v>
      </c>
      <c r="AA11" s="7" t="str">
        <f t="shared" si="5"/>
        <v>High Margin</v>
      </c>
    </row>
    <row r="12" spans="1:27" x14ac:dyDescent="0.25">
      <c r="A12" t="s">
        <v>78</v>
      </c>
      <c r="B12">
        <v>49</v>
      </c>
      <c r="C12">
        <v>-27</v>
      </c>
      <c r="D12" s="1">
        <v>41192</v>
      </c>
      <c r="E12">
        <v>310</v>
      </c>
      <c r="F12">
        <v>71</v>
      </c>
      <c r="G12" t="s">
        <v>39</v>
      </c>
      <c r="H12" t="s">
        <v>31</v>
      </c>
      <c r="I12">
        <v>15</v>
      </c>
      <c r="J12" t="s">
        <v>40</v>
      </c>
      <c r="K12" t="s">
        <v>45</v>
      </c>
      <c r="L12" t="s">
        <v>50</v>
      </c>
      <c r="M12">
        <v>33</v>
      </c>
      <c r="N12">
        <v>120</v>
      </c>
      <c r="O12" t="s">
        <v>51</v>
      </c>
      <c r="P12">
        <v>30</v>
      </c>
      <c r="Q12">
        <v>60</v>
      </c>
      <c r="R12">
        <v>60</v>
      </c>
      <c r="S12">
        <v>90</v>
      </c>
      <c r="T12">
        <v>38</v>
      </c>
      <c r="U12" t="s">
        <v>35</v>
      </c>
      <c r="V12">
        <f t="shared" si="0"/>
        <v>0.27500000000000002</v>
      </c>
      <c r="W12">
        <f t="shared" si="1"/>
        <v>-27</v>
      </c>
      <c r="X12">
        <f t="shared" si="2"/>
        <v>30</v>
      </c>
      <c r="Y12">
        <f t="shared" si="3"/>
        <v>0.40833333333333333</v>
      </c>
      <c r="Z12" s="7" t="str">
        <f t="shared" si="4"/>
        <v>Low Sales</v>
      </c>
      <c r="AA12" s="7" t="str">
        <f t="shared" si="5"/>
        <v>High Margin</v>
      </c>
    </row>
    <row r="13" spans="1:27" x14ac:dyDescent="0.25">
      <c r="A13" t="s">
        <v>78</v>
      </c>
      <c r="B13">
        <v>45</v>
      </c>
      <c r="C13">
        <v>-26</v>
      </c>
      <c r="D13" s="1">
        <v>41193</v>
      </c>
      <c r="E13">
        <v>447</v>
      </c>
      <c r="F13">
        <v>69</v>
      </c>
      <c r="G13" t="s">
        <v>39</v>
      </c>
      <c r="H13" t="s">
        <v>31</v>
      </c>
      <c r="I13">
        <v>14</v>
      </c>
      <c r="J13" t="s">
        <v>40</v>
      </c>
      <c r="K13" t="s">
        <v>45</v>
      </c>
      <c r="L13" t="s">
        <v>52</v>
      </c>
      <c r="M13">
        <v>24</v>
      </c>
      <c r="N13">
        <v>114</v>
      </c>
      <c r="O13" t="s">
        <v>51</v>
      </c>
      <c r="P13">
        <v>30</v>
      </c>
      <c r="Q13">
        <v>60</v>
      </c>
      <c r="R13">
        <v>50</v>
      </c>
      <c r="S13">
        <v>90</v>
      </c>
      <c r="T13">
        <v>45</v>
      </c>
      <c r="U13" t="s">
        <v>35</v>
      </c>
      <c r="V13">
        <f t="shared" si="0"/>
        <v>0.21052631578947367</v>
      </c>
      <c r="W13">
        <f t="shared" si="1"/>
        <v>-26</v>
      </c>
      <c r="X13">
        <f t="shared" si="2"/>
        <v>24</v>
      </c>
      <c r="Y13">
        <f t="shared" si="3"/>
        <v>0.39473684210526316</v>
      </c>
      <c r="Z13" s="7" t="str">
        <f t="shared" si="4"/>
        <v>Low Sales</v>
      </c>
      <c r="AA13" s="7" t="str">
        <f t="shared" si="5"/>
        <v>High Margin</v>
      </c>
    </row>
    <row r="14" spans="1:27" x14ac:dyDescent="0.25">
      <c r="A14" t="s">
        <v>78</v>
      </c>
      <c r="B14">
        <v>45</v>
      </c>
      <c r="C14">
        <v>-37</v>
      </c>
      <c r="D14" s="1">
        <v>41194</v>
      </c>
      <c r="E14">
        <v>320</v>
      </c>
      <c r="F14">
        <v>64</v>
      </c>
      <c r="G14" t="s">
        <v>39</v>
      </c>
      <c r="H14" t="s">
        <v>31</v>
      </c>
      <c r="I14">
        <v>41</v>
      </c>
      <c r="J14" t="s">
        <v>40</v>
      </c>
      <c r="K14" t="s">
        <v>41</v>
      </c>
      <c r="L14" t="s">
        <v>53</v>
      </c>
      <c r="M14">
        <v>-7</v>
      </c>
      <c r="N14">
        <v>109</v>
      </c>
      <c r="O14" t="s">
        <v>51</v>
      </c>
      <c r="P14">
        <v>30</v>
      </c>
      <c r="Q14">
        <v>60</v>
      </c>
      <c r="R14">
        <v>30</v>
      </c>
      <c r="S14">
        <v>90</v>
      </c>
      <c r="T14">
        <v>71</v>
      </c>
      <c r="U14" t="s">
        <v>35</v>
      </c>
      <c r="V14">
        <f t="shared" si="0"/>
        <v>-6.4220183486238536E-2</v>
      </c>
      <c r="W14">
        <f t="shared" si="1"/>
        <v>-37</v>
      </c>
      <c r="X14">
        <f t="shared" si="2"/>
        <v>19</v>
      </c>
      <c r="Y14">
        <f t="shared" si="3"/>
        <v>0.41284403669724773</v>
      </c>
      <c r="Z14" s="7" t="str">
        <f t="shared" si="4"/>
        <v>Low Sales</v>
      </c>
      <c r="AA14" s="7" t="str">
        <f t="shared" si="5"/>
        <v>Low Margin</v>
      </c>
    </row>
    <row r="15" spans="1:27" x14ac:dyDescent="0.25">
      <c r="A15" t="s">
        <v>79</v>
      </c>
      <c r="B15">
        <v>60</v>
      </c>
      <c r="C15">
        <v>-9</v>
      </c>
      <c r="D15" s="1">
        <v>41195</v>
      </c>
      <c r="E15">
        <v>-762</v>
      </c>
      <c r="F15">
        <v>84</v>
      </c>
      <c r="G15" t="s">
        <v>39</v>
      </c>
      <c r="H15" t="s">
        <v>29</v>
      </c>
      <c r="I15">
        <v>54</v>
      </c>
      <c r="J15" t="s">
        <v>40</v>
      </c>
      <c r="K15" t="s">
        <v>41</v>
      </c>
      <c r="L15" t="s">
        <v>54</v>
      </c>
      <c r="M15">
        <v>1</v>
      </c>
      <c r="N15">
        <v>144</v>
      </c>
      <c r="O15" t="s">
        <v>55</v>
      </c>
      <c r="P15">
        <v>30</v>
      </c>
      <c r="Q15">
        <v>60</v>
      </c>
      <c r="R15">
        <v>10</v>
      </c>
      <c r="S15">
        <v>90</v>
      </c>
      <c r="T15">
        <v>83</v>
      </c>
      <c r="U15" t="s">
        <v>35</v>
      </c>
      <c r="V15">
        <f t="shared" si="0"/>
        <v>6.9444444444444441E-3</v>
      </c>
      <c r="W15">
        <f t="shared" si="1"/>
        <v>-9</v>
      </c>
      <c r="X15">
        <f t="shared" si="2"/>
        <v>54</v>
      </c>
      <c r="Y15">
        <f t="shared" si="3"/>
        <v>0.41666666666666669</v>
      </c>
      <c r="Z15" s="7" t="str">
        <f t="shared" si="4"/>
        <v>Low Sales</v>
      </c>
      <c r="AA15" s="7" t="str">
        <f t="shared" si="5"/>
        <v>Low Margin</v>
      </c>
    </row>
    <row r="16" spans="1:27" x14ac:dyDescent="0.25">
      <c r="A16" t="s">
        <v>76</v>
      </c>
      <c r="B16">
        <v>34</v>
      </c>
      <c r="C16">
        <v>-32</v>
      </c>
      <c r="D16" s="1">
        <v>41196</v>
      </c>
      <c r="E16">
        <v>240</v>
      </c>
      <c r="F16">
        <v>43</v>
      </c>
      <c r="G16" t="s">
        <v>39</v>
      </c>
      <c r="H16" t="s">
        <v>36</v>
      </c>
      <c r="I16">
        <v>12</v>
      </c>
      <c r="J16" t="s">
        <v>40</v>
      </c>
      <c r="K16" t="s">
        <v>45</v>
      </c>
      <c r="L16" t="s">
        <v>52</v>
      </c>
      <c r="M16">
        <v>-2</v>
      </c>
      <c r="N16">
        <v>77</v>
      </c>
      <c r="O16" t="s">
        <v>48</v>
      </c>
      <c r="P16">
        <v>40</v>
      </c>
      <c r="Q16">
        <v>60</v>
      </c>
      <c r="R16">
        <v>30</v>
      </c>
      <c r="S16">
        <v>100</v>
      </c>
      <c r="T16">
        <v>45</v>
      </c>
      <c r="U16" t="s">
        <v>35</v>
      </c>
      <c r="V16">
        <f t="shared" si="0"/>
        <v>-2.5974025974025976E-2</v>
      </c>
      <c r="W16">
        <f t="shared" si="1"/>
        <v>-32</v>
      </c>
      <c r="X16">
        <f t="shared" si="2"/>
        <v>-23</v>
      </c>
      <c r="Y16">
        <f t="shared" si="3"/>
        <v>0.44155844155844154</v>
      </c>
      <c r="Z16" s="7" t="str">
        <f t="shared" si="4"/>
        <v>Low Sales</v>
      </c>
      <c r="AA16" s="7" t="str">
        <f t="shared" si="5"/>
        <v>Low Margin</v>
      </c>
    </row>
    <row r="17" spans="1:27" x14ac:dyDescent="0.25">
      <c r="A17" t="s">
        <v>80</v>
      </c>
      <c r="B17">
        <v>54</v>
      </c>
      <c r="C17">
        <v>-28</v>
      </c>
      <c r="D17" s="1">
        <v>41197</v>
      </c>
      <c r="E17">
        <v>404</v>
      </c>
      <c r="F17">
        <v>66</v>
      </c>
      <c r="G17" t="s">
        <v>39</v>
      </c>
      <c r="H17" t="s">
        <v>36</v>
      </c>
      <c r="I17">
        <v>20</v>
      </c>
      <c r="J17" t="s">
        <v>40</v>
      </c>
      <c r="K17" t="s">
        <v>41</v>
      </c>
      <c r="L17" t="s">
        <v>54</v>
      </c>
      <c r="M17">
        <v>12</v>
      </c>
      <c r="N17">
        <v>120</v>
      </c>
      <c r="O17" t="s">
        <v>56</v>
      </c>
      <c r="P17">
        <v>40</v>
      </c>
      <c r="Q17">
        <v>60</v>
      </c>
      <c r="R17">
        <v>40</v>
      </c>
      <c r="S17">
        <v>100</v>
      </c>
      <c r="T17">
        <v>54</v>
      </c>
      <c r="U17" t="s">
        <v>35</v>
      </c>
      <c r="V17">
        <f t="shared" si="0"/>
        <v>0.1</v>
      </c>
      <c r="W17">
        <f t="shared" si="1"/>
        <v>-28</v>
      </c>
      <c r="X17">
        <f t="shared" si="2"/>
        <v>20</v>
      </c>
      <c r="Y17">
        <f t="shared" si="3"/>
        <v>0.45</v>
      </c>
      <c r="Z17" s="7" t="str">
        <f t="shared" si="4"/>
        <v>Low Sales</v>
      </c>
      <c r="AA17" s="7" t="str">
        <f t="shared" si="5"/>
        <v>Low Margin</v>
      </c>
    </row>
    <row r="18" spans="1:27" x14ac:dyDescent="0.25">
      <c r="A18" t="s">
        <v>81</v>
      </c>
      <c r="B18">
        <v>45</v>
      </c>
      <c r="C18">
        <v>-36</v>
      </c>
      <c r="D18" s="1">
        <v>41198</v>
      </c>
      <c r="E18">
        <v>320</v>
      </c>
      <c r="F18">
        <v>64</v>
      </c>
      <c r="G18" t="s">
        <v>39</v>
      </c>
      <c r="H18" t="s">
        <v>22</v>
      </c>
      <c r="I18">
        <v>41</v>
      </c>
      <c r="J18" t="s">
        <v>23</v>
      </c>
      <c r="K18" t="s">
        <v>24</v>
      </c>
      <c r="L18" t="s">
        <v>57</v>
      </c>
      <c r="M18">
        <v>-6</v>
      </c>
      <c r="N18">
        <v>109</v>
      </c>
      <c r="O18" t="s">
        <v>58</v>
      </c>
      <c r="P18">
        <v>20</v>
      </c>
      <c r="Q18">
        <v>60</v>
      </c>
      <c r="R18">
        <v>30</v>
      </c>
      <c r="S18">
        <v>80</v>
      </c>
      <c r="T18">
        <v>70</v>
      </c>
      <c r="U18" t="s">
        <v>27</v>
      </c>
      <c r="V18">
        <f t="shared" si="0"/>
        <v>-5.5045871559633031E-2</v>
      </c>
      <c r="W18">
        <f t="shared" si="1"/>
        <v>-36</v>
      </c>
      <c r="X18">
        <f t="shared" si="2"/>
        <v>29</v>
      </c>
      <c r="Y18">
        <f t="shared" si="3"/>
        <v>0.41284403669724773</v>
      </c>
      <c r="Z18" s="7" t="str">
        <f t="shared" si="4"/>
        <v>Low Sales</v>
      </c>
      <c r="AA18" s="7" t="str">
        <f t="shared" si="5"/>
        <v>Low Margin</v>
      </c>
    </row>
    <row r="19" spans="1:27" x14ac:dyDescent="0.25">
      <c r="A19" t="s">
        <v>82</v>
      </c>
      <c r="B19">
        <v>48</v>
      </c>
      <c r="C19">
        <v>-15</v>
      </c>
      <c r="D19" s="1">
        <v>41199</v>
      </c>
      <c r="E19">
        <v>851</v>
      </c>
      <c r="F19">
        <v>70</v>
      </c>
      <c r="G19" t="s">
        <v>39</v>
      </c>
      <c r="H19" t="s">
        <v>22</v>
      </c>
      <c r="I19">
        <v>13</v>
      </c>
      <c r="J19" t="s">
        <v>23</v>
      </c>
      <c r="K19" t="s">
        <v>24</v>
      </c>
      <c r="L19" t="s">
        <v>25</v>
      </c>
      <c r="M19">
        <v>45</v>
      </c>
      <c r="N19">
        <v>118</v>
      </c>
      <c r="O19" t="s">
        <v>59</v>
      </c>
      <c r="P19">
        <v>30</v>
      </c>
      <c r="Q19">
        <v>60</v>
      </c>
      <c r="R19">
        <v>60</v>
      </c>
      <c r="S19">
        <v>90</v>
      </c>
      <c r="T19">
        <v>25</v>
      </c>
      <c r="U19" t="s">
        <v>27</v>
      </c>
      <c r="V19">
        <f t="shared" si="0"/>
        <v>0.38135593220338981</v>
      </c>
      <c r="W19">
        <f t="shared" si="1"/>
        <v>-15</v>
      </c>
      <c r="X19">
        <f t="shared" si="2"/>
        <v>28</v>
      </c>
      <c r="Y19">
        <f t="shared" si="3"/>
        <v>0.40677966101694918</v>
      </c>
      <c r="Z19" s="7" t="str">
        <f t="shared" si="4"/>
        <v>Low Sales</v>
      </c>
      <c r="AA19" s="7" t="str">
        <f t="shared" si="5"/>
        <v>High Margin</v>
      </c>
    </row>
    <row r="20" spans="1:27" x14ac:dyDescent="0.25">
      <c r="A20" t="s">
        <v>83</v>
      </c>
      <c r="B20">
        <v>49</v>
      </c>
      <c r="C20">
        <v>-27</v>
      </c>
      <c r="D20" s="1">
        <v>41200</v>
      </c>
      <c r="E20">
        <v>310</v>
      </c>
      <c r="F20">
        <v>71</v>
      </c>
      <c r="G20" t="s">
        <v>39</v>
      </c>
      <c r="H20" t="s">
        <v>36</v>
      </c>
      <c r="I20">
        <v>15</v>
      </c>
      <c r="J20" t="s">
        <v>23</v>
      </c>
      <c r="K20" t="s">
        <v>24</v>
      </c>
      <c r="L20" t="s">
        <v>57</v>
      </c>
      <c r="M20">
        <v>33</v>
      </c>
      <c r="N20">
        <v>120</v>
      </c>
      <c r="O20" t="s">
        <v>49</v>
      </c>
      <c r="P20">
        <v>30</v>
      </c>
      <c r="Q20">
        <v>60</v>
      </c>
      <c r="R20">
        <v>60</v>
      </c>
      <c r="S20">
        <v>90</v>
      </c>
      <c r="T20">
        <v>38</v>
      </c>
      <c r="U20" t="s">
        <v>27</v>
      </c>
      <c r="V20">
        <f t="shared" si="0"/>
        <v>0.27500000000000002</v>
      </c>
      <c r="W20">
        <f t="shared" si="1"/>
        <v>-27</v>
      </c>
      <c r="X20">
        <f t="shared" si="2"/>
        <v>30</v>
      </c>
      <c r="Y20">
        <f t="shared" si="3"/>
        <v>0.40833333333333333</v>
      </c>
      <c r="Z20" s="7" t="str">
        <f t="shared" si="4"/>
        <v>Low Sales</v>
      </c>
      <c r="AA20" s="7" t="str">
        <f t="shared" si="5"/>
        <v>High Margin</v>
      </c>
    </row>
    <row r="21" spans="1:27" x14ac:dyDescent="0.25">
      <c r="A21" t="s">
        <v>84</v>
      </c>
      <c r="B21">
        <v>48</v>
      </c>
      <c r="C21">
        <v>-13</v>
      </c>
      <c r="D21" s="1">
        <v>41201</v>
      </c>
      <c r="E21">
        <v>829</v>
      </c>
      <c r="F21">
        <v>71</v>
      </c>
      <c r="G21" t="s">
        <v>39</v>
      </c>
      <c r="H21" t="s">
        <v>36</v>
      </c>
      <c r="I21">
        <v>13</v>
      </c>
      <c r="J21" t="s">
        <v>23</v>
      </c>
      <c r="K21" t="s">
        <v>24</v>
      </c>
      <c r="L21" t="s">
        <v>25</v>
      </c>
      <c r="M21">
        <v>47</v>
      </c>
      <c r="N21">
        <v>119</v>
      </c>
      <c r="O21" t="s">
        <v>60</v>
      </c>
      <c r="P21">
        <v>30</v>
      </c>
      <c r="Q21">
        <v>60</v>
      </c>
      <c r="R21">
        <v>60</v>
      </c>
      <c r="S21">
        <v>90</v>
      </c>
      <c r="T21">
        <v>24</v>
      </c>
      <c r="U21" t="s">
        <v>27</v>
      </c>
      <c r="V21">
        <f t="shared" si="0"/>
        <v>0.3949579831932773</v>
      </c>
      <c r="W21">
        <f t="shared" si="1"/>
        <v>-13</v>
      </c>
      <c r="X21">
        <f t="shared" si="2"/>
        <v>29</v>
      </c>
      <c r="Y21">
        <f t="shared" si="3"/>
        <v>0.40336134453781514</v>
      </c>
      <c r="Z21" s="7" t="str">
        <f t="shared" si="4"/>
        <v>Low Sales</v>
      </c>
      <c r="AA21" s="7" t="str">
        <f t="shared" si="5"/>
        <v>High Margin</v>
      </c>
    </row>
    <row r="22" spans="1:27" x14ac:dyDescent="0.25">
      <c r="A22" t="s">
        <v>74</v>
      </c>
      <c r="B22">
        <v>40</v>
      </c>
      <c r="C22">
        <v>-14</v>
      </c>
      <c r="D22" s="1">
        <v>41202</v>
      </c>
      <c r="E22">
        <v>881</v>
      </c>
      <c r="F22">
        <v>59</v>
      </c>
      <c r="G22" t="s">
        <v>39</v>
      </c>
      <c r="H22" t="s">
        <v>31</v>
      </c>
      <c r="I22">
        <v>11</v>
      </c>
      <c r="J22" t="s">
        <v>23</v>
      </c>
      <c r="K22" t="s">
        <v>32</v>
      </c>
      <c r="L22" t="s">
        <v>33</v>
      </c>
      <c r="M22">
        <v>36</v>
      </c>
      <c r="N22">
        <v>99</v>
      </c>
      <c r="O22" t="s">
        <v>44</v>
      </c>
      <c r="P22">
        <v>40</v>
      </c>
      <c r="Q22">
        <v>60</v>
      </c>
      <c r="R22">
        <v>50</v>
      </c>
      <c r="S22">
        <v>100</v>
      </c>
      <c r="T22">
        <v>23</v>
      </c>
      <c r="U22" t="s">
        <v>35</v>
      </c>
      <c r="V22">
        <f t="shared" si="0"/>
        <v>0.36363636363636365</v>
      </c>
      <c r="W22">
        <f t="shared" si="1"/>
        <v>-14</v>
      </c>
      <c r="X22">
        <f t="shared" si="2"/>
        <v>-1</v>
      </c>
      <c r="Y22">
        <f t="shared" si="3"/>
        <v>0.40404040404040403</v>
      </c>
      <c r="Z22" s="7" t="str">
        <f t="shared" si="4"/>
        <v>Low Sales</v>
      </c>
      <c r="AA22" s="7" t="str">
        <f t="shared" si="5"/>
        <v>High Margin</v>
      </c>
    </row>
    <row r="23" spans="1:27" x14ac:dyDescent="0.25">
      <c r="A23" t="s">
        <v>85</v>
      </c>
      <c r="B23">
        <v>82</v>
      </c>
      <c r="C23">
        <v>14</v>
      </c>
      <c r="D23" s="1">
        <v>41203</v>
      </c>
      <c r="E23">
        <v>788</v>
      </c>
      <c r="F23">
        <v>123</v>
      </c>
      <c r="G23" t="s">
        <v>39</v>
      </c>
      <c r="H23" t="s">
        <v>36</v>
      </c>
      <c r="I23">
        <v>27</v>
      </c>
      <c r="J23" t="s">
        <v>23</v>
      </c>
      <c r="K23" t="s">
        <v>32</v>
      </c>
      <c r="L23" t="s">
        <v>61</v>
      </c>
      <c r="M23">
        <v>64</v>
      </c>
      <c r="N23">
        <v>205</v>
      </c>
      <c r="O23" t="s">
        <v>56</v>
      </c>
      <c r="P23">
        <v>30</v>
      </c>
      <c r="Q23">
        <v>60</v>
      </c>
      <c r="R23">
        <v>50</v>
      </c>
      <c r="S23">
        <v>90</v>
      </c>
      <c r="T23">
        <v>59</v>
      </c>
      <c r="U23" t="s">
        <v>35</v>
      </c>
      <c r="V23">
        <f t="shared" si="0"/>
        <v>0.31219512195121951</v>
      </c>
      <c r="W23">
        <f t="shared" si="1"/>
        <v>14</v>
      </c>
      <c r="X23">
        <f t="shared" si="2"/>
        <v>115</v>
      </c>
      <c r="Y23">
        <f t="shared" si="3"/>
        <v>0.4</v>
      </c>
      <c r="Z23" s="7" t="str">
        <f t="shared" si="4"/>
        <v>High Sales</v>
      </c>
      <c r="AA23" s="7" t="str">
        <f t="shared" si="5"/>
        <v>High Margin</v>
      </c>
    </row>
    <row r="24" spans="1:27" x14ac:dyDescent="0.25">
      <c r="A24" t="s">
        <v>85</v>
      </c>
      <c r="B24">
        <v>91</v>
      </c>
      <c r="C24">
        <v>26</v>
      </c>
      <c r="D24" s="1">
        <v>41204</v>
      </c>
      <c r="E24">
        <v>656</v>
      </c>
      <c r="F24">
        <v>127</v>
      </c>
      <c r="G24" t="s">
        <v>39</v>
      </c>
      <c r="H24" t="s">
        <v>36</v>
      </c>
      <c r="I24">
        <v>28</v>
      </c>
      <c r="J24" t="s">
        <v>23</v>
      </c>
      <c r="K24" t="s">
        <v>32</v>
      </c>
      <c r="L24" t="s">
        <v>37</v>
      </c>
      <c r="M24">
        <v>76</v>
      </c>
      <c r="N24">
        <v>218</v>
      </c>
      <c r="O24" t="s">
        <v>56</v>
      </c>
      <c r="P24">
        <v>40</v>
      </c>
      <c r="Q24">
        <v>60</v>
      </c>
      <c r="R24">
        <v>50</v>
      </c>
      <c r="S24">
        <v>100</v>
      </c>
      <c r="T24">
        <v>51</v>
      </c>
      <c r="U24" t="s">
        <v>35</v>
      </c>
      <c r="V24">
        <f t="shared" si="0"/>
        <v>0.34862385321100919</v>
      </c>
      <c r="W24">
        <f t="shared" si="1"/>
        <v>26</v>
      </c>
      <c r="X24">
        <f t="shared" si="2"/>
        <v>118</v>
      </c>
      <c r="Y24">
        <f t="shared" si="3"/>
        <v>0.41743119266055045</v>
      </c>
      <c r="Z24" s="7" t="str">
        <f t="shared" si="4"/>
        <v>High Sales</v>
      </c>
      <c r="AA24" s="7" t="str">
        <f t="shared" si="5"/>
        <v>High Margin</v>
      </c>
    </row>
    <row r="25" spans="1:27" x14ac:dyDescent="0.25">
      <c r="A25" t="s">
        <v>86</v>
      </c>
      <c r="B25">
        <v>40</v>
      </c>
      <c r="C25">
        <v>-14</v>
      </c>
      <c r="D25" s="1">
        <v>41205</v>
      </c>
      <c r="E25">
        <v>536</v>
      </c>
      <c r="F25">
        <v>52</v>
      </c>
      <c r="G25" t="s">
        <v>21</v>
      </c>
      <c r="H25" t="s">
        <v>29</v>
      </c>
      <c r="I25">
        <v>13</v>
      </c>
      <c r="J25" t="s">
        <v>40</v>
      </c>
      <c r="K25" t="s">
        <v>45</v>
      </c>
      <c r="L25" t="s">
        <v>46</v>
      </c>
      <c r="M25">
        <v>26</v>
      </c>
      <c r="N25">
        <v>92</v>
      </c>
      <c r="O25" t="s">
        <v>30</v>
      </c>
      <c r="P25">
        <v>40</v>
      </c>
      <c r="Q25">
        <v>60</v>
      </c>
      <c r="R25">
        <v>40</v>
      </c>
      <c r="S25">
        <v>100</v>
      </c>
      <c r="T25">
        <v>26</v>
      </c>
      <c r="U25" t="s">
        <v>27</v>
      </c>
      <c r="V25">
        <f t="shared" si="0"/>
        <v>0.28260869565217389</v>
      </c>
      <c r="W25">
        <f t="shared" si="1"/>
        <v>-14</v>
      </c>
      <c r="X25">
        <f t="shared" si="2"/>
        <v>-8</v>
      </c>
      <c r="Y25">
        <f t="shared" si="3"/>
        <v>0.43478260869565216</v>
      </c>
      <c r="Z25" s="7" t="str">
        <f t="shared" si="4"/>
        <v>Low Sales</v>
      </c>
      <c r="AA25" s="7" t="str">
        <f t="shared" si="5"/>
        <v>High Margin</v>
      </c>
    </row>
    <row r="26" spans="1:27" x14ac:dyDescent="0.25">
      <c r="A26" t="s">
        <v>87</v>
      </c>
      <c r="B26">
        <v>50</v>
      </c>
      <c r="C26">
        <v>8</v>
      </c>
      <c r="D26" s="1">
        <v>41206</v>
      </c>
      <c r="E26">
        <v>589</v>
      </c>
      <c r="F26">
        <v>73</v>
      </c>
      <c r="G26" t="s">
        <v>21</v>
      </c>
      <c r="H26" t="s">
        <v>29</v>
      </c>
      <c r="I26">
        <v>14</v>
      </c>
      <c r="J26" t="s">
        <v>40</v>
      </c>
      <c r="K26" t="s">
        <v>41</v>
      </c>
      <c r="L26" t="s">
        <v>42</v>
      </c>
      <c r="M26">
        <v>48</v>
      </c>
      <c r="N26">
        <v>123</v>
      </c>
      <c r="O26" t="s">
        <v>30</v>
      </c>
      <c r="P26">
        <v>30</v>
      </c>
      <c r="Q26">
        <v>60</v>
      </c>
      <c r="R26">
        <v>40</v>
      </c>
      <c r="S26">
        <v>90</v>
      </c>
      <c r="T26">
        <v>25</v>
      </c>
      <c r="U26" t="s">
        <v>27</v>
      </c>
      <c r="V26">
        <f t="shared" si="0"/>
        <v>0.3902439024390244</v>
      </c>
      <c r="W26">
        <f t="shared" si="1"/>
        <v>8</v>
      </c>
      <c r="X26">
        <f t="shared" si="2"/>
        <v>33</v>
      </c>
      <c r="Y26">
        <f t="shared" si="3"/>
        <v>0.4065040650406504</v>
      </c>
      <c r="Z26" s="7" t="str">
        <f t="shared" si="4"/>
        <v>Low Sales</v>
      </c>
      <c r="AA26" s="7" t="str">
        <f t="shared" si="5"/>
        <v>High Margin</v>
      </c>
    </row>
    <row r="27" spans="1:27" x14ac:dyDescent="0.25">
      <c r="A27" t="s">
        <v>69</v>
      </c>
      <c r="B27">
        <v>40</v>
      </c>
      <c r="C27">
        <v>-13</v>
      </c>
      <c r="D27" s="1">
        <v>41207</v>
      </c>
      <c r="E27">
        <v>536</v>
      </c>
      <c r="F27">
        <v>52</v>
      </c>
      <c r="G27" t="s">
        <v>21</v>
      </c>
      <c r="H27" t="s">
        <v>22</v>
      </c>
      <c r="I27">
        <v>13</v>
      </c>
      <c r="J27" t="s">
        <v>40</v>
      </c>
      <c r="K27" t="s">
        <v>45</v>
      </c>
      <c r="L27" t="s">
        <v>52</v>
      </c>
      <c r="M27">
        <v>27</v>
      </c>
      <c r="N27">
        <v>92</v>
      </c>
      <c r="O27" t="s">
        <v>26</v>
      </c>
      <c r="P27">
        <v>30</v>
      </c>
      <c r="Q27">
        <v>60</v>
      </c>
      <c r="R27">
        <v>40</v>
      </c>
      <c r="S27">
        <v>90</v>
      </c>
      <c r="T27">
        <v>25</v>
      </c>
      <c r="U27" t="s">
        <v>35</v>
      </c>
      <c r="V27">
        <f t="shared" si="0"/>
        <v>0.29347826086956524</v>
      </c>
      <c r="W27">
        <f t="shared" si="1"/>
        <v>-13</v>
      </c>
      <c r="X27">
        <f t="shared" si="2"/>
        <v>2</v>
      </c>
      <c r="Y27">
        <f t="shared" si="3"/>
        <v>0.43478260869565216</v>
      </c>
      <c r="Z27" s="7" t="str">
        <f t="shared" si="4"/>
        <v>Low Sales</v>
      </c>
      <c r="AA27" s="7" t="str">
        <f t="shared" si="5"/>
        <v>High Margin</v>
      </c>
    </row>
    <row r="28" spans="1:27" x14ac:dyDescent="0.25">
      <c r="A28" t="s">
        <v>88</v>
      </c>
      <c r="B28">
        <v>52</v>
      </c>
      <c r="C28">
        <v>-8</v>
      </c>
      <c r="D28" s="1">
        <v>41208</v>
      </c>
      <c r="E28">
        <v>554</v>
      </c>
      <c r="F28">
        <v>68</v>
      </c>
      <c r="G28" t="s">
        <v>21</v>
      </c>
      <c r="H28" t="s">
        <v>31</v>
      </c>
      <c r="I28">
        <v>47</v>
      </c>
      <c r="J28" t="s">
        <v>40</v>
      </c>
      <c r="K28" t="s">
        <v>41</v>
      </c>
      <c r="L28" t="s">
        <v>53</v>
      </c>
      <c r="M28">
        <v>-8</v>
      </c>
      <c r="N28">
        <v>120</v>
      </c>
      <c r="O28" t="s">
        <v>62</v>
      </c>
      <c r="P28">
        <v>50</v>
      </c>
      <c r="Q28">
        <v>60</v>
      </c>
      <c r="R28">
        <v>0</v>
      </c>
      <c r="S28">
        <v>110</v>
      </c>
      <c r="T28">
        <v>76</v>
      </c>
      <c r="U28" t="s">
        <v>35</v>
      </c>
      <c r="V28">
        <f t="shared" si="0"/>
        <v>-6.6666666666666666E-2</v>
      </c>
      <c r="W28">
        <f t="shared" si="1"/>
        <v>-8</v>
      </c>
      <c r="X28">
        <f t="shared" si="2"/>
        <v>10</v>
      </c>
      <c r="Y28">
        <f t="shared" si="3"/>
        <v>0.43333333333333335</v>
      </c>
      <c r="Z28" s="7" t="str">
        <f t="shared" si="4"/>
        <v>Low Sales</v>
      </c>
      <c r="AA28" s="7" t="str">
        <f t="shared" si="5"/>
        <v>Low Margin</v>
      </c>
    </row>
    <row r="29" spans="1:27" x14ac:dyDescent="0.25">
      <c r="A29" t="s">
        <v>89</v>
      </c>
      <c r="B29">
        <v>75</v>
      </c>
      <c r="C29">
        <v>14</v>
      </c>
      <c r="D29" s="1">
        <v>41209</v>
      </c>
      <c r="E29">
        <v>1063</v>
      </c>
      <c r="F29">
        <v>89</v>
      </c>
      <c r="G29" t="s">
        <v>21</v>
      </c>
      <c r="H29" t="s">
        <v>31</v>
      </c>
      <c r="I29">
        <v>23</v>
      </c>
      <c r="J29" t="s">
        <v>23</v>
      </c>
      <c r="K29" t="s">
        <v>24</v>
      </c>
      <c r="L29" t="s">
        <v>28</v>
      </c>
      <c r="M29">
        <v>44</v>
      </c>
      <c r="N29">
        <v>164</v>
      </c>
      <c r="O29" t="s">
        <v>34</v>
      </c>
      <c r="P29">
        <v>50</v>
      </c>
      <c r="Q29">
        <v>60</v>
      </c>
      <c r="R29">
        <v>30</v>
      </c>
      <c r="S29">
        <v>110</v>
      </c>
      <c r="T29">
        <v>45</v>
      </c>
      <c r="U29" t="s">
        <v>27</v>
      </c>
      <c r="V29">
        <f t="shared" si="0"/>
        <v>0.26829268292682928</v>
      </c>
      <c r="W29">
        <f t="shared" si="1"/>
        <v>14</v>
      </c>
      <c r="X29">
        <f t="shared" si="2"/>
        <v>54</v>
      </c>
      <c r="Y29">
        <f t="shared" si="3"/>
        <v>0.45731707317073172</v>
      </c>
      <c r="Z29" s="7" t="str">
        <f t="shared" si="4"/>
        <v>Low Sales</v>
      </c>
      <c r="AA29" s="7" t="str">
        <f t="shared" si="5"/>
        <v>High Margin</v>
      </c>
    </row>
    <row r="30" spans="1:27" x14ac:dyDescent="0.25">
      <c r="A30" t="s">
        <v>90</v>
      </c>
      <c r="B30">
        <v>46</v>
      </c>
      <c r="C30">
        <v>1</v>
      </c>
      <c r="D30" s="1">
        <v>41210</v>
      </c>
      <c r="E30">
        <v>424</v>
      </c>
      <c r="F30">
        <v>68</v>
      </c>
      <c r="G30" t="s">
        <v>21</v>
      </c>
      <c r="H30" t="s">
        <v>29</v>
      </c>
      <c r="I30">
        <v>14</v>
      </c>
      <c r="J30" t="s">
        <v>23</v>
      </c>
      <c r="K30" t="s">
        <v>24</v>
      </c>
      <c r="L30" t="s">
        <v>25</v>
      </c>
      <c r="M30">
        <v>31</v>
      </c>
      <c r="N30">
        <v>114</v>
      </c>
      <c r="O30" t="s">
        <v>30</v>
      </c>
      <c r="P30">
        <v>40</v>
      </c>
      <c r="Q30">
        <v>60</v>
      </c>
      <c r="R30">
        <v>30</v>
      </c>
      <c r="S30">
        <v>100</v>
      </c>
      <c r="T30">
        <v>37</v>
      </c>
      <c r="U30" t="s">
        <v>27</v>
      </c>
      <c r="V30">
        <f t="shared" si="0"/>
        <v>0.27192982456140352</v>
      </c>
      <c r="W30">
        <f t="shared" si="1"/>
        <v>1</v>
      </c>
      <c r="X30">
        <f t="shared" si="2"/>
        <v>14</v>
      </c>
      <c r="Y30">
        <f t="shared" si="3"/>
        <v>0.40350877192982454</v>
      </c>
      <c r="Z30" s="7" t="str">
        <f t="shared" si="4"/>
        <v>Low Sales</v>
      </c>
      <c r="AA30" s="7" t="str">
        <f t="shared" si="5"/>
        <v>High Margin</v>
      </c>
    </row>
    <row r="31" spans="1:27" x14ac:dyDescent="0.25">
      <c r="A31" t="s">
        <v>91</v>
      </c>
      <c r="B31">
        <v>55</v>
      </c>
      <c r="C31">
        <v>-5</v>
      </c>
      <c r="D31" s="1">
        <v>41211</v>
      </c>
      <c r="E31">
        <v>410</v>
      </c>
      <c r="F31">
        <v>69</v>
      </c>
      <c r="G31" t="s">
        <v>21</v>
      </c>
      <c r="H31" t="s">
        <v>22</v>
      </c>
      <c r="I31">
        <v>20</v>
      </c>
      <c r="J31" t="s">
        <v>23</v>
      </c>
      <c r="K31" t="s">
        <v>32</v>
      </c>
      <c r="L31" t="s">
        <v>33</v>
      </c>
      <c r="M31">
        <v>15</v>
      </c>
      <c r="N31">
        <v>124</v>
      </c>
      <c r="O31" t="s">
        <v>26</v>
      </c>
      <c r="P31">
        <v>40</v>
      </c>
      <c r="Q31">
        <v>60</v>
      </c>
      <c r="R31">
        <v>20</v>
      </c>
      <c r="S31">
        <v>100</v>
      </c>
      <c r="T31">
        <v>54</v>
      </c>
      <c r="U31" t="s">
        <v>35</v>
      </c>
      <c r="V31">
        <f t="shared" si="0"/>
        <v>0.12096774193548387</v>
      </c>
      <c r="W31">
        <f t="shared" si="1"/>
        <v>-5</v>
      </c>
      <c r="X31">
        <f t="shared" si="2"/>
        <v>24</v>
      </c>
      <c r="Y31">
        <f t="shared" si="3"/>
        <v>0.44354838709677419</v>
      </c>
      <c r="Z31" s="7" t="str">
        <f t="shared" si="4"/>
        <v>Low Sales</v>
      </c>
      <c r="AA31" s="7" t="str">
        <f t="shared" si="5"/>
        <v>Low Margin</v>
      </c>
    </row>
    <row r="32" spans="1:27" x14ac:dyDescent="0.25">
      <c r="A32" t="s">
        <v>92</v>
      </c>
      <c r="B32">
        <v>50</v>
      </c>
      <c r="C32">
        <v>8</v>
      </c>
      <c r="D32" s="1">
        <v>41212</v>
      </c>
      <c r="E32">
        <v>589</v>
      </c>
      <c r="F32">
        <v>73</v>
      </c>
      <c r="G32" t="s">
        <v>21</v>
      </c>
      <c r="H32" t="s">
        <v>22</v>
      </c>
      <c r="I32">
        <v>14</v>
      </c>
      <c r="J32" t="s">
        <v>23</v>
      </c>
      <c r="K32" t="s">
        <v>32</v>
      </c>
      <c r="L32" t="s">
        <v>33</v>
      </c>
      <c r="M32">
        <v>48</v>
      </c>
      <c r="N32">
        <v>123</v>
      </c>
      <c r="O32" t="s">
        <v>63</v>
      </c>
      <c r="P32">
        <v>40</v>
      </c>
      <c r="Q32">
        <v>60</v>
      </c>
      <c r="R32">
        <v>40</v>
      </c>
      <c r="S32">
        <v>100</v>
      </c>
      <c r="T32">
        <v>25</v>
      </c>
      <c r="U32" t="s">
        <v>35</v>
      </c>
      <c r="V32">
        <f t="shared" si="0"/>
        <v>0.3902439024390244</v>
      </c>
      <c r="W32">
        <f t="shared" si="1"/>
        <v>8</v>
      </c>
      <c r="X32">
        <f t="shared" si="2"/>
        <v>23</v>
      </c>
      <c r="Y32">
        <f t="shared" si="3"/>
        <v>0.4065040650406504</v>
      </c>
      <c r="Z32" s="7" t="str">
        <f t="shared" si="4"/>
        <v>Low Sales</v>
      </c>
      <c r="AA32" s="7" t="str">
        <f t="shared" si="5"/>
        <v>High Margin</v>
      </c>
    </row>
    <row r="33" spans="1:27" x14ac:dyDescent="0.25">
      <c r="A33" t="s">
        <v>91</v>
      </c>
      <c r="B33">
        <v>57</v>
      </c>
      <c r="C33">
        <v>-1</v>
      </c>
      <c r="D33" s="1">
        <v>41213</v>
      </c>
      <c r="E33">
        <v>1042</v>
      </c>
      <c r="F33">
        <v>68</v>
      </c>
      <c r="G33" t="s">
        <v>21</v>
      </c>
      <c r="H33" t="s">
        <v>22</v>
      </c>
      <c r="I33">
        <v>17</v>
      </c>
      <c r="J33" t="s">
        <v>23</v>
      </c>
      <c r="K33" t="s">
        <v>32</v>
      </c>
      <c r="L33" t="s">
        <v>61</v>
      </c>
      <c r="M33">
        <v>29</v>
      </c>
      <c r="N33">
        <v>125</v>
      </c>
      <c r="O33" t="s">
        <v>26</v>
      </c>
      <c r="P33">
        <v>40</v>
      </c>
      <c r="Q33">
        <v>60</v>
      </c>
      <c r="R33">
        <v>30</v>
      </c>
      <c r="S33">
        <v>100</v>
      </c>
      <c r="T33">
        <v>39</v>
      </c>
      <c r="U33" t="s">
        <v>35</v>
      </c>
      <c r="V33">
        <f t="shared" si="0"/>
        <v>0.23200000000000001</v>
      </c>
      <c r="W33">
        <f t="shared" si="1"/>
        <v>-1</v>
      </c>
      <c r="X33">
        <f t="shared" si="2"/>
        <v>25</v>
      </c>
      <c r="Y33">
        <f t="shared" si="3"/>
        <v>0.45600000000000002</v>
      </c>
      <c r="Z33" s="7" t="str">
        <f t="shared" si="4"/>
        <v>Low Sales</v>
      </c>
      <c r="AA33" s="7" t="str">
        <f t="shared" si="5"/>
        <v>High Margin</v>
      </c>
    </row>
    <row r="34" spans="1:27" x14ac:dyDescent="0.25">
      <c r="A34" t="s">
        <v>93</v>
      </c>
      <c r="B34">
        <v>36</v>
      </c>
      <c r="C34">
        <v>-9</v>
      </c>
      <c r="D34" s="1">
        <v>41214</v>
      </c>
      <c r="E34">
        <v>862</v>
      </c>
      <c r="F34">
        <v>52</v>
      </c>
      <c r="G34" t="s">
        <v>21</v>
      </c>
      <c r="H34" t="s">
        <v>31</v>
      </c>
      <c r="I34">
        <v>10</v>
      </c>
      <c r="J34" t="s">
        <v>23</v>
      </c>
      <c r="K34" t="s">
        <v>32</v>
      </c>
      <c r="L34" t="s">
        <v>33</v>
      </c>
      <c r="M34">
        <v>31</v>
      </c>
      <c r="N34">
        <v>88</v>
      </c>
      <c r="O34" t="s">
        <v>62</v>
      </c>
      <c r="P34">
        <v>30</v>
      </c>
      <c r="Q34">
        <v>60</v>
      </c>
      <c r="R34">
        <v>40</v>
      </c>
      <c r="S34">
        <v>90</v>
      </c>
      <c r="T34">
        <v>21</v>
      </c>
      <c r="U34" t="s">
        <v>35</v>
      </c>
      <c r="V34">
        <f t="shared" si="0"/>
        <v>0.35227272727272729</v>
      </c>
      <c r="W34">
        <f t="shared" si="1"/>
        <v>-9</v>
      </c>
      <c r="X34">
        <f t="shared" si="2"/>
        <v>-2</v>
      </c>
      <c r="Y34">
        <f t="shared" si="3"/>
        <v>0.40909090909090912</v>
      </c>
      <c r="Z34" s="7" t="str">
        <f t="shared" si="4"/>
        <v>Low Sales</v>
      </c>
      <c r="AA34" s="7" t="str">
        <f t="shared" si="5"/>
        <v>High Margin</v>
      </c>
    </row>
    <row r="35" spans="1:27" x14ac:dyDescent="0.25">
      <c r="A35" t="s">
        <v>94</v>
      </c>
      <c r="B35">
        <v>33</v>
      </c>
      <c r="C35">
        <v>-23</v>
      </c>
      <c r="D35" s="1">
        <v>41215</v>
      </c>
      <c r="E35">
        <v>836</v>
      </c>
      <c r="F35">
        <v>48</v>
      </c>
      <c r="G35" t="s">
        <v>39</v>
      </c>
      <c r="H35" t="s">
        <v>22</v>
      </c>
      <c r="I35">
        <v>9</v>
      </c>
      <c r="J35" t="s">
        <v>40</v>
      </c>
      <c r="K35" t="s">
        <v>41</v>
      </c>
      <c r="L35" t="s">
        <v>42</v>
      </c>
      <c r="M35">
        <v>27</v>
      </c>
      <c r="N35">
        <v>81</v>
      </c>
      <c r="O35" t="s">
        <v>58</v>
      </c>
      <c r="P35">
        <v>40</v>
      </c>
      <c r="Q35">
        <v>60</v>
      </c>
      <c r="R35">
        <v>50</v>
      </c>
      <c r="S35">
        <v>100</v>
      </c>
      <c r="T35">
        <v>21</v>
      </c>
      <c r="U35" t="s">
        <v>27</v>
      </c>
      <c r="V35">
        <f t="shared" si="0"/>
        <v>0.33333333333333331</v>
      </c>
      <c r="W35">
        <f t="shared" si="1"/>
        <v>-23</v>
      </c>
      <c r="X35">
        <f t="shared" si="2"/>
        <v>-19</v>
      </c>
      <c r="Y35">
        <f t="shared" si="3"/>
        <v>0.40740740740740738</v>
      </c>
      <c r="Z35" s="7" t="str">
        <f t="shared" si="4"/>
        <v>Low Sales</v>
      </c>
      <c r="AA35" s="7" t="str">
        <f t="shared" si="5"/>
        <v>High Margin</v>
      </c>
    </row>
    <row r="36" spans="1:27" x14ac:dyDescent="0.25">
      <c r="A36" t="s">
        <v>95</v>
      </c>
      <c r="B36">
        <v>31</v>
      </c>
      <c r="C36">
        <v>-22</v>
      </c>
      <c r="D36" s="1">
        <v>41216</v>
      </c>
      <c r="E36">
        <v>856</v>
      </c>
      <c r="F36">
        <v>47</v>
      </c>
      <c r="G36" t="s">
        <v>39</v>
      </c>
      <c r="H36" t="s">
        <v>29</v>
      </c>
      <c r="I36">
        <v>8</v>
      </c>
      <c r="J36" t="s">
        <v>40</v>
      </c>
      <c r="K36" t="s">
        <v>45</v>
      </c>
      <c r="L36" t="s">
        <v>46</v>
      </c>
      <c r="M36">
        <v>28</v>
      </c>
      <c r="N36">
        <v>78</v>
      </c>
      <c r="O36" t="s">
        <v>55</v>
      </c>
      <c r="P36">
        <v>30</v>
      </c>
      <c r="Q36">
        <v>60</v>
      </c>
      <c r="R36">
        <v>50</v>
      </c>
      <c r="S36">
        <v>90</v>
      </c>
      <c r="T36">
        <v>19</v>
      </c>
      <c r="U36" t="s">
        <v>27</v>
      </c>
      <c r="V36">
        <f t="shared" si="0"/>
        <v>0.35897435897435898</v>
      </c>
      <c r="W36">
        <f t="shared" si="1"/>
        <v>-22</v>
      </c>
      <c r="X36">
        <f t="shared" si="2"/>
        <v>-12</v>
      </c>
      <c r="Y36">
        <f t="shared" si="3"/>
        <v>0.39743589743589741</v>
      </c>
      <c r="Z36" s="7" t="str">
        <f t="shared" si="4"/>
        <v>Low Sales</v>
      </c>
      <c r="AA36" s="7" t="str">
        <f t="shared" si="5"/>
        <v>High Margin</v>
      </c>
    </row>
    <row r="37" spans="1:27" x14ac:dyDescent="0.25">
      <c r="A37" t="s">
        <v>96</v>
      </c>
      <c r="B37">
        <v>36</v>
      </c>
      <c r="C37">
        <v>-10</v>
      </c>
      <c r="D37" s="1">
        <v>41217</v>
      </c>
      <c r="E37">
        <v>862</v>
      </c>
      <c r="F37">
        <v>52</v>
      </c>
      <c r="G37" t="s">
        <v>39</v>
      </c>
      <c r="H37" t="s">
        <v>29</v>
      </c>
      <c r="I37">
        <v>10</v>
      </c>
      <c r="J37" t="s">
        <v>40</v>
      </c>
      <c r="K37" t="s">
        <v>45</v>
      </c>
      <c r="L37" t="s">
        <v>46</v>
      </c>
      <c r="M37">
        <v>30</v>
      </c>
      <c r="N37">
        <v>88</v>
      </c>
      <c r="O37" t="s">
        <v>47</v>
      </c>
      <c r="P37">
        <v>40</v>
      </c>
      <c r="Q37">
        <v>60</v>
      </c>
      <c r="R37">
        <v>40</v>
      </c>
      <c r="S37">
        <v>100</v>
      </c>
      <c r="T37">
        <v>22</v>
      </c>
      <c r="U37" t="s">
        <v>27</v>
      </c>
      <c r="V37">
        <f t="shared" si="0"/>
        <v>0.34090909090909088</v>
      </c>
      <c r="W37">
        <f t="shared" si="1"/>
        <v>-10</v>
      </c>
      <c r="X37">
        <f t="shared" si="2"/>
        <v>-12</v>
      </c>
      <c r="Y37">
        <f t="shared" si="3"/>
        <v>0.40909090909090912</v>
      </c>
      <c r="Z37" s="7" t="str">
        <f t="shared" si="4"/>
        <v>Low Sales</v>
      </c>
      <c r="AA37" s="7" t="str">
        <f t="shared" si="5"/>
        <v>High Margin</v>
      </c>
    </row>
    <row r="38" spans="1:27" x14ac:dyDescent="0.25">
      <c r="A38" t="s">
        <v>97</v>
      </c>
      <c r="B38">
        <v>49</v>
      </c>
      <c r="C38">
        <v>4</v>
      </c>
      <c r="D38" s="1">
        <v>41218</v>
      </c>
      <c r="E38">
        <v>454</v>
      </c>
      <c r="F38">
        <v>71</v>
      </c>
      <c r="G38" t="s">
        <v>39</v>
      </c>
      <c r="H38" t="s">
        <v>29</v>
      </c>
      <c r="I38">
        <v>15</v>
      </c>
      <c r="J38" t="s">
        <v>40</v>
      </c>
      <c r="K38" t="s">
        <v>41</v>
      </c>
      <c r="L38" t="s">
        <v>42</v>
      </c>
      <c r="M38">
        <v>34</v>
      </c>
      <c r="N38">
        <v>120</v>
      </c>
      <c r="O38" t="s">
        <v>55</v>
      </c>
      <c r="P38">
        <v>30</v>
      </c>
      <c r="Q38">
        <v>60</v>
      </c>
      <c r="R38">
        <v>30</v>
      </c>
      <c r="S38">
        <v>90</v>
      </c>
      <c r="T38">
        <v>37</v>
      </c>
      <c r="U38" t="s">
        <v>27</v>
      </c>
      <c r="V38">
        <f t="shared" si="0"/>
        <v>0.28333333333333333</v>
      </c>
      <c r="W38">
        <f t="shared" si="1"/>
        <v>4</v>
      </c>
      <c r="X38">
        <f t="shared" si="2"/>
        <v>30</v>
      </c>
      <c r="Y38">
        <f t="shared" si="3"/>
        <v>0.40833333333333333</v>
      </c>
      <c r="Z38" s="7" t="str">
        <f t="shared" si="4"/>
        <v>Low Sales</v>
      </c>
      <c r="AA38" s="7" t="str">
        <f t="shared" si="5"/>
        <v>High Margin</v>
      </c>
    </row>
    <row r="39" spans="1:27" x14ac:dyDescent="0.25">
      <c r="A39" t="s">
        <v>82</v>
      </c>
      <c r="B39">
        <v>54</v>
      </c>
      <c r="C39">
        <v>-6</v>
      </c>
      <c r="D39" s="1">
        <v>41219</v>
      </c>
      <c r="E39">
        <v>391</v>
      </c>
      <c r="F39">
        <v>67</v>
      </c>
      <c r="G39" t="s">
        <v>39</v>
      </c>
      <c r="H39" t="s">
        <v>22</v>
      </c>
      <c r="I39">
        <v>20</v>
      </c>
      <c r="J39" t="s">
        <v>40</v>
      </c>
      <c r="K39" t="s">
        <v>45</v>
      </c>
      <c r="L39" t="s">
        <v>50</v>
      </c>
      <c r="M39">
        <v>14</v>
      </c>
      <c r="N39">
        <v>121</v>
      </c>
      <c r="O39" t="s">
        <v>59</v>
      </c>
      <c r="P39">
        <v>50</v>
      </c>
      <c r="Q39">
        <v>60</v>
      </c>
      <c r="R39">
        <v>20</v>
      </c>
      <c r="S39">
        <v>110</v>
      </c>
      <c r="T39">
        <v>53</v>
      </c>
      <c r="U39" t="s">
        <v>35</v>
      </c>
      <c r="V39">
        <f t="shared" si="0"/>
        <v>0.11570247933884298</v>
      </c>
      <c r="W39">
        <f t="shared" si="1"/>
        <v>-6</v>
      </c>
      <c r="X39">
        <f t="shared" si="2"/>
        <v>11</v>
      </c>
      <c r="Y39">
        <f t="shared" si="3"/>
        <v>0.4462809917355372</v>
      </c>
      <c r="Z39" s="7" t="str">
        <f t="shared" si="4"/>
        <v>Low Sales</v>
      </c>
      <c r="AA39" s="7" t="str">
        <f t="shared" si="5"/>
        <v>Low Margin</v>
      </c>
    </row>
    <row r="40" spans="1:27" x14ac:dyDescent="0.25">
      <c r="A40" t="s">
        <v>78</v>
      </c>
      <c r="B40">
        <v>46</v>
      </c>
      <c r="C40">
        <v>-10</v>
      </c>
      <c r="D40" s="1">
        <v>41220</v>
      </c>
      <c r="E40">
        <v>316</v>
      </c>
      <c r="F40">
        <v>67</v>
      </c>
      <c r="G40" t="s">
        <v>39</v>
      </c>
      <c r="H40" t="s">
        <v>31</v>
      </c>
      <c r="I40">
        <v>14</v>
      </c>
      <c r="J40" t="s">
        <v>40</v>
      </c>
      <c r="K40" t="s">
        <v>45</v>
      </c>
      <c r="L40" t="s">
        <v>50</v>
      </c>
      <c r="M40">
        <v>30</v>
      </c>
      <c r="N40">
        <v>113</v>
      </c>
      <c r="O40" t="s">
        <v>51</v>
      </c>
      <c r="P40">
        <v>40</v>
      </c>
      <c r="Q40">
        <v>60</v>
      </c>
      <c r="R40">
        <v>40</v>
      </c>
      <c r="S40">
        <v>100</v>
      </c>
      <c r="T40">
        <v>37</v>
      </c>
      <c r="U40" t="s">
        <v>35</v>
      </c>
      <c r="V40">
        <f t="shared" si="0"/>
        <v>0.26548672566371684</v>
      </c>
      <c r="W40">
        <f t="shared" si="1"/>
        <v>-10</v>
      </c>
      <c r="X40">
        <f t="shared" si="2"/>
        <v>13</v>
      </c>
      <c r="Y40">
        <f t="shared" si="3"/>
        <v>0.40707964601769914</v>
      </c>
      <c r="Z40" s="7" t="str">
        <f t="shared" si="4"/>
        <v>Low Sales</v>
      </c>
      <c r="AA40" s="7" t="str">
        <f t="shared" si="5"/>
        <v>High Margin</v>
      </c>
    </row>
    <row r="41" spans="1:27" x14ac:dyDescent="0.25">
      <c r="A41" t="s">
        <v>78</v>
      </c>
      <c r="B41">
        <v>43</v>
      </c>
      <c r="C41">
        <v>-10</v>
      </c>
      <c r="D41" s="1">
        <v>41221</v>
      </c>
      <c r="E41">
        <v>452</v>
      </c>
      <c r="F41">
        <v>66</v>
      </c>
      <c r="G41" t="s">
        <v>39</v>
      </c>
      <c r="H41" t="s">
        <v>31</v>
      </c>
      <c r="I41">
        <v>14</v>
      </c>
      <c r="J41" t="s">
        <v>40</v>
      </c>
      <c r="K41" t="s">
        <v>45</v>
      </c>
      <c r="L41" t="s">
        <v>52</v>
      </c>
      <c r="M41">
        <v>20</v>
      </c>
      <c r="N41">
        <v>109</v>
      </c>
      <c r="O41" t="s">
        <v>51</v>
      </c>
      <c r="P41">
        <v>30</v>
      </c>
      <c r="Q41">
        <v>60</v>
      </c>
      <c r="R41">
        <v>30</v>
      </c>
      <c r="S41">
        <v>90</v>
      </c>
      <c r="T41">
        <v>46</v>
      </c>
      <c r="U41" t="s">
        <v>35</v>
      </c>
      <c r="V41">
        <f t="shared" si="0"/>
        <v>0.1834862385321101</v>
      </c>
      <c r="W41">
        <f t="shared" si="1"/>
        <v>-10</v>
      </c>
      <c r="X41">
        <f t="shared" si="2"/>
        <v>19</v>
      </c>
      <c r="Y41">
        <f t="shared" si="3"/>
        <v>0.39449541284403672</v>
      </c>
      <c r="Z41" s="7" t="str">
        <f t="shared" si="4"/>
        <v>Low Sales</v>
      </c>
      <c r="AA41" s="7" t="str">
        <f t="shared" si="5"/>
        <v>High Margin</v>
      </c>
    </row>
    <row r="42" spans="1:27" x14ac:dyDescent="0.25">
      <c r="A42" t="s">
        <v>78</v>
      </c>
      <c r="B42">
        <v>44</v>
      </c>
      <c r="C42">
        <v>-18</v>
      </c>
      <c r="D42" s="1">
        <v>41222</v>
      </c>
      <c r="E42">
        <v>325</v>
      </c>
      <c r="F42">
        <v>62</v>
      </c>
      <c r="G42" t="s">
        <v>39</v>
      </c>
      <c r="H42" t="s">
        <v>31</v>
      </c>
      <c r="I42">
        <v>40</v>
      </c>
      <c r="J42" t="s">
        <v>40</v>
      </c>
      <c r="K42" t="s">
        <v>41</v>
      </c>
      <c r="L42" t="s">
        <v>53</v>
      </c>
      <c r="M42">
        <v>-8</v>
      </c>
      <c r="N42">
        <v>106</v>
      </c>
      <c r="O42" t="s">
        <v>51</v>
      </c>
      <c r="P42">
        <v>40</v>
      </c>
      <c r="Q42">
        <v>60</v>
      </c>
      <c r="R42">
        <v>10</v>
      </c>
      <c r="S42">
        <v>100</v>
      </c>
      <c r="T42">
        <v>70</v>
      </c>
      <c r="U42" t="s">
        <v>35</v>
      </c>
      <c r="V42">
        <f t="shared" si="0"/>
        <v>-7.5471698113207544E-2</v>
      </c>
      <c r="W42">
        <f t="shared" si="1"/>
        <v>-18</v>
      </c>
      <c r="X42">
        <f t="shared" si="2"/>
        <v>6</v>
      </c>
      <c r="Y42">
        <f t="shared" si="3"/>
        <v>0.41509433962264153</v>
      </c>
      <c r="Z42" s="7" t="str">
        <f t="shared" si="4"/>
        <v>Low Sales</v>
      </c>
      <c r="AA42" s="7" t="str">
        <f t="shared" si="5"/>
        <v>Low Margin</v>
      </c>
    </row>
    <row r="43" spans="1:27" x14ac:dyDescent="0.25">
      <c r="A43" t="s">
        <v>97</v>
      </c>
      <c r="B43">
        <v>53</v>
      </c>
      <c r="C43">
        <v>19</v>
      </c>
      <c r="D43" s="1">
        <v>41223</v>
      </c>
      <c r="E43">
        <v>321</v>
      </c>
      <c r="F43">
        <v>88</v>
      </c>
      <c r="G43" t="s">
        <v>39</v>
      </c>
      <c r="H43" t="s">
        <v>29</v>
      </c>
      <c r="I43">
        <v>16</v>
      </c>
      <c r="J43" t="s">
        <v>40</v>
      </c>
      <c r="K43" t="s">
        <v>41</v>
      </c>
      <c r="L43" t="s">
        <v>53</v>
      </c>
      <c r="M43">
        <v>49</v>
      </c>
      <c r="N43">
        <v>141</v>
      </c>
      <c r="O43" t="s">
        <v>55</v>
      </c>
      <c r="P43">
        <v>40</v>
      </c>
      <c r="Q43">
        <v>60</v>
      </c>
      <c r="R43">
        <v>30</v>
      </c>
      <c r="S43">
        <v>100</v>
      </c>
      <c r="T43">
        <v>39</v>
      </c>
      <c r="U43" t="s">
        <v>35</v>
      </c>
      <c r="V43">
        <f t="shared" si="0"/>
        <v>0.3475177304964539</v>
      </c>
      <c r="W43">
        <f t="shared" si="1"/>
        <v>19</v>
      </c>
      <c r="X43">
        <f t="shared" si="2"/>
        <v>41</v>
      </c>
      <c r="Y43">
        <f t="shared" si="3"/>
        <v>0.37588652482269502</v>
      </c>
      <c r="Z43" s="7" t="str">
        <f t="shared" si="4"/>
        <v>Low Sales</v>
      </c>
      <c r="AA43" s="7" t="str">
        <f t="shared" si="5"/>
        <v>High Margin</v>
      </c>
    </row>
    <row r="44" spans="1:27" x14ac:dyDescent="0.25">
      <c r="A44" t="s">
        <v>84</v>
      </c>
      <c r="B44">
        <v>54</v>
      </c>
      <c r="C44">
        <v>-7</v>
      </c>
      <c r="D44" s="1">
        <v>41224</v>
      </c>
      <c r="E44">
        <v>391</v>
      </c>
      <c r="F44">
        <v>67</v>
      </c>
      <c r="G44" t="s">
        <v>39</v>
      </c>
      <c r="H44" t="s">
        <v>36</v>
      </c>
      <c r="I44">
        <v>20</v>
      </c>
      <c r="J44" t="s">
        <v>40</v>
      </c>
      <c r="K44" t="s">
        <v>41</v>
      </c>
      <c r="L44" t="s">
        <v>53</v>
      </c>
      <c r="M44">
        <v>13</v>
      </c>
      <c r="N44">
        <v>121</v>
      </c>
      <c r="O44" t="s">
        <v>60</v>
      </c>
      <c r="P44">
        <v>50</v>
      </c>
      <c r="Q44">
        <v>60</v>
      </c>
      <c r="R44">
        <v>20</v>
      </c>
      <c r="S44">
        <v>110</v>
      </c>
      <c r="T44">
        <v>54</v>
      </c>
      <c r="U44" t="s">
        <v>35</v>
      </c>
      <c r="V44">
        <f t="shared" si="0"/>
        <v>0.10743801652892562</v>
      </c>
      <c r="W44">
        <f t="shared" si="1"/>
        <v>-7</v>
      </c>
      <c r="X44">
        <f t="shared" si="2"/>
        <v>11</v>
      </c>
      <c r="Y44">
        <f t="shared" si="3"/>
        <v>0.4462809917355372</v>
      </c>
      <c r="Z44" s="7" t="str">
        <f t="shared" si="4"/>
        <v>Low Sales</v>
      </c>
      <c r="AA44" s="7" t="str">
        <f t="shared" si="5"/>
        <v>Low Margin</v>
      </c>
    </row>
    <row r="45" spans="1:27" x14ac:dyDescent="0.25">
      <c r="A45" t="s">
        <v>75</v>
      </c>
      <c r="B45">
        <v>54</v>
      </c>
      <c r="C45">
        <v>-7</v>
      </c>
      <c r="D45" s="1">
        <v>41225</v>
      </c>
      <c r="E45">
        <v>391</v>
      </c>
      <c r="F45">
        <v>67</v>
      </c>
      <c r="G45" t="s">
        <v>39</v>
      </c>
      <c r="H45" t="s">
        <v>29</v>
      </c>
      <c r="I45">
        <v>20</v>
      </c>
      <c r="J45" t="s">
        <v>23</v>
      </c>
      <c r="K45" t="s">
        <v>24</v>
      </c>
      <c r="L45" t="s">
        <v>57</v>
      </c>
      <c r="M45">
        <v>13</v>
      </c>
      <c r="N45">
        <v>121</v>
      </c>
      <c r="O45" t="s">
        <v>47</v>
      </c>
      <c r="P45">
        <v>50</v>
      </c>
      <c r="Q45">
        <v>60</v>
      </c>
      <c r="R45">
        <v>20</v>
      </c>
      <c r="S45">
        <v>110</v>
      </c>
      <c r="T45">
        <v>54</v>
      </c>
      <c r="U45" t="s">
        <v>27</v>
      </c>
      <c r="V45">
        <f t="shared" si="0"/>
        <v>0.10743801652892562</v>
      </c>
      <c r="W45">
        <f t="shared" si="1"/>
        <v>-7</v>
      </c>
      <c r="X45">
        <f t="shared" si="2"/>
        <v>11</v>
      </c>
      <c r="Y45">
        <f t="shared" si="3"/>
        <v>0.4462809917355372</v>
      </c>
      <c r="Z45" s="7" t="str">
        <f t="shared" si="4"/>
        <v>Low Sales</v>
      </c>
      <c r="AA45" s="7" t="str">
        <f t="shared" si="5"/>
        <v>Low Margin</v>
      </c>
    </row>
    <row r="46" spans="1:27" x14ac:dyDescent="0.25">
      <c r="A46" t="s">
        <v>83</v>
      </c>
      <c r="B46">
        <v>46</v>
      </c>
      <c r="C46">
        <v>0</v>
      </c>
      <c r="D46" s="1">
        <v>41226</v>
      </c>
      <c r="E46">
        <v>316</v>
      </c>
      <c r="F46">
        <v>67</v>
      </c>
      <c r="G46" t="s">
        <v>39</v>
      </c>
      <c r="H46" t="s">
        <v>36</v>
      </c>
      <c r="I46">
        <v>14</v>
      </c>
      <c r="J46" t="s">
        <v>23</v>
      </c>
      <c r="K46" t="s">
        <v>24</v>
      </c>
      <c r="L46" t="s">
        <v>57</v>
      </c>
      <c r="M46">
        <v>30</v>
      </c>
      <c r="N46">
        <v>113</v>
      </c>
      <c r="O46" t="s">
        <v>49</v>
      </c>
      <c r="P46">
        <v>40</v>
      </c>
      <c r="Q46">
        <v>60</v>
      </c>
      <c r="R46">
        <v>30</v>
      </c>
      <c r="S46">
        <v>100</v>
      </c>
      <c r="T46">
        <v>37</v>
      </c>
      <c r="U46" t="s">
        <v>27</v>
      </c>
      <c r="V46">
        <f t="shared" si="0"/>
        <v>0.26548672566371684</v>
      </c>
      <c r="W46">
        <f t="shared" si="1"/>
        <v>0</v>
      </c>
      <c r="X46">
        <f t="shared" si="2"/>
        <v>13</v>
      </c>
      <c r="Y46">
        <f t="shared" si="3"/>
        <v>0.40707964601769914</v>
      </c>
      <c r="Z46" s="7" t="str">
        <f t="shared" si="4"/>
        <v>Low Sales</v>
      </c>
      <c r="AA46" s="7" t="str">
        <f t="shared" si="5"/>
        <v>High Margin</v>
      </c>
    </row>
    <row r="47" spans="1:27" x14ac:dyDescent="0.25">
      <c r="A47" t="s">
        <v>77</v>
      </c>
      <c r="B47">
        <v>43</v>
      </c>
      <c r="C47">
        <v>-10</v>
      </c>
      <c r="D47" s="1">
        <v>41227</v>
      </c>
      <c r="E47">
        <v>452</v>
      </c>
      <c r="F47">
        <v>66</v>
      </c>
      <c r="G47" t="s">
        <v>39</v>
      </c>
      <c r="H47" t="s">
        <v>36</v>
      </c>
      <c r="I47">
        <v>14</v>
      </c>
      <c r="J47" t="s">
        <v>23</v>
      </c>
      <c r="K47" t="s">
        <v>24</v>
      </c>
      <c r="L47" t="s">
        <v>25</v>
      </c>
      <c r="M47">
        <v>20</v>
      </c>
      <c r="N47">
        <v>109</v>
      </c>
      <c r="O47" t="s">
        <v>49</v>
      </c>
      <c r="P47">
        <v>40</v>
      </c>
      <c r="Q47">
        <v>60</v>
      </c>
      <c r="R47">
        <v>30</v>
      </c>
      <c r="S47">
        <v>100</v>
      </c>
      <c r="T47">
        <v>46</v>
      </c>
      <c r="U47" t="s">
        <v>27</v>
      </c>
      <c r="V47">
        <f t="shared" si="0"/>
        <v>0.1834862385321101</v>
      </c>
      <c r="W47">
        <f t="shared" si="1"/>
        <v>-10</v>
      </c>
      <c r="X47">
        <f t="shared" si="2"/>
        <v>9</v>
      </c>
      <c r="Y47">
        <f t="shared" si="3"/>
        <v>0.39449541284403672</v>
      </c>
      <c r="Z47" s="7" t="str">
        <f t="shared" si="4"/>
        <v>Low Sales</v>
      </c>
      <c r="AA47" s="7" t="str">
        <f t="shared" si="5"/>
        <v>High Margin</v>
      </c>
    </row>
    <row r="48" spans="1:27" x14ac:dyDescent="0.25">
      <c r="A48" t="s">
        <v>98</v>
      </c>
      <c r="B48">
        <v>47</v>
      </c>
      <c r="C48">
        <v>4</v>
      </c>
      <c r="D48" s="1">
        <v>41228</v>
      </c>
      <c r="E48">
        <v>834</v>
      </c>
      <c r="F48">
        <v>68</v>
      </c>
      <c r="G48" t="s">
        <v>39</v>
      </c>
      <c r="H48" t="s">
        <v>36</v>
      </c>
      <c r="I48">
        <v>13</v>
      </c>
      <c r="J48" t="s">
        <v>23</v>
      </c>
      <c r="K48" t="s">
        <v>24</v>
      </c>
      <c r="L48" t="s">
        <v>25</v>
      </c>
      <c r="M48">
        <v>44</v>
      </c>
      <c r="N48">
        <v>115</v>
      </c>
      <c r="O48" t="s">
        <v>60</v>
      </c>
      <c r="P48">
        <v>40</v>
      </c>
      <c r="Q48">
        <v>60</v>
      </c>
      <c r="R48">
        <v>40</v>
      </c>
      <c r="S48">
        <v>100</v>
      </c>
      <c r="T48">
        <v>24</v>
      </c>
      <c r="U48" t="s">
        <v>27</v>
      </c>
      <c r="V48">
        <f t="shared" si="0"/>
        <v>0.38260869565217392</v>
      </c>
      <c r="W48">
        <f t="shared" si="1"/>
        <v>4</v>
      </c>
      <c r="X48">
        <f t="shared" si="2"/>
        <v>15</v>
      </c>
      <c r="Y48">
        <f t="shared" si="3"/>
        <v>0.40869565217391307</v>
      </c>
      <c r="Z48" s="7" t="str">
        <f t="shared" si="4"/>
        <v>Low Sales</v>
      </c>
      <c r="AA48" s="7" t="str">
        <f t="shared" si="5"/>
        <v>High Margin</v>
      </c>
    </row>
    <row r="49" spans="1:27" x14ac:dyDescent="0.25">
      <c r="A49" t="s">
        <v>99</v>
      </c>
      <c r="B49">
        <v>36</v>
      </c>
      <c r="C49">
        <v>-7</v>
      </c>
      <c r="D49" s="1">
        <v>41229</v>
      </c>
      <c r="E49">
        <v>809</v>
      </c>
      <c r="F49">
        <v>54</v>
      </c>
      <c r="G49" t="s">
        <v>39</v>
      </c>
      <c r="H49" t="s">
        <v>31</v>
      </c>
      <c r="I49">
        <v>10</v>
      </c>
      <c r="J49" t="s">
        <v>23</v>
      </c>
      <c r="K49" t="s">
        <v>32</v>
      </c>
      <c r="L49" t="s">
        <v>37</v>
      </c>
      <c r="M49">
        <v>33</v>
      </c>
      <c r="N49">
        <v>90</v>
      </c>
      <c r="O49" t="s">
        <v>44</v>
      </c>
      <c r="P49">
        <v>30</v>
      </c>
      <c r="Q49">
        <v>60</v>
      </c>
      <c r="R49">
        <v>40</v>
      </c>
      <c r="S49">
        <v>90</v>
      </c>
      <c r="T49">
        <v>21</v>
      </c>
      <c r="U49" t="s">
        <v>35</v>
      </c>
      <c r="V49">
        <f t="shared" si="0"/>
        <v>0.36666666666666664</v>
      </c>
      <c r="W49">
        <f t="shared" si="1"/>
        <v>-7</v>
      </c>
      <c r="X49">
        <f t="shared" si="2"/>
        <v>0</v>
      </c>
      <c r="Y49">
        <f t="shared" si="3"/>
        <v>0.4</v>
      </c>
      <c r="Z49" s="7" t="str">
        <f t="shared" si="4"/>
        <v>Low Sales</v>
      </c>
      <c r="AA49" s="7" t="str">
        <f t="shared" si="5"/>
        <v>High Margin</v>
      </c>
    </row>
    <row r="50" spans="1:27" x14ac:dyDescent="0.25">
      <c r="A50" t="s">
        <v>100</v>
      </c>
      <c r="B50">
        <v>61</v>
      </c>
      <c r="C50">
        <v>1</v>
      </c>
      <c r="D50" s="1">
        <v>41230</v>
      </c>
      <c r="E50">
        <v>613</v>
      </c>
      <c r="F50">
        <v>86</v>
      </c>
      <c r="G50" t="s">
        <v>39</v>
      </c>
      <c r="H50" t="s">
        <v>36</v>
      </c>
      <c r="I50">
        <v>55</v>
      </c>
      <c r="J50" t="s">
        <v>23</v>
      </c>
      <c r="K50" t="s">
        <v>32</v>
      </c>
      <c r="L50" t="s">
        <v>37</v>
      </c>
      <c r="M50">
        <v>1</v>
      </c>
      <c r="N50">
        <v>147</v>
      </c>
      <c r="O50" t="s">
        <v>60</v>
      </c>
      <c r="P50">
        <v>40</v>
      </c>
      <c r="Q50">
        <v>60</v>
      </c>
      <c r="R50">
        <v>0</v>
      </c>
      <c r="S50">
        <v>100</v>
      </c>
      <c r="T50">
        <v>85</v>
      </c>
      <c r="U50" t="s">
        <v>35</v>
      </c>
      <c r="V50">
        <f t="shared" si="0"/>
        <v>6.8027210884353739E-3</v>
      </c>
      <c r="W50">
        <f t="shared" si="1"/>
        <v>1</v>
      </c>
      <c r="X50">
        <f t="shared" si="2"/>
        <v>47</v>
      </c>
      <c r="Y50">
        <f t="shared" si="3"/>
        <v>0.41496598639455784</v>
      </c>
      <c r="Z50" s="7" t="str">
        <f t="shared" si="4"/>
        <v>Low Sales</v>
      </c>
      <c r="AA50" s="7" t="str">
        <f t="shared" si="5"/>
        <v>Low Margin</v>
      </c>
    </row>
    <row r="51" spans="1:27" x14ac:dyDescent="0.25">
      <c r="A51" t="s">
        <v>101</v>
      </c>
      <c r="B51">
        <v>43</v>
      </c>
      <c r="C51">
        <v>-10</v>
      </c>
      <c r="D51" s="1">
        <v>41231</v>
      </c>
      <c r="E51">
        <v>531</v>
      </c>
      <c r="F51">
        <v>56</v>
      </c>
      <c r="G51" t="s">
        <v>21</v>
      </c>
      <c r="H51" t="s">
        <v>29</v>
      </c>
      <c r="I51">
        <v>14</v>
      </c>
      <c r="J51" t="s">
        <v>40</v>
      </c>
      <c r="K51" t="s">
        <v>45</v>
      </c>
      <c r="L51" t="s">
        <v>46</v>
      </c>
      <c r="M51">
        <v>30</v>
      </c>
      <c r="N51">
        <v>99</v>
      </c>
      <c r="O51" t="s">
        <v>30</v>
      </c>
      <c r="P51">
        <v>50</v>
      </c>
      <c r="Q51">
        <v>60</v>
      </c>
      <c r="R51">
        <v>40</v>
      </c>
      <c r="S51">
        <v>110</v>
      </c>
      <c r="T51">
        <v>26</v>
      </c>
      <c r="U51" t="s">
        <v>27</v>
      </c>
      <c r="V51">
        <f t="shared" si="0"/>
        <v>0.30303030303030304</v>
      </c>
      <c r="W51">
        <f t="shared" si="1"/>
        <v>-10</v>
      </c>
      <c r="X51">
        <f t="shared" si="2"/>
        <v>-11</v>
      </c>
      <c r="Y51">
        <f t="shared" si="3"/>
        <v>0.43434343434343436</v>
      </c>
      <c r="Z51" s="7" t="str">
        <f t="shared" si="4"/>
        <v>Low Sales</v>
      </c>
      <c r="AA51" s="7" t="str">
        <f t="shared" si="5"/>
        <v>High Margin</v>
      </c>
    </row>
    <row r="52" spans="1:27" x14ac:dyDescent="0.25">
      <c r="A52" t="s">
        <v>102</v>
      </c>
      <c r="B52">
        <v>54</v>
      </c>
      <c r="C52">
        <v>12</v>
      </c>
      <c r="D52" s="1">
        <v>41232</v>
      </c>
      <c r="E52">
        <v>601</v>
      </c>
      <c r="F52">
        <v>79</v>
      </c>
      <c r="G52" t="s">
        <v>21</v>
      </c>
      <c r="H52" t="s">
        <v>29</v>
      </c>
      <c r="I52">
        <v>15</v>
      </c>
      <c r="J52" t="s">
        <v>40</v>
      </c>
      <c r="K52" t="s">
        <v>41</v>
      </c>
      <c r="L52" t="s">
        <v>42</v>
      </c>
      <c r="M52">
        <v>52</v>
      </c>
      <c r="N52">
        <v>133</v>
      </c>
      <c r="O52" t="s">
        <v>30</v>
      </c>
      <c r="P52">
        <v>40</v>
      </c>
      <c r="Q52">
        <v>60</v>
      </c>
      <c r="R52">
        <v>40</v>
      </c>
      <c r="S52">
        <v>100</v>
      </c>
      <c r="T52">
        <v>27</v>
      </c>
      <c r="U52" t="s">
        <v>27</v>
      </c>
      <c r="V52">
        <f t="shared" si="0"/>
        <v>0.39097744360902253</v>
      </c>
      <c r="W52">
        <f t="shared" si="1"/>
        <v>12</v>
      </c>
      <c r="X52">
        <f t="shared" si="2"/>
        <v>33</v>
      </c>
      <c r="Y52">
        <f t="shared" si="3"/>
        <v>0.40601503759398494</v>
      </c>
      <c r="Z52" s="7" t="str">
        <f t="shared" si="4"/>
        <v>Low Sales</v>
      </c>
      <c r="AA52" s="7" t="str">
        <f t="shared" si="5"/>
        <v>High Margin</v>
      </c>
    </row>
    <row r="53" spans="1:27" x14ac:dyDescent="0.25">
      <c r="A53" t="s">
        <v>69</v>
      </c>
      <c r="B53">
        <v>47</v>
      </c>
      <c r="C53">
        <v>-6</v>
      </c>
      <c r="D53" s="1">
        <v>41233</v>
      </c>
      <c r="E53">
        <v>521</v>
      </c>
      <c r="F53">
        <v>65</v>
      </c>
      <c r="G53" t="s">
        <v>21</v>
      </c>
      <c r="H53" t="s">
        <v>22</v>
      </c>
      <c r="I53">
        <v>42</v>
      </c>
      <c r="J53" t="s">
        <v>23</v>
      </c>
      <c r="K53" t="s">
        <v>24</v>
      </c>
      <c r="L53" t="s">
        <v>25</v>
      </c>
      <c r="M53">
        <v>-6</v>
      </c>
      <c r="N53">
        <v>112</v>
      </c>
      <c r="O53" t="s">
        <v>26</v>
      </c>
      <c r="P53">
        <v>40</v>
      </c>
      <c r="Q53">
        <v>60</v>
      </c>
      <c r="R53">
        <v>0</v>
      </c>
      <c r="S53">
        <v>100</v>
      </c>
      <c r="T53">
        <v>71</v>
      </c>
      <c r="U53" t="s">
        <v>27</v>
      </c>
      <c r="V53">
        <f t="shared" si="0"/>
        <v>-5.3571428571428568E-2</v>
      </c>
      <c r="W53">
        <f t="shared" si="1"/>
        <v>-6</v>
      </c>
      <c r="X53">
        <f t="shared" si="2"/>
        <v>12</v>
      </c>
      <c r="Y53">
        <f t="shared" si="3"/>
        <v>0.41964285714285715</v>
      </c>
      <c r="Z53" s="7" t="str">
        <f t="shared" si="4"/>
        <v>Low Sales</v>
      </c>
      <c r="AA53" s="7" t="str">
        <f t="shared" si="5"/>
        <v>Low Margin</v>
      </c>
    </row>
    <row r="54" spans="1:27" x14ac:dyDescent="0.25">
      <c r="A54" t="s">
        <v>68</v>
      </c>
      <c r="B54">
        <v>54</v>
      </c>
      <c r="C54">
        <v>-1</v>
      </c>
      <c r="D54" s="1">
        <v>41234</v>
      </c>
      <c r="E54">
        <v>424</v>
      </c>
      <c r="F54">
        <v>73</v>
      </c>
      <c r="G54" t="s">
        <v>21</v>
      </c>
      <c r="H54" t="s">
        <v>22</v>
      </c>
      <c r="I54">
        <v>17</v>
      </c>
      <c r="J54" t="s">
        <v>23</v>
      </c>
      <c r="K54" t="s">
        <v>24</v>
      </c>
      <c r="L54" t="s">
        <v>28</v>
      </c>
      <c r="M54">
        <v>29</v>
      </c>
      <c r="N54">
        <v>127</v>
      </c>
      <c r="O54" t="s">
        <v>26</v>
      </c>
      <c r="P54">
        <v>50</v>
      </c>
      <c r="Q54">
        <v>60</v>
      </c>
      <c r="R54">
        <v>30</v>
      </c>
      <c r="S54">
        <v>110</v>
      </c>
      <c r="T54">
        <v>44</v>
      </c>
      <c r="U54" t="s">
        <v>27</v>
      </c>
      <c r="V54">
        <f t="shared" si="0"/>
        <v>0.2283464566929134</v>
      </c>
      <c r="W54">
        <f t="shared" si="1"/>
        <v>-1</v>
      </c>
      <c r="X54">
        <f t="shared" si="2"/>
        <v>17</v>
      </c>
      <c r="Y54">
        <f t="shared" si="3"/>
        <v>0.42519685039370081</v>
      </c>
      <c r="Z54" s="7" t="str">
        <f t="shared" si="4"/>
        <v>Low Sales</v>
      </c>
      <c r="AA54" s="7" t="str">
        <f t="shared" si="5"/>
        <v>High Margin</v>
      </c>
    </row>
    <row r="55" spans="1:27" x14ac:dyDescent="0.25">
      <c r="A55" t="s">
        <v>89</v>
      </c>
      <c r="B55">
        <v>65</v>
      </c>
      <c r="C55">
        <v>3</v>
      </c>
      <c r="D55" s="1">
        <v>41235</v>
      </c>
      <c r="E55">
        <v>403</v>
      </c>
      <c r="F55">
        <v>80</v>
      </c>
      <c r="G55" t="s">
        <v>21</v>
      </c>
      <c r="H55" t="s">
        <v>31</v>
      </c>
      <c r="I55">
        <v>24</v>
      </c>
      <c r="J55" t="s">
        <v>23</v>
      </c>
      <c r="K55" t="s">
        <v>24</v>
      </c>
      <c r="L55" t="s">
        <v>25</v>
      </c>
      <c r="M55">
        <v>23</v>
      </c>
      <c r="N55">
        <v>145</v>
      </c>
      <c r="O55" t="s">
        <v>34</v>
      </c>
      <c r="P55">
        <v>40</v>
      </c>
      <c r="Q55">
        <v>60</v>
      </c>
      <c r="R55">
        <v>20</v>
      </c>
      <c r="S55">
        <v>100</v>
      </c>
      <c r="T55">
        <v>57</v>
      </c>
      <c r="U55" t="s">
        <v>27</v>
      </c>
      <c r="V55">
        <f t="shared" si="0"/>
        <v>0.15862068965517243</v>
      </c>
      <c r="W55">
        <f t="shared" si="1"/>
        <v>3</v>
      </c>
      <c r="X55">
        <f t="shared" si="2"/>
        <v>45</v>
      </c>
      <c r="Y55">
        <f t="shared" si="3"/>
        <v>0.44827586206896552</v>
      </c>
      <c r="Z55" s="7" t="str">
        <f t="shared" si="4"/>
        <v>Low Sales</v>
      </c>
      <c r="AA55" s="7" t="str">
        <f t="shared" si="5"/>
        <v>High Margin</v>
      </c>
    </row>
    <row r="56" spans="1:27" x14ac:dyDescent="0.25">
      <c r="A56" t="s">
        <v>103</v>
      </c>
      <c r="B56">
        <v>80</v>
      </c>
      <c r="C56">
        <v>20</v>
      </c>
      <c r="D56" s="1">
        <v>41236</v>
      </c>
      <c r="E56">
        <v>1079</v>
      </c>
      <c r="F56">
        <v>96</v>
      </c>
      <c r="G56" t="s">
        <v>21</v>
      </c>
      <c r="H56" t="s">
        <v>31</v>
      </c>
      <c r="I56">
        <v>24</v>
      </c>
      <c r="J56" t="s">
        <v>23</v>
      </c>
      <c r="K56" t="s">
        <v>24</v>
      </c>
      <c r="L56" t="s">
        <v>28</v>
      </c>
      <c r="M56">
        <v>50</v>
      </c>
      <c r="N56">
        <v>176</v>
      </c>
      <c r="O56" t="s">
        <v>34</v>
      </c>
      <c r="P56">
        <v>60</v>
      </c>
      <c r="Q56">
        <v>60</v>
      </c>
      <c r="R56">
        <v>30</v>
      </c>
      <c r="S56">
        <v>120</v>
      </c>
      <c r="T56">
        <v>46</v>
      </c>
      <c r="U56" t="s">
        <v>27</v>
      </c>
      <c r="V56">
        <f t="shared" si="0"/>
        <v>0.28409090909090912</v>
      </c>
      <c r="W56">
        <f t="shared" si="1"/>
        <v>20</v>
      </c>
      <c r="X56">
        <f t="shared" si="2"/>
        <v>56</v>
      </c>
      <c r="Y56">
        <f t="shared" si="3"/>
        <v>0.45454545454545453</v>
      </c>
      <c r="Z56" s="7" t="str">
        <f t="shared" si="4"/>
        <v>Low Sales</v>
      </c>
      <c r="AA56" s="7" t="str">
        <f t="shared" si="5"/>
        <v>High Margin</v>
      </c>
    </row>
    <row r="57" spans="1:27" x14ac:dyDescent="0.25">
      <c r="A57" t="s">
        <v>104</v>
      </c>
      <c r="B57">
        <v>54</v>
      </c>
      <c r="C57">
        <v>-2</v>
      </c>
      <c r="D57" s="1">
        <v>41237</v>
      </c>
      <c r="E57">
        <v>424</v>
      </c>
      <c r="F57">
        <v>73</v>
      </c>
      <c r="G57" t="s">
        <v>21</v>
      </c>
      <c r="H57" t="s">
        <v>29</v>
      </c>
      <c r="I57">
        <v>17</v>
      </c>
      <c r="J57" t="s">
        <v>23</v>
      </c>
      <c r="K57" t="s">
        <v>24</v>
      </c>
      <c r="L57" t="s">
        <v>57</v>
      </c>
      <c r="M57">
        <v>28</v>
      </c>
      <c r="N57">
        <v>127</v>
      </c>
      <c r="O57" t="s">
        <v>30</v>
      </c>
      <c r="P57">
        <v>50</v>
      </c>
      <c r="Q57">
        <v>60</v>
      </c>
      <c r="R57">
        <v>30</v>
      </c>
      <c r="S57">
        <v>110</v>
      </c>
      <c r="T57">
        <v>45</v>
      </c>
      <c r="U57" t="s">
        <v>27</v>
      </c>
      <c r="V57">
        <f t="shared" si="0"/>
        <v>0.22047244094488189</v>
      </c>
      <c r="W57">
        <f t="shared" si="1"/>
        <v>-2</v>
      </c>
      <c r="X57">
        <f t="shared" si="2"/>
        <v>17</v>
      </c>
      <c r="Y57">
        <f t="shared" si="3"/>
        <v>0.42519685039370081</v>
      </c>
      <c r="Z57" s="7" t="str">
        <f t="shared" si="4"/>
        <v>Low Sales</v>
      </c>
      <c r="AA57" s="7" t="str">
        <f t="shared" si="5"/>
        <v>High Margin</v>
      </c>
    </row>
    <row r="58" spans="1:27" x14ac:dyDescent="0.25">
      <c r="A58" t="s">
        <v>102</v>
      </c>
      <c r="B58">
        <v>41</v>
      </c>
      <c r="C58">
        <v>-6</v>
      </c>
      <c r="D58" s="1">
        <v>41238</v>
      </c>
      <c r="E58">
        <v>435</v>
      </c>
      <c r="F58">
        <v>60</v>
      </c>
      <c r="G58" t="s">
        <v>21</v>
      </c>
      <c r="H58" t="s">
        <v>29</v>
      </c>
      <c r="I58">
        <v>13</v>
      </c>
      <c r="J58" t="s">
        <v>23</v>
      </c>
      <c r="K58" t="s">
        <v>24</v>
      </c>
      <c r="L58" t="s">
        <v>25</v>
      </c>
      <c r="M58">
        <v>24</v>
      </c>
      <c r="N58">
        <v>101</v>
      </c>
      <c r="O58" t="s">
        <v>30</v>
      </c>
      <c r="P58">
        <v>30</v>
      </c>
      <c r="Q58">
        <v>60</v>
      </c>
      <c r="R58">
        <v>30</v>
      </c>
      <c r="S58">
        <v>90</v>
      </c>
      <c r="T58">
        <v>36</v>
      </c>
      <c r="U58" t="s">
        <v>27</v>
      </c>
      <c r="V58">
        <f t="shared" si="0"/>
        <v>0.23762376237623761</v>
      </c>
      <c r="W58">
        <f t="shared" si="1"/>
        <v>-6</v>
      </c>
      <c r="X58">
        <f t="shared" si="2"/>
        <v>11</v>
      </c>
      <c r="Y58">
        <f t="shared" si="3"/>
        <v>0.40594059405940597</v>
      </c>
      <c r="Z58" s="7" t="str">
        <f t="shared" si="4"/>
        <v>Low Sales</v>
      </c>
      <c r="AA58" s="7" t="str">
        <f t="shared" si="5"/>
        <v>High Margin</v>
      </c>
    </row>
    <row r="59" spans="1:27" x14ac:dyDescent="0.25">
      <c r="A59" t="s">
        <v>105</v>
      </c>
      <c r="B59">
        <v>54</v>
      </c>
      <c r="C59">
        <v>3</v>
      </c>
      <c r="D59" s="1">
        <v>41239</v>
      </c>
      <c r="E59">
        <v>601</v>
      </c>
      <c r="F59">
        <v>79</v>
      </c>
      <c r="G59" t="s">
        <v>21</v>
      </c>
      <c r="H59" t="s">
        <v>36</v>
      </c>
      <c r="I59">
        <v>15</v>
      </c>
      <c r="J59" t="s">
        <v>23</v>
      </c>
      <c r="K59" t="s">
        <v>32</v>
      </c>
      <c r="L59" t="s">
        <v>61</v>
      </c>
      <c r="M59">
        <v>53</v>
      </c>
      <c r="N59">
        <v>133</v>
      </c>
      <c r="O59" t="s">
        <v>38</v>
      </c>
      <c r="P59">
        <v>30</v>
      </c>
      <c r="Q59">
        <v>60</v>
      </c>
      <c r="R59">
        <v>50</v>
      </c>
      <c r="S59">
        <v>90</v>
      </c>
      <c r="T59">
        <v>26</v>
      </c>
      <c r="U59" t="s">
        <v>35</v>
      </c>
      <c r="V59">
        <f t="shared" si="0"/>
        <v>0.39849624060150374</v>
      </c>
      <c r="W59">
        <f t="shared" si="1"/>
        <v>3</v>
      </c>
      <c r="X59">
        <f t="shared" si="2"/>
        <v>43</v>
      </c>
      <c r="Y59">
        <f t="shared" si="3"/>
        <v>0.40601503759398494</v>
      </c>
      <c r="Z59" s="7" t="str">
        <f t="shared" si="4"/>
        <v>Low Sales</v>
      </c>
      <c r="AA59" s="7" t="str">
        <f t="shared" si="5"/>
        <v>High Margin</v>
      </c>
    </row>
    <row r="60" spans="1:27" x14ac:dyDescent="0.25">
      <c r="A60" t="s">
        <v>94</v>
      </c>
      <c r="B60">
        <v>31</v>
      </c>
      <c r="C60">
        <v>-23</v>
      </c>
      <c r="D60" s="1">
        <v>41240</v>
      </c>
      <c r="E60">
        <v>844</v>
      </c>
      <c r="F60">
        <v>46</v>
      </c>
      <c r="G60" t="s">
        <v>39</v>
      </c>
      <c r="H60" t="s">
        <v>22</v>
      </c>
      <c r="I60">
        <v>8</v>
      </c>
      <c r="J60" t="s">
        <v>40</v>
      </c>
      <c r="K60" t="s">
        <v>41</v>
      </c>
      <c r="L60" t="s">
        <v>42</v>
      </c>
      <c r="M60">
        <v>27</v>
      </c>
      <c r="N60">
        <v>77</v>
      </c>
      <c r="O60" t="s">
        <v>58</v>
      </c>
      <c r="P60">
        <v>30</v>
      </c>
      <c r="Q60">
        <v>60</v>
      </c>
      <c r="R60">
        <v>50</v>
      </c>
      <c r="S60">
        <v>90</v>
      </c>
      <c r="T60">
        <v>19</v>
      </c>
      <c r="U60" t="s">
        <v>27</v>
      </c>
      <c r="V60">
        <f t="shared" si="0"/>
        <v>0.35064935064935066</v>
      </c>
      <c r="W60">
        <f t="shared" si="1"/>
        <v>-23</v>
      </c>
      <c r="X60">
        <f t="shared" si="2"/>
        <v>-13</v>
      </c>
      <c r="Y60">
        <f t="shared" si="3"/>
        <v>0.40259740259740262</v>
      </c>
      <c r="Z60" s="7" t="str">
        <f t="shared" si="4"/>
        <v>Low Sales</v>
      </c>
      <c r="AA60" s="7" t="str">
        <f t="shared" si="5"/>
        <v>High Margin</v>
      </c>
    </row>
    <row r="61" spans="1:27" x14ac:dyDescent="0.25">
      <c r="A61" t="s">
        <v>97</v>
      </c>
      <c r="B61">
        <v>34</v>
      </c>
      <c r="C61">
        <v>-19</v>
      </c>
      <c r="D61" s="1">
        <v>41241</v>
      </c>
      <c r="E61">
        <v>863</v>
      </c>
      <c r="F61">
        <v>51</v>
      </c>
      <c r="G61" t="s">
        <v>39</v>
      </c>
      <c r="H61" t="s">
        <v>29</v>
      </c>
      <c r="I61">
        <v>9</v>
      </c>
      <c r="J61" t="s">
        <v>40</v>
      </c>
      <c r="K61" t="s">
        <v>45</v>
      </c>
      <c r="L61" t="s">
        <v>46</v>
      </c>
      <c r="M61">
        <v>31</v>
      </c>
      <c r="N61">
        <v>85</v>
      </c>
      <c r="O61" t="s">
        <v>55</v>
      </c>
      <c r="P61">
        <v>40</v>
      </c>
      <c r="Q61">
        <v>60</v>
      </c>
      <c r="R61">
        <v>50</v>
      </c>
      <c r="S61">
        <v>100</v>
      </c>
      <c r="T61">
        <v>20</v>
      </c>
      <c r="U61" t="s">
        <v>27</v>
      </c>
      <c r="V61">
        <f t="shared" si="0"/>
        <v>0.36470588235294116</v>
      </c>
      <c r="W61">
        <f t="shared" si="1"/>
        <v>-19</v>
      </c>
      <c r="X61">
        <f t="shared" si="2"/>
        <v>-15</v>
      </c>
      <c r="Y61">
        <f t="shared" si="3"/>
        <v>0.4</v>
      </c>
      <c r="Z61" s="7" t="str">
        <f t="shared" si="4"/>
        <v>Low Sales</v>
      </c>
      <c r="AA61" s="7" t="str">
        <f t="shared" si="5"/>
        <v>High Margin</v>
      </c>
    </row>
    <row r="62" spans="1:27" x14ac:dyDescent="0.25">
      <c r="A62" t="s">
        <v>96</v>
      </c>
      <c r="B62">
        <v>33</v>
      </c>
      <c r="C62">
        <v>-22</v>
      </c>
      <c r="D62" s="1">
        <v>41242</v>
      </c>
      <c r="E62">
        <v>870</v>
      </c>
      <c r="F62">
        <v>49</v>
      </c>
      <c r="G62" t="s">
        <v>39</v>
      </c>
      <c r="H62" t="s">
        <v>29</v>
      </c>
      <c r="I62">
        <v>9</v>
      </c>
      <c r="J62" t="s">
        <v>40</v>
      </c>
      <c r="K62" t="s">
        <v>45</v>
      </c>
      <c r="L62" t="s">
        <v>46</v>
      </c>
      <c r="M62">
        <v>28</v>
      </c>
      <c r="N62">
        <v>82</v>
      </c>
      <c r="O62" t="s">
        <v>47</v>
      </c>
      <c r="P62">
        <v>30</v>
      </c>
      <c r="Q62">
        <v>60</v>
      </c>
      <c r="R62">
        <v>50</v>
      </c>
      <c r="S62">
        <v>90</v>
      </c>
      <c r="T62">
        <v>21</v>
      </c>
      <c r="U62" t="s">
        <v>27</v>
      </c>
      <c r="V62">
        <f t="shared" si="0"/>
        <v>0.34146341463414637</v>
      </c>
      <c r="W62">
        <f t="shared" si="1"/>
        <v>-22</v>
      </c>
      <c r="X62">
        <f t="shared" si="2"/>
        <v>-8</v>
      </c>
      <c r="Y62">
        <f t="shared" si="3"/>
        <v>0.40243902439024393</v>
      </c>
      <c r="Z62" s="7" t="str">
        <f t="shared" si="4"/>
        <v>Low Sales</v>
      </c>
      <c r="AA62" s="7" t="str">
        <f t="shared" si="5"/>
        <v>High Margin</v>
      </c>
    </row>
    <row r="63" spans="1:27" x14ac:dyDescent="0.25">
      <c r="A63" t="s">
        <v>78</v>
      </c>
      <c r="B63">
        <v>48</v>
      </c>
      <c r="C63">
        <v>-2</v>
      </c>
      <c r="D63" s="1">
        <v>41243</v>
      </c>
      <c r="E63">
        <v>462</v>
      </c>
      <c r="F63">
        <v>74</v>
      </c>
      <c r="G63" t="s">
        <v>39</v>
      </c>
      <c r="H63" t="s">
        <v>31</v>
      </c>
      <c r="I63">
        <v>15</v>
      </c>
      <c r="J63" t="s">
        <v>40</v>
      </c>
      <c r="K63" t="s">
        <v>45</v>
      </c>
      <c r="L63" t="s">
        <v>52</v>
      </c>
      <c r="M63">
        <v>28</v>
      </c>
      <c r="N63">
        <v>122</v>
      </c>
      <c r="O63" t="s">
        <v>51</v>
      </c>
      <c r="P63">
        <v>40</v>
      </c>
      <c r="Q63">
        <v>60</v>
      </c>
      <c r="R63">
        <v>30</v>
      </c>
      <c r="S63">
        <v>100</v>
      </c>
      <c r="T63">
        <v>46</v>
      </c>
      <c r="U63" t="s">
        <v>35</v>
      </c>
      <c r="V63">
        <f t="shared" si="0"/>
        <v>0.22950819672131148</v>
      </c>
      <c r="W63">
        <f t="shared" si="1"/>
        <v>-2</v>
      </c>
      <c r="X63">
        <f t="shared" si="2"/>
        <v>22</v>
      </c>
      <c r="Y63">
        <f t="shared" si="3"/>
        <v>0.39344262295081966</v>
      </c>
      <c r="Z63" s="7" t="str">
        <f t="shared" si="4"/>
        <v>Low Sales</v>
      </c>
      <c r="AA63" s="7" t="str">
        <f t="shared" si="5"/>
        <v>High Margin</v>
      </c>
    </row>
    <row r="64" spans="1:27" x14ac:dyDescent="0.25">
      <c r="A64" t="s">
        <v>106</v>
      </c>
      <c r="B64">
        <v>55</v>
      </c>
      <c r="C64">
        <v>-3</v>
      </c>
      <c r="D64" s="1">
        <v>41244</v>
      </c>
      <c r="E64">
        <v>-1053</v>
      </c>
      <c r="F64">
        <v>76</v>
      </c>
      <c r="G64" t="s">
        <v>39</v>
      </c>
      <c r="H64" t="s">
        <v>29</v>
      </c>
      <c r="I64">
        <v>49</v>
      </c>
      <c r="J64" t="s">
        <v>40</v>
      </c>
      <c r="K64" t="s">
        <v>41</v>
      </c>
      <c r="L64" t="s">
        <v>54</v>
      </c>
      <c r="M64">
        <v>-3</v>
      </c>
      <c r="N64">
        <v>131</v>
      </c>
      <c r="O64" t="s">
        <v>55</v>
      </c>
      <c r="P64">
        <v>40</v>
      </c>
      <c r="Q64">
        <v>60</v>
      </c>
      <c r="R64">
        <v>0</v>
      </c>
      <c r="S64">
        <v>100</v>
      </c>
      <c r="T64">
        <v>79</v>
      </c>
      <c r="U64" t="s">
        <v>35</v>
      </c>
      <c r="V64">
        <f t="shared" si="0"/>
        <v>-2.2900763358778626E-2</v>
      </c>
      <c r="W64">
        <f t="shared" si="1"/>
        <v>-3</v>
      </c>
      <c r="X64">
        <f t="shared" si="2"/>
        <v>31</v>
      </c>
      <c r="Y64">
        <f t="shared" si="3"/>
        <v>0.41984732824427479</v>
      </c>
      <c r="Z64" s="7" t="str">
        <f t="shared" si="4"/>
        <v>Low Sales</v>
      </c>
      <c r="AA64" s="7" t="str">
        <f t="shared" si="5"/>
        <v>Low Margin</v>
      </c>
    </row>
    <row r="65" spans="1:27" x14ac:dyDescent="0.25">
      <c r="A65" t="s">
        <v>107</v>
      </c>
      <c r="B65">
        <v>49</v>
      </c>
      <c r="C65">
        <v>-15</v>
      </c>
      <c r="D65" s="1">
        <v>41245</v>
      </c>
      <c r="E65">
        <v>335</v>
      </c>
      <c r="F65">
        <v>69</v>
      </c>
      <c r="G65" t="s">
        <v>39</v>
      </c>
      <c r="H65" t="s">
        <v>29</v>
      </c>
      <c r="I65">
        <v>44</v>
      </c>
      <c r="J65" t="s">
        <v>40</v>
      </c>
      <c r="K65" t="s">
        <v>41</v>
      </c>
      <c r="L65" t="s">
        <v>53</v>
      </c>
      <c r="M65">
        <v>-5</v>
      </c>
      <c r="N65">
        <v>118</v>
      </c>
      <c r="O65" t="s">
        <v>64</v>
      </c>
      <c r="P65">
        <v>30</v>
      </c>
      <c r="Q65">
        <v>60</v>
      </c>
      <c r="R65">
        <v>10</v>
      </c>
      <c r="S65">
        <v>90</v>
      </c>
      <c r="T65">
        <v>74</v>
      </c>
      <c r="U65" t="s">
        <v>35</v>
      </c>
      <c r="V65">
        <f t="shared" si="0"/>
        <v>-4.2372881355932202E-2</v>
      </c>
      <c r="W65">
        <f t="shared" si="1"/>
        <v>-15</v>
      </c>
      <c r="X65">
        <f t="shared" si="2"/>
        <v>28</v>
      </c>
      <c r="Y65">
        <f t="shared" si="3"/>
        <v>0.4152542372881356</v>
      </c>
      <c r="Z65" s="7" t="str">
        <f t="shared" si="4"/>
        <v>Low Sales</v>
      </c>
      <c r="AA65" s="7" t="str">
        <f t="shared" si="5"/>
        <v>Low Margin</v>
      </c>
    </row>
    <row r="66" spans="1:27" x14ac:dyDescent="0.25">
      <c r="A66" t="s">
        <v>76</v>
      </c>
      <c r="B66">
        <v>39</v>
      </c>
      <c r="C66">
        <v>-19</v>
      </c>
      <c r="D66" s="1">
        <v>41246</v>
      </c>
      <c r="E66">
        <v>250</v>
      </c>
      <c r="F66">
        <v>49</v>
      </c>
      <c r="G66" t="s">
        <v>39</v>
      </c>
      <c r="H66" t="s">
        <v>36</v>
      </c>
      <c r="I66">
        <v>14</v>
      </c>
      <c r="J66" t="s">
        <v>40</v>
      </c>
      <c r="K66" t="s">
        <v>45</v>
      </c>
      <c r="L66" t="s">
        <v>52</v>
      </c>
      <c r="M66">
        <v>1</v>
      </c>
      <c r="N66">
        <v>88</v>
      </c>
      <c r="O66" t="s">
        <v>48</v>
      </c>
      <c r="P66">
        <v>40</v>
      </c>
      <c r="Q66">
        <v>60</v>
      </c>
      <c r="R66">
        <v>20</v>
      </c>
      <c r="S66">
        <v>100</v>
      </c>
      <c r="T66">
        <v>48</v>
      </c>
      <c r="U66" t="s">
        <v>35</v>
      </c>
      <c r="V66">
        <f t="shared" ref="V66:V129" si="6">M66/N66</f>
        <v>1.1363636363636364E-2</v>
      </c>
      <c r="W66">
        <f t="shared" ref="W66:W129" si="7">M66-R66</f>
        <v>-19</v>
      </c>
      <c r="X66">
        <f t="shared" ref="X66:X129" si="8">N66-S66</f>
        <v>-12</v>
      </c>
      <c r="Y66">
        <f t="shared" ref="Y66:Y129" si="9">B66/N66</f>
        <v>0.44318181818181818</v>
      </c>
      <c r="Z66" s="7" t="str">
        <f t="shared" ref="Z66:Z129" si="10">IF(N66&gt;=AVERAGE(N66:N1127),"High Sales","Low Sales")</f>
        <v>Low Sales</v>
      </c>
      <c r="AA66" s="7" t="str">
        <f t="shared" ref="AA66:AA129" si="11">IF(V66&gt;=AVERAGE(V66:V1127), "High Margin", "Low Margin")</f>
        <v>Low Margin</v>
      </c>
    </row>
    <row r="67" spans="1:27" x14ac:dyDescent="0.25">
      <c r="A67" t="s">
        <v>108</v>
      </c>
      <c r="B67">
        <v>49</v>
      </c>
      <c r="C67">
        <v>-5</v>
      </c>
      <c r="D67" s="1">
        <v>41247</v>
      </c>
      <c r="E67">
        <v>335</v>
      </c>
      <c r="F67">
        <v>69</v>
      </c>
      <c r="G67" t="s">
        <v>39</v>
      </c>
      <c r="H67" t="s">
        <v>22</v>
      </c>
      <c r="I67">
        <v>44</v>
      </c>
      <c r="J67" t="s">
        <v>23</v>
      </c>
      <c r="K67" t="s">
        <v>24</v>
      </c>
      <c r="L67" t="s">
        <v>57</v>
      </c>
      <c r="M67">
        <v>-5</v>
      </c>
      <c r="N67">
        <v>118</v>
      </c>
      <c r="O67" t="s">
        <v>58</v>
      </c>
      <c r="P67">
        <v>40</v>
      </c>
      <c r="Q67">
        <v>60</v>
      </c>
      <c r="R67">
        <v>0</v>
      </c>
      <c r="S67">
        <v>100</v>
      </c>
      <c r="T67">
        <v>74</v>
      </c>
      <c r="U67" t="s">
        <v>27</v>
      </c>
      <c r="V67">
        <f t="shared" si="6"/>
        <v>-4.2372881355932202E-2</v>
      </c>
      <c r="W67">
        <f t="shared" si="7"/>
        <v>-5</v>
      </c>
      <c r="X67">
        <f t="shared" si="8"/>
        <v>18</v>
      </c>
      <c r="Y67">
        <f t="shared" si="9"/>
        <v>0.4152542372881356</v>
      </c>
      <c r="Z67" s="7" t="str">
        <f t="shared" si="10"/>
        <v>Low Sales</v>
      </c>
      <c r="AA67" s="7" t="str">
        <f t="shared" si="11"/>
        <v>Low Margin</v>
      </c>
    </row>
    <row r="68" spans="1:27" x14ac:dyDescent="0.25">
      <c r="A68" t="s">
        <v>109</v>
      </c>
      <c r="B68">
        <v>41</v>
      </c>
      <c r="C68">
        <v>0</v>
      </c>
      <c r="D68" s="1">
        <v>41248</v>
      </c>
      <c r="E68">
        <v>320</v>
      </c>
      <c r="F68">
        <v>66</v>
      </c>
      <c r="G68" t="s">
        <v>39</v>
      </c>
      <c r="H68" t="s">
        <v>22</v>
      </c>
      <c r="I68">
        <v>12</v>
      </c>
      <c r="J68" t="s">
        <v>23</v>
      </c>
      <c r="K68" t="s">
        <v>24</v>
      </c>
      <c r="L68" t="s">
        <v>57</v>
      </c>
      <c r="M68">
        <v>30</v>
      </c>
      <c r="N68">
        <v>107</v>
      </c>
      <c r="O68" t="s">
        <v>59</v>
      </c>
      <c r="P68">
        <v>30</v>
      </c>
      <c r="Q68">
        <v>60</v>
      </c>
      <c r="R68">
        <v>30</v>
      </c>
      <c r="S68">
        <v>90</v>
      </c>
      <c r="T68">
        <v>36</v>
      </c>
      <c r="U68" t="s">
        <v>27</v>
      </c>
      <c r="V68">
        <f t="shared" si="6"/>
        <v>0.28037383177570091</v>
      </c>
      <c r="W68">
        <f t="shared" si="7"/>
        <v>0</v>
      </c>
      <c r="X68">
        <f t="shared" si="8"/>
        <v>17</v>
      </c>
      <c r="Y68">
        <f t="shared" si="9"/>
        <v>0.38317757009345793</v>
      </c>
      <c r="Z68" s="7" t="str">
        <f t="shared" si="10"/>
        <v>Low Sales</v>
      </c>
      <c r="AA68" s="7" t="str">
        <f t="shared" si="11"/>
        <v>High Margin</v>
      </c>
    </row>
    <row r="69" spans="1:27" x14ac:dyDescent="0.25">
      <c r="A69" t="s">
        <v>81</v>
      </c>
      <c r="B69">
        <v>92</v>
      </c>
      <c r="C69">
        <v>-4</v>
      </c>
      <c r="D69" s="1">
        <v>41249</v>
      </c>
      <c r="E69">
        <v>1898</v>
      </c>
      <c r="F69">
        <v>68</v>
      </c>
      <c r="G69" t="s">
        <v>39</v>
      </c>
      <c r="H69" t="s">
        <v>22</v>
      </c>
      <c r="I69">
        <v>28</v>
      </c>
      <c r="J69" t="s">
        <v>23</v>
      </c>
      <c r="K69" t="s">
        <v>24</v>
      </c>
      <c r="L69" t="s">
        <v>25</v>
      </c>
      <c r="M69">
        <v>16</v>
      </c>
      <c r="N69">
        <v>160</v>
      </c>
      <c r="O69" t="s">
        <v>58</v>
      </c>
      <c r="P69">
        <v>80</v>
      </c>
      <c r="Q69">
        <v>60</v>
      </c>
      <c r="R69">
        <v>20</v>
      </c>
      <c r="S69">
        <v>140</v>
      </c>
      <c r="T69">
        <v>52</v>
      </c>
      <c r="U69" t="s">
        <v>27</v>
      </c>
      <c r="V69">
        <f t="shared" si="6"/>
        <v>0.1</v>
      </c>
      <c r="W69">
        <f t="shared" si="7"/>
        <v>-4</v>
      </c>
      <c r="X69">
        <f t="shared" si="8"/>
        <v>20</v>
      </c>
      <c r="Y69">
        <f t="shared" si="9"/>
        <v>0.57499999999999996</v>
      </c>
      <c r="Z69" s="7" t="str">
        <f t="shared" si="10"/>
        <v>Low Sales</v>
      </c>
      <c r="AA69" s="7" t="str">
        <f t="shared" si="11"/>
        <v>Low Margin</v>
      </c>
    </row>
    <row r="70" spans="1:27" x14ac:dyDescent="0.25">
      <c r="A70" t="s">
        <v>110</v>
      </c>
      <c r="B70">
        <v>68</v>
      </c>
      <c r="C70">
        <v>7</v>
      </c>
      <c r="D70" s="1">
        <v>41250</v>
      </c>
      <c r="E70">
        <v>619</v>
      </c>
      <c r="F70">
        <v>85</v>
      </c>
      <c r="G70" t="s">
        <v>39</v>
      </c>
      <c r="H70" t="s">
        <v>31</v>
      </c>
      <c r="I70">
        <v>25</v>
      </c>
      <c r="J70" t="s">
        <v>23</v>
      </c>
      <c r="K70" t="s">
        <v>24</v>
      </c>
      <c r="L70" t="s">
        <v>25</v>
      </c>
      <c r="M70">
        <v>27</v>
      </c>
      <c r="N70">
        <v>153</v>
      </c>
      <c r="O70" t="s">
        <v>44</v>
      </c>
      <c r="P70">
        <v>50</v>
      </c>
      <c r="Q70">
        <v>60</v>
      </c>
      <c r="R70">
        <v>20</v>
      </c>
      <c r="S70">
        <v>110</v>
      </c>
      <c r="T70">
        <v>58</v>
      </c>
      <c r="U70" t="s">
        <v>27</v>
      </c>
      <c r="V70">
        <f t="shared" si="6"/>
        <v>0.17647058823529413</v>
      </c>
      <c r="W70">
        <f t="shared" si="7"/>
        <v>7</v>
      </c>
      <c r="X70">
        <f t="shared" si="8"/>
        <v>43</v>
      </c>
      <c r="Y70">
        <f t="shared" si="9"/>
        <v>0.44444444444444442</v>
      </c>
      <c r="Z70" s="7" t="str">
        <f t="shared" si="10"/>
        <v>Low Sales</v>
      </c>
      <c r="AA70" s="7" t="str">
        <f t="shared" si="11"/>
        <v>High Margin</v>
      </c>
    </row>
    <row r="71" spans="1:27" x14ac:dyDescent="0.25">
      <c r="A71" t="s">
        <v>110</v>
      </c>
      <c r="B71">
        <v>63</v>
      </c>
      <c r="C71">
        <v>-4</v>
      </c>
      <c r="D71" s="1">
        <v>41251</v>
      </c>
      <c r="E71">
        <v>1075</v>
      </c>
      <c r="F71">
        <v>76</v>
      </c>
      <c r="G71" t="s">
        <v>39</v>
      </c>
      <c r="H71" t="s">
        <v>31</v>
      </c>
      <c r="I71">
        <v>19</v>
      </c>
      <c r="J71" t="s">
        <v>23</v>
      </c>
      <c r="K71" t="s">
        <v>24</v>
      </c>
      <c r="L71" t="s">
        <v>28</v>
      </c>
      <c r="M71">
        <v>36</v>
      </c>
      <c r="N71">
        <v>139</v>
      </c>
      <c r="O71" t="s">
        <v>44</v>
      </c>
      <c r="P71">
        <v>40</v>
      </c>
      <c r="Q71">
        <v>60</v>
      </c>
      <c r="R71">
        <v>40</v>
      </c>
      <c r="S71">
        <v>100</v>
      </c>
      <c r="T71">
        <v>40</v>
      </c>
      <c r="U71" t="s">
        <v>27</v>
      </c>
      <c r="V71">
        <f t="shared" si="6"/>
        <v>0.25899280575539568</v>
      </c>
      <c r="W71">
        <f t="shared" si="7"/>
        <v>-4</v>
      </c>
      <c r="X71">
        <f t="shared" si="8"/>
        <v>39</v>
      </c>
      <c r="Y71">
        <f t="shared" si="9"/>
        <v>0.45323741007194246</v>
      </c>
      <c r="Z71" s="7" t="str">
        <f t="shared" si="10"/>
        <v>Low Sales</v>
      </c>
      <c r="AA71" s="7" t="str">
        <f t="shared" si="11"/>
        <v>High Margin</v>
      </c>
    </row>
    <row r="72" spans="1:27" x14ac:dyDescent="0.25">
      <c r="A72" t="s">
        <v>77</v>
      </c>
      <c r="B72">
        <v>92</v>
      </c>
      <c r="C72">
        <v>-3</v>
      </c>
      <c r="D72" s="1">
        <v>41252</v>
      </c>
      <c r="E72">
        <v>1898</v>
      </c>
      <c r="F72">
        <v>68</v>
      </c>
      <c r="G72" t="s">
        <v>39</v>
      </c>
      <c r="H72" t="s">
        <v>36</v>
      </c>
      <c r="I72">
        <v>28</v>
      </c>
      <c r="J72" t="s">
        <v>23</v>
      </c>
      <c r="K72" t="s">
        <v>24</v>
      </c>
      <c r="L72" t="s">
        <v>28</v>
      </c>
      <c r="M72">
        <v>17</v>
      </c>
      <c r="N72">
        <v>160</v>
      </c>
      <c r="O72" t="s">
        <v>49</v>
      </c>
      <c r="P72">
        <v>80</v>
      </c>
      <c r="Q72">
        <v>60</v>
      </c>
      <c r="R72">
        <v>20</v>
      </c>
      <c r="S72">
        <v>140</v>
      </c>
      <c r="T72">
        <v>51</v>
      </c>
      <c r="U72" t="s">
        <v>27</v>
      </c>
      <c r="V72">
        <f t="shared" si="6"/>
        <v>0.10625</v>
      </c>
      <c r="W72">
        <f t="shared" si="7"/>
        <v>-3</v>
      </c>
      <c r="X72">
        <f t="shared" si="8"/>
        <v>20</v>
      </c>
      <c r="Y72">
        <f t="shared" si="9"/>
        <v>0.57499999999999996</v>
      </c>
      <c r="Z72" s="7" t="str">
        <f t="shared" si="10"/>
        <v>Low Sales</v>
      </c>
      <c r="AA72" s="7" t="str">
        <f t="shared" si="11"/>
        <v>Low Margin</v>
      </c>
    </row>
    <row r="73" spans="1:27" x14ac:dyDescent="0.25">
      <c r="A73" t="s">
        <v>109</v>
      </c>
      <c r="B73">
        <v>55</v>
      </c>
      <c r="C73">
        <v>-3</v>
      </c>
      <c r="D73" s="1">
        <v>41253</v>
      </c>
      <c r="E73">
        <v>627</v>
      </c>
      <c r="F73">
        <v>76</v>
      </c>
      <c r="G73" t="s">
        <v>39</v>
      </c>
      <c r="H73" t="s">
        <v>22</v>
      </c>
      <c r="I73">
        <v>49</v>
      </c>
      <c r="J73" t="s">
        <v>23</v>
      </c>
      <c r="K73" t="s">
        <v>32</v>
      </c>
      <c r="L73" t="s">
        <v>61</v>
      </c>
      <c r="M73">
        <v>-3</v>
      </c>
      <c r="N73">
        <v>131</v>
      </c>
      <c r="O73" t="s">
        <v>59</v>
      </c>
      <c r="P73">
        <v>40</v>
      </c>
      <c r="Q73">
        <v>60</v>
      </c>
      <c r="R73">
        <v>0</v>
      </c>
      <c r="S73">
        <v>100</v>
      </c>
      <c r="T73">
        <v>79</v>
      </c>
      <c r="U73" t="s">
        <v>35</v>
      </c>
      <c r="V73">
        <f t="shared" si="6"/>
        <v>-2.2900763358778626E-2</v>
      </c>
      <c r="W73">
        <f t="shared" si="7"/>
        <v>-3</v>
      </c>
      <c r="X73">
        <f t="shared" si="8"/>
        <v>31</v>
      </c>
      <c r="Y73">
        <f t="shared" si="9"/>
        <v>0.41984732824427479</v>
      </c>
      <c r="Z73" s="7" t="str">
        <f t="shared" si="10"/>
        <v>Low Sales</v>
      </c>
      <c r="AA73" s="7" t="str">
        <f t="shared" si="11"/>
        <v>Low Margin</v>
      </c>
    </row>
    <row r="74" spans="1:27" x14ac:dyDescent="0.25">
      <c r="A74" t="s">
        <v>111</v>
      </c>
      <c r="B74">
        <v>51</v>
      </c>
      <c r="C74">
        <v>-37</v>
      </c>
      <c r="D74" s="1">
        <v>41254</v>
      </c>
      <c r="E74">
        <v>503</v>
      </c>
      <c r="F74">
        <v>71</v>
      </c>
      <c r="G74" t="s">
        <v>21</v>
      </c>
      <c r="H74" t="s">
        <v>22</v>
      </c>
      <c r="I74">
        <v>46</v>
      </c>
      <c r="J74" t="s">
        <v>23</v>
      </c>
      <c r="K74" t="s">
        <v>24</v>
      </c>
      <c r="L74" t="s">
        <v>25</v>
      </c>
      <c r="M74">
        <v>-7</v>
      </c>
      <c r="N74">
        <v>130</v>
      </c>
      <c r="O74" t="s">
        <v>26</v>
      </c>
      <c r="P74">
        <v>30</v>
      </c>
      <c r="Q74">
        <v>60</v>
      </c>
      <c r="R74">
        <v>30</v>
      </c>
      <c r="S74">
        <v>90</v>
      </c>
      <c r="T74">
        <v>76</v>
      </c>
      <c r="U74" t="s">
        <v>27</v>
      </c>
      <c r="V74">
        <f t="shared" si="6"/>
        <v>-5.3846153846153849E-2</v>
      </c>
      <c r="W74">
        <f t="shared" si="7"/>
        <v>-37</v>
      </c>
      <c r="X74">
        <f t="shared" si="8"/>
        <v>40</v>
      </c>
      <c r="Y74">
        <f t="shared" si="9"/>
        <v>0.3923076923076923</v>
      </c>
      <c r="Z74" s="7" t="str">
        <f t="shared" si="10"/>
        <v>Low Sales</v>
      </c>
      <c r="AA74" s="7" t="str">
        <f t="shared" si="11"/>
        <v>Low Margin</v>
      </c>
    </row>
    <row r="75" spans="1:27" x14ac:dyDescent="0.25">
      <c r="A75" t="s">
        <v>69</v>
      </c>
      <c r="B75">
        <v>52</v>
      </c>
      <c r="C75">
        <v>-11</v>
      </c>
      <c r="D75" s="1">
        <v>41255</v>
      </c>
      <c r="E75">
        <v>405</v>
      </c>
      <c r="F75">
        <v>71</v>
      </c>
      <c r="G75" t="s">
        <v>21</v>
      </c>
      <c r="H75" t="s">
        <v>22</v>
      </c>
      <c r="I75">
        <v>17</v>
      </c>
      <c r="J75" t="s">
        <v>23</v>
      </c>
      <c r="K75" t="s">
        <v>24</v>
      </c>
      <c r="L75" t="s">
        <v>28</v>
      </c>
      <c r="M75">
        <v>39</v>
      </c>
      <c r="N75">
        <v>131</v>
      </c>
      <c r="O75" t="s">
        <v>26</v>
      </c>
      <c r="P75">
        <v>30</v>
      </c>
      <c r="Q75">
        <v>60</v>
      </c>
      <c r="R75">
        <v>50</v>
      </c>
      <c r="S75">
        <v>90</v>
      </c>
      <c r="T75">
        <v>45</v>
      </c>
      <c r="U75" t="s">
        <v>27</v>
      </c>
      <c r="V75">
        <f t="shared" si="6"/>
        <v>0.29770992366412213</v>
      </c>
      <c r="W75">
        <f t="shared" si="7"/>
        <v>-11</v>
      </c>
      <c r="X75">
        <f t="shared" si="8"/>
        <v>41</v>
      </c>
      <c r="Y75">
        <f t="shared" si="9"/>
        <v>0.39694656488549618</v>
      </c>
      <c r="Z75" s="7" t="str">
        <f t="shared" si="10"/>
        <v>Low Sales</v>
      </c>
      <c r="AA75" s="7" t="str">
        <f t="shared" si="11"/>
        <v>High Margin</v>
      </c>
    </row>
    <row r="76" spans="1:27" x14ac:dyDescent="0.25">
      <c r="A76" t="s">
        <v>112</v>
      </c>
      <c r="B76">
        <v>43</v>
      </c>
      <c r="C76">
        <v>-8</v>
      </c>
      <c r="D76" s="1">
        <v>41256</v>
      </c>
      <c r="E76">
        <v>419</v>
      </c>
      <c r="F76">
        <v>64</v>
      </c>
      <c r="G76" t="s">
        <v>21</v>
      </c>
      <c r="H76" t="s">
        <v>29</v>
      </c>
      <c r="I76">
        <v>13</v>
      </c>
      <c r="J76" t="s">
        <v>23</v>
      </c>
      <c r="K76" t="s">
        <v>24</v>
      </c>
      <c r="L76" t="s">
        <v>25</v>
      </c>
      <c r="M76">
        <v>42</v>
      </c>
      <c r="N76">
        <v>114</v>
      </c>
      <c r="O76" t="s">
        <v>30</v>
      </c>
      <c r="P76">
        <v>30</v>
      </c>
      <c r="Q76">
        <v>60</v>
      </c>
      <c r="R76">
        <v>50</v>
      </c>
      <c r="S76">
        <v>90</v>
      </c>
      <c r="T76">
        <v>36</v>
      </c>
      <c r="U76" t="s">
        <v>27</v>
      </c>
      <c r="V76">
        <f t="shared" si="6"/>
        <v>0.36842105263157893</v>
      </c>
      <c r="W76">
        <f t="shared" si="7"/>
        <v>-8</v>
      </c>
      <c r="X76">
        <f t="shared" si="8"/>
        <v>24</v>
      </c>
      <c r="Y76">
        <f t="shared" si="9"/>
        <v>0.37719298245614036</v>
      </c>
      <c r="Z76" s="7" t="str">
        <f t="shared" si="10"/>
        <v>Low Sales</v>
      </c>
      <c r="AA76" s="7" t="str">
        <f t="shared" si="11"/>
        <v>High Margin</v>
      </c>
    </row>
    <row r="77" spans="1:27" x14ac:dyDescent="0.25">
      <c r="A77" t="s">
        <v>103</v>
      </c>
      <c r="B77">
        <v>38</v>
      </c>
      <c r="C77">
        <v>2</v>
      </c>
      <c r="D77" s="1">
        <v>41257</v>
      </c>
      <c r="E77">
        <v>871</v>
      </c>
      <c r="F77">
        <v>56</v>
      </c>
      <c r="G77" t="s">
        <v>21</v>
      </c>
      <c r="H77" t="s">
        <v>31</v>
      </c>
      <c r="I77">
        <v>10</v>
      </c>
      <c r="J77" t="s">
        <v>23</v>
      </c>
      <c r="K77" t="s">
        <v>32</v>
      </c>
      <c r="L77" t="s">
        <v>33</v>
      </c>
      <c r="M77">
        <v>52</v>
      </c>
      <c r="N77">
        <v>100</v>
      </c>
      <c r="O77" t="s">
        <v>34</v>
      </c>
      <c r="P77">
        <v>40</v>
      </c>
      <c r="Q77">
        <v>60</v>
      </c>
      <c r="R77">
        <v>50</v>
      </c>
      <c r="S77">
        <v>100</v>
      </c>
      <c r="T77">
        <v>21</v>
      </c>
      <c r="U77" t="s">
        <v>35</v>
      </c>
      <c r="V77">
        <f t="shared" si="6"/>
        <v>0.52</v>
      </c>
      <c r="W77">
        <f t="shared" si="7"/>
        <v>2</v>
      </c>
      <c r="X77">
        <f t="shared" si="8"/>
        <v>0</v>
      </c>
      <c r="Y77">
        <f t="shared" si="9"/>
        <v>0.38</v>
      </c>
      <c r="Z77" s="7" t="str">
        <f t="shared" si="10"/>
        <v>Low Sales</v>
      </c>
      <c r="AA77" s="7" t="str">
        <f t="shared" si="11"/>
        <v>High Margin</v>
      </c>
    </row>
    <row r="78" spans="1:27" x14ac:dyDescent="0.25">
      <c r="A78" t="s">
        <v>113</v>
      </c>
      <c r="B78">
        <v>72</v>
      </c>
      <c r="C78">
        <v>33</v>
      </c>
      <c r="D78" s="1">
        <v>41258</v>
      </c>
      <c r="E78">
        <v>650</v>
      </c>
      <c r="F78">
        <v>110</v>
      </c>
      <c r="G78" t="s">
        <v>21</v>
      </c>
      <c r="H78" t="s">
        <v>36</v>
      </c>
      <c r="I78">
        <v>23</v>
      </c>
      <c r="J78" t="s">
        <v>23</v>
      </c>
      <c r="K78" t="s">
        <v>32</v>
      </c>
      <c r="L78" t="s">
        <v>37</v>
      </c>
      <c r="M78">
        <v>83</v>
      </c>
      <c r="N78">
        <v>194</v>
      </c>
      <c r="O78" t="s">
        <v>38</v>
      </c>
      <c r="P78">
        <v>20</v>
      </c>
      <c r="Q78">
        <v>60</v>
      </c>
      <c r="R78">
        <v>50</v>
      </c>
      <c r="S78">
        <v>80</v>
      </c>
      <c r="T78">
        <v>54</v>
      </c>
      <c r="U78" t="s">
        <v>35</v>
      </c>
      <c r="V78">
        <f t="shared" si="6"/>
        <v>0.42783505154639173</v>
      </c>
      <c r="W78">
        <f t="shared" si="7"/>
        <v>33</v>
      </c>
      <c r="X78">
        <f t="shared" si="8"/>
        <v>114</v>
      </c>
      <c r="Y78">
        <f t="shared" si="9"/>
        <v>0.37113402061855671</v>
      </c>
      <c r="Z78" s="7" t="str">
        <f t="shared" si="10"/>
        <v>Low Sales</v>
      </c>
      <c r="AA78" s="7" t="str">
        <f t="shared" si="11"/>
        <v>High Margin</v>
      </c>
    </row>
    <row r="79" spans="1:27" x14ac:dyDescent="0.25">
      <c r="A79" t="s">
        <v>114</v>
      </c>
      <c r="B79">
        <v>0</v>
      </c>
      <c r="C79">
        <v>-14</v>
      </c>
      <c r="D79" s="1">
        <v>41259</v>
      </c>
      <c r="E79">
        <v>430</v>
      </c>
      <c r="F79">
        <v>43</v>
      </c>
      <c r="G79" t="s">
        <v>39</v>
      </c>
      <c r="H79" t="s">
        <v>22</v>
      </c>
      <c r="I79">
        <v>0</v>
      </c>
      <c r="J79" t="s">
        <v>40</v>
      </c>
      <c r="K79" t="s">
        <v>41</v>
      </c>
      <c r="L79" t="s">
        <v>42</v>
      </c>
      <c r="M79">
        <v>46</v>
      </c>
      <c r="N79">
        <v>46</v>
      </c>
      <c r="O79" t="s">
        <v>43</v>
      </c>
      <c r="P79">
        <v>0</v>
      </c>
      <c r="Q79">
        <v>60</v>
      </c>
      <c r="R79">
        <v>60</v>
      </c>
      <c r="S79">
        <v>60</v>
      </c>
      <c r="T79">
        <v>12</v>
      </c>
      <c r="U79" t="s">
        <v>27</v>
      </c>
      <c r="V79">
        <f t="shared" si="6"/>
        <v>1</v>
      </c>
      <c r="W79">
        <f t="shared" si="7"/>
        <v>-14</v>
      </c>
      <c r="X79">
        <f t="shared" si="8"/>
        <v>-14</v>
      </c>
      <c r="Y79">
        <f t="shared" si="9"/>
        <v>0</v>
      </c>
      <c r="Z79" s="7" t="str">
        <f t="shared" si="10"/>
        <v>Low Sales</v>
      </c>
      <c r="AA79" s="7" t="str">
        <f t="shared" si="11"/>
        <v>High Margin</v>
      </c>
    </row>
    <row r="80" spans="1:27" x14ac:dyDescent="0.25">
      <c r="A80" t="s">
        <v>99</v>
      </c>
      <c r="B80">
        <v>47</v>
      </c>
      <c r="C80">
        <v>-19</v>
      </c>
      <c r="D80" s="1">
        <v>41260</v>
      </c>
      <c r="E80">
        <v>375</v>
      </c>
      <c r="F80">
        <v>64</v>
      </c>
      <c r="G80" t="s">
        <v>39</v>
      </c>
      <c r="H80" t="s">
        <v>31</v>
      </c>
      <c r="I80">
        <v>15</v>
      </c>
      <c r="J80" t="s">
        <v>40</v>
      </c>
      <c r="K80" t="s">
        <v>41</v>
      </c>
      <c r="L80" t="s">
        <v>42</v>
      </c>
      <c r="M80">
        <v>31</v>
      </c>
      <c r="N80">
        <v>118</v>
      </c>
      <c r="O80" t="s">
        <v>44</v>
      </c>
      <c r="P80">
        <v>30</v>
      </c>
      <c r="Q80">
        <v>60</v>
      </c>
      <c r="R80">
        <v>50</v>
      </c>
      <c r="S80">
        <v>90</v>
      </c>
      <c r="T80">
        <v>43</v>
      </c>
      <c r="U80" t="s">
        <v>27</v>
      </c>
      <c r="V80">
        <f t="shared" si="6"/>
        <v>0.26271186440677968</v>
      </c>
      <c r="W80">
        <f t="shared" si="7"/>
        <v>-19</v>
      </c>
      <c r="X80">
        <f t="shared" si="8"/>
        <v>28</v>
      </c>
      <c r="Y80">
        <f t="shared" si="9"/>
        <v>0.39830508474576271</v>
      </c>
      <c r="Z80" s="7" t="str">
        <f t="shared" si="10"/>
        <v>Low Sales</v>
      </c>
      <c r="AA80" s="7" t="str">
        <f t="shared" si="11"/>
        <v>High Margin</v>
      </c>
    </row>
    <row r="81" spans="1:27" x14ac:dyDescent="0.25">
      <c r="A81" t="s">
        <v>115</v>
      </c>
      <c r="B81">
        <v>27</v>
      </c>
      <c r="C81">
        <v>-29</v>
      </c>
      <c r="D81" s="1">
        <v>41261</v>
      </c>
      <c r="E81">
        <v>859</v>
      </c>
      <c r="F81">
        <v>39</v>
      </c>
      <c r="G81" t="s">
        <v>39</v>
      </c>
      <c r="H81" t="s">
        <v>29</v>
      </c>
      <c r="I81">
        <v>7</v>
      </c>
      <c r="J81" t="s">
        <v>40</v>
      </c>
      <c r="K81" t="s">
        <v>45</v>
      </c>
      <c r="L81" t="s">
        <v>46</v>
      </c>
      <c r="M81">
        <v>31</v>
      </c>
      <c r="N81">
        <v>70</v>
      </c>
      <c r="O81" t="s">
        <v>47</v>
      </c>
      <c r="P81">
        <v>30</v>
      </c>
      <c r="Q81">
        <v>60</v>
      </c>
      <c r="R81">
        <v>60</v>
      </c>
      <c r="S81">
        <v>90</v>
      </c>
      <c r="T81">
        <v>18</v>
      </c>
      <c r="U81" t="s">
        <v>27</v>
      </c>
      <c r="V81">
        <f t="shared" si="6"/>
        <v>0.44285714285714284</v>
      </c>
      <c r="W81">
        <f t="shared" si="7"/>
        <v>-29</v>
      </c>
      <c r="X81">
        <f t="shared" si="8"/>
        <v>-20</v>
      </c>
      <c r="Y81">
        <f t="shared" si="9"/>
        <v>0.38571428571428573</v>
      </c>
      <c r="Z81" s="7" t="str">
        <f t="shared" si="10"/>
        <v>Low Sales</v>
      </c>
      <c r="AA81" s="7" t="str">
        <f t="shared" si="11"/>
        <v>High Margin</v>
      </c>
    </row>
    <row r="82" spans="1:27" x14ac:dyDescent="0.25">
      <c r="A82" t="s">
        <v>76</v>
      </c>
      <c r="B82">
        <v>31</v>
      </c>
      <c r="C82">
        <v>-40</v>
      </c>
      <c r="D82" s="1">
        <v>41262</v>
      </c>
      <c r="E82">
        <v>1000</v>
      </c>
      <c r="F82">
        <v>37</v>
      </c>
      <c r="G82" t="s">
        <v>39</v>
      </c>
      <c r="H82" t="s">
        <v>36</v>
      </c>
      <c r="I82">
        <v>9</v>
      </c>
      <c r="J82" t="s">
        <v>40</v>
      </c>
      <c r="K82" t="s">
        <v>45</v>
      </c>
      <c r="L82" t="s">
        <v>46</v>
      </c>
      <c r="M82">
        <v>10</v>
      </c>
      <c r="N82">
        <v>72</v>
      </c>
      <c r="O82" t="s">
        <v>48</v>
      </c>
      <c r="P82">
        <v>30</v>
      </c>
      <c r="Q82">
        <v>60</v>
      </c>
      <c r="R82">
        <v>50</v>
      </c>
      <c r="S82">
        <v>90</v>
      </c>
      <c r="T82">
        <v>30</v>
      </c>
      <c r="U82" t="s">
        <v>27</v>
      </c>
      <c r="V82">
        <f t="shared" si="6"/>
        <v>0.1388888888888889</v>
      </c>
      <c r="W82">
        <f t="shared" si="7"/>
        <v>-40</v>
      </c>
      <c r="X82">
        <f t="shared" si="8"/>
        <v>-18</v>
      </c>
      <c r="Y82">
        <f t="shared" si="9"/>
        <v>0.43055555555555558</v>
      </c>
      <c r="Z82" s="7" t="str">
        <f t="shared" si="10"/>
        <v>Low Sales</v>
      </c>
      <c r="AA82" s="7" t="str">
        <f t="shared" si="11"/>
        <v>Low Margin</v>
      </c>
    </row>
    <row r="83" spans="1:27" x14ac:dyDescent="0.25">
      <c r="A83" t="s">
        <v>77</v>
      </c>
      <c r="B83">
        <v>40</v>
      </c>
      <c r="C83">
        <v>-5</v>
      </c>
      <c r="D83" s="1">
        <v>41263</v>
      </c>
      <c r="E83">
        <v>881</v>
      </c>
      <c r="F83">
        <v>59</v>
      </c>
      <c r="G83" t="s">
        <v>39</v>
      </c>
      <c r="H83" t="s">
        <v>36</v>
      </c>
      <c r="I83">
        <v>11</v>
      </c>
      <c r="J83" t="s">
        <v>40</v>
      </c>
      <c r="K83" t="s">
        <v>41</v>
      </c>
      <c r="L83" t="s">
        <v>42</v>
      </c>
      <c r="M83">
        <v>55</v>
      </c>
      <c r="N83">
        <v>106</v>
      </c>
      <c r="O83" t="s">
        <v>49</v>
      </c>
      <c r="P83">
        <v>20</v>
      </c>
      <c r="Q83">
        <v>60</v>
      </c>
      <c r="R83">
        <v>60</v>
      </c>
      <c r="S83">
        <v>80</v>
      </c>
      <c r="T83">
        <v>22</v>
      </c>
      <c r="U83" t="s">
        <v>27</v>
      </c>
      <c r="V83">
        <f t="shared" si="6"/>
        <v>0.51886792452830188</v>
      </c>
      <c r="W83">
        <f t="shared" si="7"/>
        <v>-5</v>
      </c>
      <c r="X83">
        <f t="shared" si="8"/>
        <v>26</v>
      </c>
      <c r="Y83">
        <f t="shared" si="9"/>
        <v>0.37735849056603776</v>
      </c>
      <c r="Z83" s="7" t="str">
        <f t="shared" si="10"/>
        <v>Low Sales</v>
      </c>
      <c r="AA83" s="7" t="str">
        <f t="shared" si="11"/>
        <v>High Margin</v>
      </c>
    </row>
    <row r="84" spans="1:27" x14ac:dyDescent="0.25">
      <c r="A84" t="s">
        <v>78</v>
      </c>
      <c r="B84">
        <v>49</v>
      </c>
      <c r="C84">
        <v>-11</v>
      </c>
      <c r="D84" s="1">
        <v>41264</v>
      </c>
      <c r="E84">
        <v>310</v>
      </c>
      <c r="F84">
        <v>71</v>
      </c>
      <c r="G84" t="s">
        <v>39</v>
      </c>
      <c r="H84" t="s">
        <v>31</v>
      </c>
      <c r="I84">
        <v>15</v>
      </c>
      <c r="J84" t="s">
        <v>40</v>
      </c>
      <c r="K84" t="s">
        <v>45</v>
      </c>
      <c r="L84" t="s">
        <v>50</v>
      </c>
      <c r="M84">
        <v>49</v>
      </c>
      <c r="N84">
        <v>128</v>
      </c>
      <c r="O84" t="s">
        <v>51</v>
      </c>
      <c r="P84">
        <v>30</v>
      </c>
      <c r="Q84">
        <v>60</v>
      </c>
      <c r="R84">
        <v>60</v>
      </c>
      <c r="S84">
        <v>90</v>
      </c>
      <c r="T84">
        <v>38</v>
      </c>
      <c r="U84" t="s">
        <v>35</v>
      </c>
      <c r="V84">
        <f t="shared" si="6"/>
        <v>0.3828125</v>
      </c>
      <c r="W84">
        <f t="shared" si="7"/>
        <v>-11</v>
      </c>
      <c r="X84">
        <f t="shared" si="8"/>
        <v>38</v>
      </c>
      <c r="Y84">
        <f t="shared" si="9"/>
        <v>0.3828125</v>
      </c>
      <c r="Z84" s="7" t="str">
        <f t="shared" si="10"/>
        <v>Low Sales</v>
      </c>
      <c r="AA84" s="7" t="str">
        <f t="shared" si="11"/>
        <v>High Margin</v>
      </c>
    </row>
    <row r="85" spans="1:27" x14ac:dyDescent="0.25">
      <c r="A85" t="s">
        <v>78</v>
      </c>
      <c r="B85">
        <v>45</v>
      </c>
      <c r="C85">
        <v>-14</v>
      </c>
      <c r="D85" s="1">
        <v>41265</v>
      </c>
      <c r="E85">
        <v>447</v>
      </c>
      <c r="F85">
        <v>69</v>
      </c>
      <c r="G85" t="s">
        <v>39</v>
      </c>
      <c r="H85" t="s">
        <v>31</v>
      </c>
      <c r="I85">
        <v>14</v>
      </c>
      <c r="J85" t="s">
        <v>40</v>
      </c>
      <c r="K85" t="s">
        <v>45</v>
      </c>
      <c r="L85" t="s">
        <v>52</v>
      </c>
      <c r="M85">
        <v>36</v>
      </c>
      <c r="N85">
        <v>121</v>
      </c>
      <c r="O85" t="s">
        <v>51</v>
      </c>
      <c r="P85">
        <v>30</v>
      </c>
      <c r="Q85">
        <v>60</v>
      </c>
      <c r="R85">
        <v>50</v>
      </c>
      <c r="S85">
        <v>90</v>
      </c>
      <c r="T85">
        <v>45</v>
      </c>
      <c r="U85" t="s">
        <v>35</v>
      </c>
      <c r="V85">
        <f t="shared" si="6"/>
        <v>0.2975206611570248</v>
      </c>
      <c r="W85">
        <f t="shared" si="7"/>
        <v>-14</v>
      </c>
      <c r="X85">
        <f t="shared" si="8"/>
        <v>31</v>
      </c>
      <c r="Y85">
        <f t="shared" si="9"/>
        <v>0.37190082644628097</v>
      </c>
      <c r="Z85" s="7" t="str">
        <f t="shared" si="10"/>
        <v>Low Sales</v>
      </c>
      <c r="AA85" s="7" t="str">
        <f t="shared" si="11"/>
        <v>High Margin</v>
      </c>
    </row>
    <row r="86" spans="1:27" x14ac:dyDescent="0.25">
      <c r="A86" t="s">
        <v>78</v>
      </c>
      <c r="B86">
        <v>45</v>
      </c>
      <c r="C86">
        <v>-40</v>
      </c>
      <c r="D86" s="1">
        <v>41266</v>
      </c>
      <c r="E86">
        <v>320</v>
      </c>
      <c r="F86">
        <v>64</v>
      </c>
      <c r="G86" t="s">
        <v>39</v>
      </c>
      <c r="H86" t="s">
        <v>31</v>
      </c>
      <c r="I86">
        <v>41</v>
      </c>
      <c r="J86" t="s">
        <v>40</v>
      </c>
      <c r="K86" t="s">
        <v>41</v>
      </c>
      <c r="L86" t="s">
        <v>53</v>
      </c>
      <c r="M86">
        <v>-10</v>
      </c>
      <c r="N86">
        <v>116</v>
      </c>
      <c r="O86" t="s">
        <v>51</v>
      </c>
      <c r="P86">
        <v>30</v>
      </c>
      <c r="Q86">
        <v>60</v>
      </c>
      <c r="R86">
        <v>30</v>
      </c>
      <c r="S86">
        <v>90</v>
      </c>
      <c r="T86">
        <v>71</v>
      </c>
      <c r="U86" t="s">
        <v>35</v>
      </c>
      <c r="V86">
        <f t="shared" si="6"/>
        <v>-8.6206896551724144E-2</v>
      </c>
      <c r="W86">
        <f t="shared" si="7"/>
        <v>-40</v>
      </c>
      <c r="X86">
        <f t="shared" si="8"/>
        <v>26</v>
      </c>
      <c r="Y86">
        <f t="shared" si="9"/>
        <v>0.38793103448275862</v>
      </c>
      <c r="Z86" s="7" t="str">
        <f t="shared" si="10"/>
        <v>Low Sales</v>
      </c>
      <c r="AA86" s="7" t="str">
        <f t="shared" si="11"/>
        <v>Low Margin</v>
      </c>
    </row>
    <row r="87" spans="1:27" x14ac:dyDescent="0.25">
      <c r="A87" t="s">
        <v>95</v>
      </c>
      <c r="B87">
        <v>60</v>
      </c>
      <c r="C87">
        <v>-9</v>
      </c>
      <c r="D87" s="1">
        <v>41267</v>
      </c>
      <c r="E87">
        <v>-762</v>
      </c>
      <c r="F87">
        <v>84</v>
      </c>
      <c r="G87" t="s">
        <v>39</v>
      </c>
      <c r="H87" t="s">
        <v>29</v>
      </c>
      <c r="I87">
        <v>54</v>
      </c>
      <c r="J87" t="s">
        <v>40</v>
      </c>
      <c r="K87" t="s">
        <v>41</v>
      </c>
      <c r="L87" t="s">
        <v>54</v>
      </c>
      <c r="M87">
        <v>1</v>
      </c>
      <c r="N87">
        <v>153</v>
      </c>
      <c r="O87" t="s">
        <v>55</v>
      </c>
      <c r="P87">
        <v>30</v>
      </c>
      <c r="Q87">
        <v>60</v>
      </c>
      <c r="R87">
        <v>10</v>
      </c>
      <c r="S87">
        <v>90</v>
      </c>
      <c r="T87">
        <v>83</v>
      </c>
      <c r="U87" t="s">
        <v>35</v>
      </c>
      <c r="V87">
        <f t="shared" si="6"/>
        <v>6.5359477124183009E-3</v>
      </c>
      <c r="W87">
        <f t="shared" si="7"/>
        <v>-9</v>
      </c>
      <c r="X87">
        <f t="shared" si="8"/>
        <v>63</v>
      </c>
      <c r="Y87">
        <f t="shared" si="9"/>
        <v>0.39215686274509803</v>
      </c>
      <c r="Z87" s="7" t="str">
        <f t="shared" si="10"/>
        <v>Low Sales</v>
      </c>
      <c r="AA87" s="7" t="str">
        <f t="shared" si="11"/>
        <v>Low Margin</v>
      </c>
    </row>
    <row r="88" spans="1:27" x14ac:dyDescent="0.25">
      <c r="A88" t="s">
        <v>116</v>
      </c>
      <c r="B88">
        <v>34</v>
      </c>
      <c r="C88">
        <v>-33</v>
      </c>
      <c r="D88" s="1">
        <v>41268</v>
      </c>
      <c r="E88">
        <v>240</v>
      </c>
      <c r="F88">
        <v>43</v>
      </c>
      <c r="G88" t="s">
        <v>39</v>
      </c>
      <c r="H88" t="s">
        <v>36</v>
      </c>
      <c r="I88">
        <v>12</v>
      </c>
      <c r="J88" t="s">
        <v>40</v>
      </c>
      <c r="K88" t="s">
        <v>45</v>
      </c>
      <c r="L88" t="s">
        <v>52</v>
      </c>
      <c r="M88">
        <v>-3</v>
      </c>
      <c r="N88">
        <v>82</v>
      </c>
      <c r="O88" t="s">
        <v>48</v>
      </c>
      <c r="P88">
        <v>40</v>
      </c>
      <c r="Q88">
        <v>60</v>
      </c>
      <c r="R88">
        <v>30</v>
      </c>
      <c r="S88">
        <v>100</v>
      </c>
      <c r="T88">
        <v>45</v>
      </c>
      <c r="U88" t="s">
        <v>35</v>
      </c>
      <c r="V88">
        <f t="shared" si="6"/>
        <v>-3.6585365853658534E-2</v>
      </c>
      <c r="W88">
        <f t="shared" si="7"/>
        <v>-33</v>
      </c>
      <c r="X88">
        <f t="shared" si="8"/>
        <v>-18</v>
      </c>
      <c r="Y88">
        <f t="shared" si="9"/>
        <v>0.41463414634146339</v>
      </c>
      <c r="Z88" s="7" t="str">
        <f t="shared" si="10"/>
        <v>Low Sales</v>
      </c>
      <c r="AA88" s="7" t="str">
        <f t="shared" si="11"/>
        <v>Low Margin</v>
      </c>
    </row>
    <row r="89" spans="1:27" x14ac:dyDescent="0.25">
      <c r="A89" t="s">
        <v>85</v>
      </c>
      <c r="B89">
        <v>54</v>
      </c>
      <c r="C89">
        <v>-22</v>
      </c>
      <c r="D89" s="1">
        <v>41269</v>
      </c>
      <c r="E89">
        <v>404</v>
      </c>
      <c r="F89">
        <v>66</v>
      </c>
      <c r="G89" t="s">
        <v>39</v>
      </c>
      <c r="H89" t="s">
        <v>36</v>
      </c>
      <c r="I89">
        <v>20</v>
      </c>
      <c r="J89" t="s">
        <v>40</v>
      </c>
      <c r="K89" t="s">
        <v>41</v>
      </c>
      <c r="L89" t="s">
        <v>54</v>
      </c>
      <c r="M89">
        <v>18</v>
      </c>
      <c r="N89">
        <v>128</v>
      </c>
      <c r="O89" t="s">
        <v>56</v>
      </c>
      <c r="P89">
        <v>40</v>
      </c>
      <c r="Q89">
        <v>60</v>
      </c>
      <c r="R89">
        <v>40</v>
      </c>
      <c r="S89">
        <v>100</v>
      </c>
      <c r="T89">
        <v>54</v>
      </c>
      <c r="U89" t="s">
        <v>35</v>
      </c>
      <c r="V89">
        <f t="shared" si="6"/>
        <v>0.140625</v>
      </c>
      <c r="W89">
        <f t="shared" si="7"/>
        <v>-22</v>
      </c>
      <c r="X89">
        <f t="shared" si="8"/>
        <v>28</v>
      </c>
      <c r="Y89">
        <f t="shared" si="9"/>
        <v>0.421875</v>
      </c>
      <c r="Z89" s="7" t="str">
        <f t="shared" si="10"/>
        <v>Low Sales</v>
      </c>
      <c r="AA89" s="7" t="str">
        <f t="shared" si="11"/>
        <v>Low Margin</v>
      </c>
    </row>
    <row r="90" spans="1:27" x14ac:dyDescent="0.25">
      <c r="A90" t="s">
        <v>81</v>
      </c>
      <c r="B90">
        <v>45</v>
      </c>
      <c r="C90">
        <v>-39</v>
      </c>
      <c r="D90" s="1">
        <v>41270</v>
      </c>
      <c r="E90">
        <v>320</v>
      </c>
      <c r="F90">
        <v>64</v>
      </c>
      <c r="G90" t="s">
        <v>39</v>
      </c>
      <c r="H90" t="s">
        <v>22</v>
      </c>
      <c r="I90">
        <v>41</v>
      </c>
      <c r="J90" t="s">
        <v>23</v>
      </c>
      <c r="K90" t="s">
        <v>24</v>
      </c>
      <c r="L90" t="s">
        <v>57</v>
      </c>
      <c r="M90">
        <v>-9</v>
      </c>
      <c r="N90">
        <v>116</v>
      </c>
      <c r="O90" t="s">
        <v>58</v>
      </c>
      <c r="P90">
        <v>20</v>
      </c>
      <c r="Q90">
        <v>60</v>
      </c>
      <c r="R90">
        <v>30</v>
      </c>
      <c r="S90">
        <v>80</v>
      </c>
      <c r="T90">
        <v>70</v>
      </c>
      <c r="U90" t="s">
        <v>27</v>
      </c>
      <c r="V90">
        <f t="shared" si="6"/>
        <v>-7.7586206896551727E-2</v>
      </c>
      <c r="W90">
        <f t="shared" si="7"/>
        <v>-39</v>
      </c>
      <c r="X90">
        <f t="shared" si="8"/>
        <v>36</v>
      </c>
      <c r="Y90">
        <f t="shared" si="9"/>
        <v>0.38793103448275862</v>
      </c>
      <c r="Z90" s="7" t="str">
        <f t="shared" si="10"/>
        <v>Low Sales</v>
      </c>
      <c r="AA90" s="7" t="str">
        <f t="shared" si="11"/>
        <v>Low Margin</v>
      </c>
    </row>
    <row r="91" spans="1:27" x14ac:dyDescent="0.25">
      <c r="A91" t="s">
        <v>82</v>
      </c>
      <c r="B91">
        <v>48</v>
      </c>
      <c r="C91">
        <v>7</v>
      </c>
      <c r="D91" s="1">
        <v>41271</v>
      </c>
      <c r="E91">
        <v>851</v>
      </c>
      <c r="F91">
        <v>70</v>
      </c>
      <c r="G91" t="s">
        <v>39</v>
      </c>
      <c r="H91" t="s">
        <v>22</v>
      </c>
      <c r="I91">
        <v>13</v>
      </c>
      <c r="J91" t="s">
        <v>23</v>
      </c>
      <c r="K91" t="s">
        <v>24</v>
      </c>
      <c r="L91" t="s">
        <v>25</v>
      </c>
      <c r="M91">
        <v>67</v>
      </c>
      <c r="N91">
        <v>126</v>
      </c>
      <c r="O91" t="s">
        <v>59</v>
      </c>
      <c r="P91">
        <v>30</v>
      </c>
      <c r="Q91">
        <v>60</v>
      </c>
      <c r="R91">
        <v>60</v>
      </c>
      <c r="S91">
        <v>90</v>
      </c>
      <c r="T91">
        <v>25</v>
      </c>
      <c r="U91" t="s">
        <v>27</v>
      </c>
      <c r="V91">
        <f t="shared" si="6"/>
        <v>0.53174603174603174</v>
      </c>
      <c r="W91">
        <f t="shared" si="7"/>
        <v>7</v>
      </c>
      <c r="X91">
        <f t="shared" si="8"/>
        <v>36</v>
      </c>
      <c r="Y91">
        <f t="shared" si="9"/>
        <v>0.38095238095238093</v>
      </c>
      <c r="Z91" s="7" t="str">
        <f t="shared" si="10"/>
        <v>Low Sales</v>
      </c>
      <c r="AA91" s="7" t="str">
        <f t="shared" si="11"/>
        <v>High Margin</v>
      </c>
    </row>
    <row r="92" spans="1:27" x14ac:dyDescent="0.25">
      <c r="A92" t="s">
        <v>83</v>
      </c>
      <c r="B92">
        <v>49</v>
      </c>
      <c r="C92">
        <v>-11</v>
      </c>
      <c r="D92" s="1">
        <v>41272</v>
      </c>
      <c r="E92">
        <v>310</v>
      </c>
      <c r="F92">
        <v>71</v>
      </c>
      <c r="G92" t="s">
        <v>39</v>
      </c>
      <c r="H92" t="s">
        <v>36</v>
      </c>
      <c r="I92">
        <v>15</v>
      </c>
      <c r="J92" t="s">
        <v>23</v>
      </c>
      <c r="K92" t="s">
        <v>24</v>
      </c>
      <c r="L92" t="s">
        <v>57</v>
      </c>
      <c r="M92">
        <v>49</v>
      </c>
      <c r="N92">
        <v>128</v>
      </c>
      <c r="O92" t="s">
        <v>49</v>
      </c>
      <c r="P92">
        <v>30</v>
      </c>
      <c r="Q92">
        <v>60</v>
      </c>
      <c r="R92">
        <v>60</v>
      </c>
      <c r="S92">
        <v>90</v>
      </c>
      <c r="T92">
        <v>38</v>
      </c>
      <c r="U92" t="s">
        <v>27</v>
      </c>
      <c r="V92">
        <f t="shared" si="6"/>
        <v>0.3828125</v>
      </c>
      <c r="W92">
        <f t="shared" si="7"/>
        <v>-11</v>
      </c>
      <c r="X92">
        <f t="shared" si="8"/>
        <v>38</v>
      </c>
      <c r="Y92">
        <f t="shared" si="9"/>
        <v>0.3828125</v>
      </c>
      <c r="Z92" s="7" t="str">
        <f t="shared" si="10"/>
        <v>Low Sales</v>
      </c>
      <c r="AA92" s="7" t="str">
        <f t="shared" si="11"/>
        <v>High Margin</v>
      </c>
    </row>
    <row r="93" spans="1:27" x14ac:dyDescent="0.25">
      <c r="A93" t="s">
        <v>98</v>
      </c>
      <c r="B93">
        <v>48</v>
      </c>
      <c r="C93">
        <v>10</v>
      </c>
      <c r="D93" s="1">
        <v>41273</v>
      </c>
      <c r="E93">
        <v>829</v>
      </c>
      <c r="F93">
        <v>71</v>
      </c>
      <c r="G93" t="s">
        <v>39</v>
      </c>
      <c r="H93" t="s">
        <v>36</v>
      </c>
      <c r="I93">
        <v>13</v>
      </c>
      <c r="J93" t="s">
        <v>23</v>
      </c>
      <c r="K93" t="s">
        <v>24</v>
      </c>
      <c r="L93" t="s">
        <v>25</v>
      </c>
      <c r="M93">
        <v>70</v>
      </c>
      <c r="N93">
        <v>127</v>
      </c>
      <c r="O93" t="s">
        <v>60</v>
      </c>
      <c r="P93">
        <v>30</v>
      </c>
      <c r="Q93">
        <v>60</v>
      </c>
      <c r="R93">
        <v>60</v>
      </c>
      <c r="S93">
        <v>90</v>
      </c>
      <c r="T93">
        <v>24</v>
      </c>
      <c r="U93" t="s">
        <v>27</v>
      </c>
      <c r="V93">
        <f t="shared" si="6"/>
        <v>0.55118110236220474</v>
      </c>
      <c r="W93">
        <f t="shared" si="7"/>
        <v>10</v>
      </c>
      <c r="X93">
        <f t="shared" si="8"/>
        <v>37</v>
      </c>
      <c r="Y93">
        <f t="shared" si="9"/>
        <v>0.37795275590551181</v>
      </c>
      <c r="Z93" s="7" t="str">
        <f t="shared" si="10"/>
        <v>Low Sales</v>
      </c>
      <c r="AA93" s="7" t="str">
        <f t="shared" si="11"/>
        <v>High Margin</v>
      </c>
    </row>
    <row r="94" spans="1:27" x14ac:dyDescent="0.25">
      <c r="A94" t="s">
        <v>110</v>
      </c>
      <c r="B94">
        <v>40</v>
      </c>
      <c r="C94">
        <v>3</v>
      </c>
      <c r="D94" s="1">
        <v>41274</v>
      </c>
      <c r="E94">
        <v>881</v>
      </c>
      <c r="F94">
        <v>59</v>
      </c>
      <c r="G94" t="s">
        <v>39</v>
      </c>
      <c r="H94" t="s">
        <v>31</v>
      </c>
      <c r="I94">
        <v>11</v>
      </c>
      <c r="J94" t="s">
        <v>23</v>
      </c>
      <c r="K94" t="s">
        <v>32</v>
      </c>
      <c r="L94" t="s">
        <v>33</v>
      </c>
      <c r="M94">
        <v>53</v>
      </c>
      <c r="N94">
        <v>106</v>
      </c>
      <c r="O94" t="s">
        <v>44</v>
      </c>
      <c r="P94">
        <v>40</v>
      </c>
      <c r="Q94">
        <v>60</v>
      </c>
      <c r="R94">
        <v>50</v>
      </c>
      <c r="S94">
        <v>100</v>
      </c>
      <c r="T94">
        <v>23</v>
      </c>
      <c r="U94" t="s">
        <v>35</v>
      </c>
      <c r="V94">
        <f t="shared" si="6"/>
        <v>0.5</v>
      </c>
      <c r="W94">
        <f t="shared" si="7"/>
        <v>3</v>
      </c>
      <c r="X94">
        <f t="shared" si="8"/>
        <v>6</v>
      </c>
      <c r="Y94">
        <f t="shared" si="9"/>
        <v>0.37735849056603776</v>
      </c>
      <c r="Z94" s="7" t="str">
        <f t="shared" si="10"/>
        <v>Low Sales</v>
      </c>
      <c r="AA94" s="7" t="str">
        <f t="shared" si="11"/>
        <v>High Margin</v>
      </c>
    </row>
    <row r="95" spans="1:27" x14ac:dyDescent="0.25">
      <c r="A95" t="s">
        <v>80</v>
      </c>
      <c r="B95">
        <v>82</v>
      </c>
      <c r="C95">
        <v>45</v>
      </c>
      <c r="D95" s="1">
        <v>41275</v>
      </c>
      <c r="E95">
        <v>788</v>
      </c>
      <c r="F95">
        <v>123</v>
      </c>
      <c r="G95" t="s">
        <v>39</v>
      </c>
      <c r="H95" t="s">
        <v>36</v>
      </c>
      <c r="I95">
        <v>27</v>
      </c>
      <c r="J95" t="s">
        <v>23</v>
      </c>
      <c r="K95" t="s">
        <v>32</v>
      </c>
      <c r="L95" t="s">
        <v>61</v>
      </c>
      <c r="M95">
        <v>95</v>
      </c>
      <c r="N95">
        <v>218</v>
      </c>
      <c r="O95" t="s">
        <v>56</v>
      </c>
      <c r="P95">
        <v>30</v>
      </c>
      <c r="Q95">
        <v>60</v>
      </c>
      <c r="R95">
        <v>50</v>
      </c>
      <c r="S95">
        <v>90</v>
      </c>
      <c r="T95">
        <v>59</v>
      </c>
      <c r="U95" t="s">
        <v>35</v>
      </c>
      <c r="V95">
        <f t="shared" si="6"/>
        <v>0.43577981651376146</v>
      </c>
      <c r="W95">
        <f t="shared" si="7"/>
        <v>45</v>
      </c>
      <c r="X95">
        <f t="shared" si="8"/>
        <v>128</v>
      </c>
      <c r="Y95">
        <f t="shared" si="9"/>
        <v>0.37614678899082571</v>
      </c>
      <c r="Z95" s="7" t="str">
        <f t="shared" si="10"/>
        <v>High Sales</v>
      </c>
      <c r="AA95" s="7" t="str">
        <f t="shared" si="11"/>
        <v>High Margin</v>
      </c>
    </row>
    <row r="96" spans="1:27" x14ac:dyDescent="0.25">
      <c r="A96" t="s">
        <v>117</v>
      </c>
      <c r="B96">
        <v>91</v>
      </c>
      <c r="C96">
        <v>63</v>
      </c>
      <c r="D96" s="1">
        <v>41276</v>
      </c>
      <c r="E96">
        <v>656</v>
      </c>
      <c r="F96">
        <v>127</v>
      </c>
      <c r="G96" t="s">
        <v>39</v>
      </c>
      <c r="H96" t="s">
        <v>36</v>
      </c>
      <c r="I96">
        <v>28</v>
      </c>
      <c r="J96" t="s">
        <v>23</v>
      </c>
      <c r="K96" t="s">
        <v>32</v>
      </c>
      <c r="L96" t="s">
        <v>37</v>
      </c>
      <c r="M96">
        <v>113</v>
      </c>
      <c r="N96">
        <v>232</v>
      </c>
      <c r="O96" t="s">
        <v>56</v>
      </c>
      <c r="P96">
        <v>40</v>
      </c>
      <c r="Q96">
        <v>60</v>
      </c>
      <c r="R96">
        <v>50</v>
      </c>
      <c r="S96">
        <v>100</v>
      </c>
      <c r="T96">
        <v>51</v>
      </c>
      <c r="U96" t="s">
        <v>35</v>
      </c>
      <c r="V96">
        <f t="shared" si="6"/>
        <v>0.48706896551724138</v>
      </c>
      <c r="W96">
        <f t="shared" si="7"/>
        <v>63</v>
      </c>
      <c r="X96">
        <f t="shared" si="8"/>
        <v>132</v>
      </c>
      <c r="Y96">
        <f t="shared" si="9"/>
        <v>0.39224137931034481</v>
      </c>
      <c r="Z96" s="7" t="str">
        <f t="shared" si="10"/>
        <v>High Sales</v>
      </c>
      <c r="AA96" s="7" t="str">
        <f t="shared" si="11"/>
        <v>High Margin</v>
      </c>
    </row>
    <row r="97" spans="1:27" x14ac:dyDescent="0.25">
      <c r="A97" t="s">
        <v>90</v>
      </c>
      <c r="B97">
        <v>40</v>
      </c>
      <c r="C97">
        <v>-1</v>
      </c>
      <c r="D97" s="1">
        <v>41277</v>
      </c>
      <c r="E97">
        <v>536</v>
      </c>
      <c r="F97">
        <v>52</v>
      </c>
      <c r="G97" t="s">
        <v>21</v>
      </c>
      <c r="H97" t="s">
        <v>29</v>
      </c>
      <c r="I97">
        <v>13</v>
      </c>
      <c r="J97" t="s">
        <v>40</v>
      </c>
      <c r="K97" t="s">
        <v>45</v>
      </c>
      <c r="L97" t="s">
        <v>46</v>
      </c>
      <c r="M97">
        <v>39</v>
      </c>
      <c r="N97">
        <v>98</v>
      </c>
      <c r="O97" t="s">
        <v>30</v>
      </c>
      <c r="P97">
        <v>40</v>
      </c>
      <c r="Q97">
        <v>60</v>
      </c>
      <c r="R97">
        <v>40</v>
      </c>
      <c r="S97">
        <v>100</v>
      </c>
      <c r="T97">
        <v>26</v>
      </c>
      <c r="U97" t="s">
        <v>27</v>
      </c>
      <c r="V97">
        <f t="shared" si="6"/>
        <v>0.39795918367346939</v>
      </c>
      <c r="W97">
        <f t="shared" si="7"/>
        <v>-1</v>
      </c>
      <c r="X97">
        <f t="shared" si="8"/>
        <v>-2</v>
      </c>
      <c r="Y97">
        <f t="shared" si="9"/>
        <v>0.40816326530612246</v>
      </c>
      <c r="Z97" s="7" t="str">
        <f t="shared" si="10"/>
        <v>Low Sales</v>
      </c>
      <c r="AA97" s="7" t="str">
        <f t="shared" si="11"/>
        <v>High Margin</v>
      </c>
    </row>
    <row r="98" spans="1:27" x14ac:dyDescent="0.25">
      <c r="A98" t="s">
        <v>118</v>
      </c>
      <c r="B98">
        <v>50</v>
      </c>
      <c r="C98">
        <v>31</v>
      </c>
      <c r="D98" s="1">
        <v>41278</v>
      </c>
      <c r="E98">
        <v>589</v>
      </c>
      <c r="F98">
        <v>73</v>
      </c>
      <c r="G98" t="s">
        <v>21</v>
      </c>
      <c r="H98" t="s">
        <v>29</v>
      </c>
      <c r="I98">
        <v>14</v>
      </c>
      <c r="J98" t="s">
        <v>40</v>
      </c>
      <c r="K98" t="s">
        <v>41</v>
      </c>
      <c r="L98" t="s">
        <v>42</v>
      </c>
      <c r="M98">
        <v>71</v>
      </c>
      <c r="N98">
        <v>131</v>
      </c>
      <c r="O98" t="s">
        <v>30</v>
      </c>
      <c r="P98">
        <v>30</v>
      </c>
      <c r="Q98">
        <v>60</v>
      </c>
      <c r="R98">
        <v>40</v>
      </c>
      <c r="S98">
        <v>90</v>
      </c>
      <c r="T98">
        <v>25</v>
      </c>
      <c r="U98" t="s">
        <v>27</v>
      </c>
      <c r="V98">
        <f t="shared" si="6"/>
        <v>0.5419847328244275</v>
      </c>
      <c r="W98">
        <f t="shared" si="7"/>
        <v>31</v>
      </c>
      <c r="X98">
        <f t="shared" si="8"/>
        <v>41</v>
      </c>
      <c r="Y98">
        <f t="shared" si="9"/>
        <v>0.38167938931297712</v>
      </c>
      <c r="Z98" s="7" t="str">
        <f t="shared" si="10"/>
        <v>Low Sales</v>
      </c>
      <c r="AA98" s="7" t="str">
        <f t="shared" si="11"/>
        <v>High Margin</v>
      </c>
    </row>
    <row r="99" spans="1:27" x14ac:dyDescent="0.25">
      <c r="A99" t="s">
        <v>91</v>
      </c>
      <c r="B99">
        <v>40</v>
      </c>
      <c r="C99">
        <v>0</v>
      </c>
      <c r="D99" s="1">
        <v>41279</v>
      </c>
      <c r="E99">
        <v>536</v>
      </c>
      <c r="F99">
        <v>52</v>
      </c>
      <c r="G99" t="s">
        <v>21</v>
      </c>
      <c r="H99" t="s">
        <v>22</v>
      </c>
      <c r="I99">
        <v>13</v>
      </c>
      <c r="J99" t="s">
        <v>40</v>
      </c>
      <c r="K99" t="s">
        <v>45</v>
      </c>
      <c r="L99" t="s">
        <v>52</v>
      </c>
      <c r="M99">
        <v>40</v>
      </c>
      <c r="N99">
        <v>98</v>
      </c>
      <c r="O99" t="s">
        <v>26</v>
      </c>
      <c r="P99">
        <v>30</v>
      </c>
      <c r="Q99">
        <v>60</v>
      </c>
      <c r="R99">
        <v>40</v>
      </c>
      <c r="S99">
        <v>90</v>
      </c>
      <c r="T99">
        <v>25</v>
      </c>
      <c r="U99" t="s">
        <v>35</v>
      </c>
      <c r="V99">
        <f t="shared" si="6"/>
        <v>0.40816326530612246</v>
      </c>
      <c r="W99">
        <f t="shared" si="7"/>
        <v>0</v>
      </c>
      <c r="X99">
        <f t="shared" si="8"/>
        <v>8</v>
      </c>
      <c r="Y99">
        <f t="shared" si="9"/>
        <v>0.40816326530612246</v>
      </c>
      <c r="Z99" s="7" t="str">
        <f t="shared" si="10"/>
        <v>Low Sales</v>
      </c>
      <c r="AA99" s="7" t="str">
        <f t="shared" si="11"/>
        <v>High Margin</v>
      </c>
    </row>
    <row r="100" spans="1:27" x14ac:dyDescent="0.25">
      <c r="A100" t="s">
        <v>93</v>
      </c>
      <c r="B100">
        <v>52</v>
      </c>
      <c r="C100">
        <v>-12</v>
      </c>
      <c r="D100" s="1">
        <v>41280</v>
      </c>
      <c r="E100">
        <v>554</v>
      </c>
      <c r="F100">
        <v>68</v>
      </c>
      <c r="G100" t="s">
        <v>21</v>
      </c>
      <c r="H100" t="s">
        <v>31</v>
      </c>
      <c r="I100">
        <v>47</v>
      </c>
      <c r="J100" t="s">
        <v>40</v>
      </c>
      <c r="K100" t="s">
        <v>41</v>
      </c>
      <c r="L100" t="s">
        <v>53</v>
      </c>
      <c r="M100">
        <v>-12</v>
      </c>
      <c r="N100">
        <v>128</v>
      </c>
      <c r="O100" t="s">
        <v>62</v>
      </c>
      <c r="P100">
        <v>50</v>
      </c>
      <c r="Q100">
        <v>60</v>
      </c>
      <c r="R100">
        <v>0</v>
      </c>
      <c r="S100">
        <v>110</v>
      </c>
      <c r="T100">
        <v>76</v>
      </c>
      <c r="U100" t="s">
        <v>35</v>
      </c>
      <c r="V100">
        <f t="shared" si="6"/>
        <v>-9.375E-2</v>
      </c>
      <c r="W100">
        <f t="shared" si="7"/>
        <v>-12</v>
      </c>
      <c r="X100">
        <f t="shared" si="8"/>
        <v>18</v>
      </c>
      <c r="Y100">
        <f t="shared" si="9"/>
        <v>0.40625</v>
      </c>
      <c r="Z100" s="7" t="str">
        <f t="shared" si="10"/>
        <v>Low Sales</v>
      </c>
      <c r="AA100" s="7" t="str">
        <f t="shared" si="11"/>
        <v>Low Margin</v>
      </c>
    </row>
    <row r="101" spans="1:27" x14ac:dyDescent="0.25">
      <c r="A101" t="s">
        <v>103</v>
      </c>
      <c r="B101">
        <v>75</v>
      </c>
      <c r="C101">
        <v>35</v>
      </c>
      <c r="D101" s="1">
        <v>41281</v>
      </c>
      <c r="E101">
        <v>1063</v>
      </c>
      <c r="F101">
        <v>89</v>
      </c>
      <c r="G101" t="s">
        <v>21</v>
      </c>
      <c r="H101" t="s">
        <v>31</v>
      </c>
      <c r="I101">
        <v>23</v>
      </c>
      <c r="J101" t="s">
        <v>23</v>
      </c>
      <c r="K101" t="s">
        <v>24</v>
      </c>
      <c r="L101" t="s">
        <v>28</v>
      </c>
      <c r="M101">
        <v>65</v>
      </c>
      <c r="N101">
        <v>175</v>
      </c>
      <c r="O101" t="s">
        <v>34</v>
      </c>
      <c r="P101">
        <v>50</v>
      </c>
      <c r="Q101">
        <v>60</v>
      </c>
      <c r="R101">
        <v>30</v>
      </c>
      <c r="S101">
        <v>110</v>
      </c>
      <c r="T101">
        <v>45</v>
      </c>
      <c r="U101" t="s">
        <v>27</v>
      </c>
      <c r="V101">
        <f t="shared" si="6"/>
        <v>0.37142857142857144</v>
      </c>
      <c r="W101">
        <f t="shared" si="7"/>
        <v>35</v>
      </c>
      <c r="X101">
        <f t="shared" si="8"/>
        <v>65</v>
      </c>
      <c r="Y101">
        <f t="shared" si="9"/>
        <v>0.42857142857142855</v>
      </c>
      <c r="Z101" s="7" t="str">
        <f t="shared" si="10"/>
        <v>Low Sales</v>
      </c>
      <c r="AA101" s="7" t="str">
        <f t="shared" si="11"/>
        <v>High Margin</v>
      </c>
    </row>
    <row r="102" spans="1:27" x14ac:dyDescent="0.25">
      <c r="A102" t="s">
        <v>119</v>
      </c>
      <c r="B102">
        <v>46</v>
      </c>
      <c r="C102">
        <v>16</v>
      </c>
      <c r="D102" s="1">
        <v>41282</v>
      </c>
      <c r="E102">
        <v>424</v>
      </c>
      <c r="F102">
        <v>68</v>
      </c>
      <c r="G102" t="s">
        <v>21</v>
      </c>
      <c r="H102" t="s">
        <v>29</v>
      </c>
      <c r="I102">
        <v>14</v>
      </c>
      <c r="J102" t="s">
        <v>23</v>
      </c>
      <c r="K102" t="s">
        <v>24</v>
      </c>
      <c r="L102" t="s">
        <v>25</v>
      </c>
      <c r="M102">
        <v>46</v>
      </c>
      <c r="N102">
        <v>121</v>
      </c>
      <c r="O102" t="s">
        <v>30</v>
      </c>
      <c r="P102">
        <v>40</v>
      </c>
      <c r="Q102">
        <v>60</v>
      </c>
      <c r="R102">
        <v>30</v>
      </c>
      <c r="S102">
        <v>100</v>
      </c>
      <c r="T102">
        <v>37</v>
      </c>
      <c r="U102" t="s">
        <v>27</v>
      </c>
      <c r="V102">
        <f t="shared" si="6"/>
        <v>0.38016528925619836</v>
      </c>
      <c r="W102">
        <f t="shared" si="7"/>
        <v>16</v>
      </c>
      <c r="X102">
        <f t="shared" si="8"/>
        <v>21</v>
      </c>
      <c r="Y102">
        <f t="shared" si="9"/>
        <v>0.38016528925619836</v>
      </c>
      <c r="Z102" s="7" t="str">
        <f t="shared" si="10"/>
        <v>Low Sales</v>
      </c>
      <c r="AA102" s="7" t="str">
        <f t="shared" si="11"/>
        <v>High Margin</v>
      </c>
    </row>
    <row r="103" spans="1:27" x14ac:dyDescent="0.25">
      <c r="A103" t="s">
        <v>91</v>
      </c>
      <c r="B103">
        <v>55</v>
      </c>
      <c r="C103">
        <v>2</v>
      </c>
      <c r="D103" s="1">
        <v>41283</v>
      </c>
      <c r="E103">
        <v>410</v>
      </c>
      <c r="F103">
        <v>69</v>
      </c>
      <c r="G103" t="s">
        <v>21</v>
      </c>
      <c r="H103" t="s">
        <v>22</v>
      </c>
      <c r="I103">
        <v>20</v>
      </c>
      <c r="J103" t="s">
        <v>23</v>
      </c>
      <c r="K103" t="s">
        <v>32</v>
      </c>
      <c r="L103" t="s">
        <v>33</v>
      </c>
      <c r="M103">
        <v>22</v>
      </c>
      <c r="N103">
        <v>132</v>
      </c>
      <c r="O103" t="s">
        <v>26</v>
      </c>
      <c r="P103">
        <v>40</v>
      </c>
      <c r="Q103">
        <v>60</v>
      </c>
      <c r="R103">
        <v>20</v>
      </c>
      <c r="S103">
        <v>100</v>
      </c>
      <c r="T103">
        <v>54</v>
      </c>
      <c r="U103" t="s">
        <v>35</v>
      </c>
      <c r="V103">
        <f t="shared" si="6"/>
        <v>0.16666666666666666</v>
      </c>
      <c r="W103">
        <f t="shared" si="7"/>
        <v>2</v>
      </c>
      <c r="X103">
        <f t="shared" si="8"/>
        <v>32</v>
      </c>
      <c r="Y103">
        <f t="shared" si="9"/>
        <v>0.41666666666666669</v>
      </c>
      <c r="Z103" s="7" t="str">
        <f t="shared" si="10"/>
        <v>Low Sales</v>
      </c>
      <c r="AA103" s="7" t="str">
        <f t="shared" si="11"/>
        <v>High Margin</v>
      </c>
    </row>
    <row r="104" spans="1:27" x14ac:dyDescent="0.25">
      <c r="A104" t="s">
        <v>120</v>
      </c>
      <c r="B104">
        <v>50</v>
      </c>
      <c r="C104">
        <v>31</v>
      </c>
      <c r="D104" s="1">
        <v>41284</v>
      </c>
      <c r="E104">
        <v>589</v>
      </c>
      <c r="F104">
        <v>73</v>
      </c>
      <c r="G104" t="s">
        <v>21</v>
      </c>
      <c r="H104" t="s">
        <v>22</v>
      </c>
      <c r="I104">
        <v>14</v>
      </c>
      <c r="J104" t="s">
        <v>23</v>
      </c>
      <c r="K104" t="s">
        <v>32</v>
      </c>
      <c r="L104" t="s">
        <v>33</v>
      </c>
      <c r="M104">
        <v>71</v>
      </c>
      <c r="N104">
        <v>131</v>
      </c>
      <c r="O104" t="s">
        <v>63</v>
      </c>
      <c r="P104">
        <v>40</v>
      </c>
      <c r="Q104">
        <v>60</v>
      </c>
      <c r="R104">
        <v>40</v>
      </c>
      <c r="S104">
        <v>100</v>
      </c>
      <c r="T104">
        <v>25</v>
      </c>
      <c r="U104" t="s">
        <v>35</v>
      </c>
      <c r="V104">
        <f t="shared" si="6"/>
        <v>0.5419847328244275</v>
      </c>
      <c r="W104">
        <f t="shared" si="7"/>
        <v>31</v>
      </c>
      <c r="X104">
        <f t="shared" si="8"/>
        <v>31</v>
      </c>
      <c r="Y104">
        <f t="shared" si="9"/>
        <v>0.38167938931297712</v>
      </c>
      <c r="Z104" s="7" t="str">
        <f t="shared" si="10"/>
        <v>Low Sales</v>
      </c>
      <c r="AA104" s="7" t="str">
        <f t="shared" si="11"/>
        <v>High Margin</v>
      </c>
    </row>
    <row r="105" spans="1:27" x14ac:dyDescent="0.25">
      <c r="A105" t="s">
        <v>91</v>
      </c>
      <c r="B105">
        <v>57</v>
      </c>
      <c r="C105">
        <v>13</v>
      </c>
      <c r="D105" s="1">
        <v>41285</v>
      </c>
      <c r="E105">
        <v>1042</v>
      </c>
      <c r="F105">
        <v>68</v>
      </c>
      <c r="G105" t="s">
        <v>21</v>
      </c>
      <c r="H105" t="s">
        <v>22</v>
      </c>
      <c r="I105">
        <v>17</v>
      </c>
      <c r="J105" t="s">
        <v>23</v>
      </c>
      <c r="K105" t="s">
        <v>32</v>
      </c>
      <c r="L105" t="s">
        <v>61</v>
      </c>
      <c r="M105">
        <v>43</v>
      </c>
      <c r="N105">
        <v>133</v>
      </c>
      <c r="O105" t="s">
        <v>26</v>
      </c>
      <c r="P105">
        <v>40</v>
      </c>
      <c r="Q105">
        <v>60</v>
      </c>
      <c r="R105">
        <v>30</v>
      </c>
      <c r="S105">
        <v>100</v>
      </c>
      <c r="T105">
        <v>39</v>
      </c>
      <c r="U105" t="s">
        <v>35</v>
      </c>
      <c r="V105">
        <f t="shared" si="6"/>
        <v>0.32330827067669171</v>
      </c>
      <c r="W105">
        <f t="shared" si="7"/>
        <v>13</v>
      </c>
      <c r="X105">
        <f t="shared" si="8"/>
        <v>33</v>
      </c>
      <c r="Y105">
        <f t="shared" si="9"/>
        <v>0.42857142857142855</v>
      </c>
      <c r="Z105" s="7" t="str">
        <f t="shared" si="10"/>
        <v>Low Sales</v>
      </c>
      <c r="AA105" s="7" t="str">
        <f t="shared" si="11"/>
        <v>High Margin</v>
      </c>
    </row>
    <row r="106" spans="1:27" x14ac:dyDescent="0.25">
      <c r="A106" t="s">
        <v>121</v>
      </c>
      <c r="B106">
        <v>36</v>
      </c>
      <c r="C106">
        <v>6</v>
      </c>
      <c r="D106" s="1">
        <v>41286</v>
      </c>
      <c r="E106">
        <v>862</v>
      </c>
      <c r="F106">
        <v>52</v>
      </c>
      <c r="G106" t="s">
        <v>21</v>
      </c>
      <c r="H106" t="s">
        <v>31</v>
      </c>
      <c r="I106">
        <v>10</v>
      </c>
      <c r="J106" t="s">
        <v>23</v>
      </c>
      <c r="K106" t="s">
        <v>32</v>
      </c>
      <c r="L106" t="s">
        <v>33</v>
      </c>
      <c r="M106">
        <v>46</v>
      </c>
      <c r="N106">
        <v>94</v>
      </c>
      <c r="O106" t="s">
        <v>62</v>
      </c>
      <c r="P106">
        <v>30</v>
      </c>
      <c r="Q106">
        <v>60</v>
      </c>
      <c r="R106">
        <v>40</v>
      </c>
      <c r="S106">
        <v>90</v>
      </c>
      <c r="T106">
        <v>21</v>
      </c>
      <c r="U106" t="s">
        <v>35</v>
      </c>
      <c r="V106">
        <f t="shared" si="6"/>
        <v>0.48936170212765956</v>
      </c>
      <c r="W106">
        <f t="shared" si="7"/>
        <v>6</v>
      </c>
      <c r="X106">
        <f t="shared" si="8"/>
        <v>4</v>
      </c>
      <c r="Y106">
        <f t="shared" si="9"/>
        <v>0.38297872340425532</v>
      </c>
      <c r="Z106" s="7" t="str">
        <f t="shared" si="10"/>
        <v>Low Sales</v>
      </c>
      <c r="AA106" s="7" t="str">
        <f t="shared" si="11"/>
        <v>High Margin</v>
      </c>
    </row>
    <row r="107" spans="1:27" x14ac:dyDescent="0.25">
      <c r="A107" t="s">
        <v>122</v>
      </c>
      <c r="B107">
        <v>33</v>
      </c>
      <c r="C107">
        <v>-10</v>
      </c>
      <c r="D107" s="1">
        <v>41287</v>
      </c>
      <c r="E107">
        <v>836</v>
      </c>
      <c r="F107">
        <v>48</v>
      </c>
      <c r="G107" t="s">
        <v>39</v>
      </c>
      <c r="H107" t="s">
        <v>22</v>
      </c>
      <c r="I107">
        <v>9</v>
      </c>
      <c r="J107" t="s">
        <v>40</v>
      </c>
      <c r="K107" t="s">
        <v>41</v>
      </c>
      <c r="L107" t="s">
        <v>42</v>
      </c>
      <c r="M107">
        <v>40</v>
      </c>
      <c r="N107">
        <v>86</v>
      </c>
      <c r="O107" t="s">
        <v>58</v>
      </c>
      <c r="P107">
        <v>40</v>
      </c>
      <c r="Q107">
        <v>60</v>
      </c>
      <c r="R107">
        <v>50</v>
      </c>
      <c r="S107">
        <v>100</v>
      </c>
      <c r="T107">
        <v>21</v>
      </c>
      <c r="U107" t="s">
        <v>27</v>
      </c>
      <c r="V107">
        <f t="shared" si="6"/>
        <v>0.46511627906976744</v>
      </c>
      <c r="W107">
        <f t="shared" si="7"/>
        <v>-10</v>
      </c>
      <c r="X107">
        <f t="shared" si="8"/>
        <v>-14</v>
      </c>
      <c r="Y107">
        <f t="shared" si="9"/>
        <v>0.38372093023255816</v>
      </c>
      <c r="Z107" s="7" t="str">
        <f t="shared" si="10"/>
        <v>Low Sales</v>
      </c>
      <c r="AA107" s="7" t="str">
        <f t="shared" si="11"/>
        <v>High Margin</v>
      </c>
    </row>
    <row r="108" spans="1:27" x14ac:dyDescent="0.25">
      <c r="A108" t="s">
        <v>95</v>
      </c>
      <c r="B108">
        <v>31</v>
      </c>
      <c r="C108">
        <v>-8</v>
      </c>
      <c r="D108" s="1">
        <v>41288</v>
      </c>
      <c r="E108">
        <v>856</v>
      </c>
      <c r="F108">
        <v>47</v>
      </c>
      <c r="G108" t="s">
        <v>39</v>
      </c>
      <c r="H108" t="s">
        <v>29</v>
      </c>
      <c r="I108">
        <v>8</v>
      </c>
      <c r="J108" t="s">
        <v>40</v>
      </c>
      <c r="K108" t="s">
        <v>45</v>
      </c>
      <c r="L108" t="s">
        <v>46</v>
      </c>
      <c r="M108">
        <v>42</v>
      </c>
      <c r="N108">
        <v>83</v>
      </c>
      <c r="O108" t="s">
        <v>55</v>
      </c>
      <c r="P108">
        <v>30</v>
      </c>
      <c r="Q108">
        <v>60</v>
      </c>
      <c r="R108">
        <v>50</v>
      </c>
      <c r="S108">
        <v>90</v>
      </c>
      <c r="T108">
        <v>19</v>
      </c>
      <c r="U108" t="s">
        <v>27</v>
      </c>
      <c r="V108">
        <f t="shared" si="6"/>
        <v>0.50602409638554213</v>
      </c>
      <c r="W108">
        <f t="shared" si="7"/>
        <v>-8</v>
      </c>
      <c r="X108">
        <f t="shared" si="8"/>
        <v>-7</v>
      </c>
      <c r="Y108">
        <f t="shared" si="9"/>
        <v>0.37349397590361444</v>
      </c>
      <c r="Z108" s="7" t="str">
        <f t="shared" si="10"/>
        <v>Low Sales</v>
      </c>
      <c r="AA108" s="7" t="str">
        <f t="shared" si="11"/>
        <v>High Margin</v>
      </c>
    </row>
    <row r="109" spans="1:27" x14ac:dyDescent="0.25">
      <c r="A109" t="s">
        <v>96</v>
      </c>
      <c r="B109">
        <v>36</v>
      </c>
      <c r="C109">
        <v>5</v>
      </c>
      <c r="D109" s="1">
        <v>41289</v>
      </c>
      <c r="E109">
        <v>862</v>
      </c>
      <c r="F109">
        <v>52</v>
      </c>
      <c r="G109" t="s">
        <v>39</v>
      </c>
      <c r="H109" t="s">
        <v>29</v>
      </c>
      <c r="I109">
        <v>10</v>
      </c>
      <c r="J109" t="s">
        <v>40</v>
      </c>
      <c r="K109" t="s">
        <v>45</v>
      </c>
      <c r="L109" t="s">
        <v>46</v>
      </c>
      <c r="M109">
        <v>45</v>
      </c>
      <c r="N109">
        <v>94</v>
      </c>
      <c r="O109" t="s">
        <v>47</v>
      </c>
      <c r="P109">
        <v>40</v>
      </c>
      <c r="Q109">
        <v>60</v>
      </c>
      <c r="R109">
        <v>40</v>
      </c>
      <c r="S109">
        <v>100</v>
      </c>
      <c r="T109">
        <v>22</v>
      </c>
      <c r="U109" t="s">
        <v>27</v>
      </c>
      <c r="V109">
        <f t="shared" si="6"/>
        <v>0.47872340425531917</v>
      </c>
      <c r="W109">
        <f t="shared" si="7"/>
        <v>5</v>
      </c>
      <c r="X109">
        <f t="shared" si="8"/>
        <v>-6</v>
      </c>
      <c r="Y109">
        <f t="shared" si="9"/>
        <v>0.38297872340425532</v>
      </c>
      <c r="Z109" s="7" t="str">
        <f t="shared" si="10"/>
        <v>Low Sales</v>
      </c>
      <c r="AA109" s="7" t="str">
        <f t="shared" si="11"/>
        <v>High Margin</v>
      </c>
    </row>
    <row r="110" spans="1:27" x14ac:dyDescent="0.25">
      <c r="A110" t="s">
        <v>123</v>
      </c>
      <c r="B110">
        <v>49</v>
      </c>
      <c r="C110">
        <v>20</v>
      </c>
      <c r="D110" s="1">
        <v>41290</v>
      </c>
      <c r="E110">
        <v>454</v>
      </c>
      <c r="F110">
        <v>71</v>
      </c>
      <c r="G110" t="s">
        <v>39</v>
      </c>
      <c r="H110" t="s">
        <v>29</v>
      </c>
      <c r="I110">
        <v>15</v>
      </c>
      <c r="J110" t="s">
        <v>40</v>
      </c>
      <c r="K110" t="s">
        <v>41</v>
      </c>
      <c r="L110" t="s">
        <v>42</v>
      </c>
      <c r="M110">
        <v>50</v>
      </c>
      <c r="N110">
        <v>128</v>
      </c>
      <c r="O110" t="s">
        <v>55</v>
      </c>
      <c r="P110">
        <v>30</v>
      </c>
      <c r="Q110">
        <v>60</v>
      </c>
      <c r="R110">
        <v>30</v>
      </c>
      <c r="S110">
        <v>90</v>
      </c>
      <c r="T110">
        <v>37</v>
      </c>
      <c r="U110" t="s">
        <v>27</v>
      </c>
      <c r="V110">
        <f t="shared" si="6"/>
        <v>0.390625</v>
      </c>
      <c r="W110">
        <f t="shared" si="7"/>
        <v>20</v>
      </c>
      <c r="X110">
        <f t="shared" si="8"/>
        <v>38</v>
      </c>
      <c r="Y110">
        <f t="shared" si="9"/>
        <v>0.3828125</v>
      </c>
      <c r="Z110" s="7" t="str">
        <f t="shared" si="10"/>
        <v>Low Sales</v>
      </c>
      <c r="AA110" s="7" t="str">
        <f t="shared" si="11"/>
        <v>High Margin</v>
      </c>
    </row>
    <row r="111" spans="1:27" x14ac:dyDescent="0.25">
      <c r="A111" t="s">
        <v>82</v>
      </c>
      <c r="B111">
        <v>54</v>
      </c>
      <c r="C111">
        <v>1</v>
      </c>
      <c r="D111" s="1">
        <v>41291</v>
      </c>
      <c r="E111">
        <v>391</v>
      </c>
      <c r="F111">
        <v>67</v>
      </c>
      <c r="G111" t="s">
        <v>39</v>
      </c>
      <c r="H111" t="s">
        <v>22</v>
      </c>
      <c r="I111">
        <v>20</v>
      </c>
      <c r="J111" t="s">
        <v>40</v>
      </c>
      <c r="K111" t="s">
        <v>45</v>
      </c>
      <c r="L111" t="s">
        <v>50</v>
      </c>
      <c r="M111">
        <v>21</v>
      </c>
      <c r="N111">
        <v>129</v>
      </c>
      <c r="O111" t="s">
        <v>59</v>
      </c>
      <c r="P111">
        <v>50</v>
      </c>
      <c r="Q111">
        <v>60</v>
      </c>
      <c r="R111">
        <v>20</v>
      </c>
      <c r="S111">
        <v>110</v>
      </c>
      <c r="T111">
        <v>53</v>
      </c>
      <c r="U111" t="s">
        <v>35</v>
      </c>
      <c r="V111">
        <f t="shared" si="6"/>
        <v>0.16279069767441862</v>
      </c>
      <c r="W111">
        <f t="shared" si="7"/>
        <v>1</v>
      </c>
      <c r="X111">
        <f t="shared" si="8"/>
        <v>19</v>
      </c>
      <c r="Y111">
        <f t="shared" si="9"/>
        <v>0.41860465116279072</v>
      </c>
      <c r="Z111" s="7" t="str">
        <f t="shared" si="10"/>
        <v>Low Sales</v>
      </c>
      <c r="AA111" s="7" t="str">
        <f t="shared" si="11"/>
        <v>High Margin</v>
      </c>
    </row>
    <row r="112" spans="1:27" x14ac:dyDescent="0.25">
      <c r="A112" t="s">
        <v>78</v>
      </c>
      <c r="B112">
        <v>46</v>
      </c>
      <c r="C112">
        <v>5</v>
      </c>
      <c r="D112" s="1">
        <v>41292</v>
      </c>
      <c r="E112">
        <v>316</v>
      </c>
      <c r="F112">
        <v>67</v>
      </c>
      <c r="G112" t="s">
        <v>39</v>
      </c>
      <c r="H112" t="s">
        <v>31</v>
      </c>
      <c r="I112">
        <v>14</v>
      </c>
      <c r="J112" t="s">
        <v>40</v>
      </c>
      <c r="K112" t="s">
        <v>45</v>
      </c>
      <c r="L112" t="s">
        <v>50</v>
      </c>
      <c r="M112">
        <v>45</v>
      </c>
      <c r="N112">
        <v>120</v>
      </c>
      <c r="O112" t="s">
        <v>51</v>
      </c>
      <c r="P112">
        <v>40</v>
      </c>
      <c r="Q112">
        <v>60</v>
      </c>
      <c r="R112">
        <v>40</v>
      </c>
      <c r="S112">
        <v>100</v>
      </c>
      <c r="T112">
        <v>37</v>
      </c>
      <c r="U112" t="s">
        <v>35</v>
      </c>
      <c r="V112">
        <f t="shared" si="6"/>
        <v>0.375</v>
      </c>
      <c r="W112">
        <f t="shared" si="7"/>
        <v>5</v>
      </c>
      <c r="X112">
        <f t="shared" si="8"/>
        <v>20</v>
      </c>
      <c r="Y112">
        <f t="shared" si="9"/>
        <v>0.38333333333333336</v>
      </c>
      <c r="Z112" s="7" t="str">
        <f t="shared" si="10"/>
        <v>Low Sales</v>
      </c>
      <c r="AA112" s="7" t="str">
        <f t="shared" si="11"/>
        <v>High Margin</v>
      </c>
    </row>
    <row r="113" spans="1:27" x14ac:dyDescent="0.25">
      <c r="A113" t="s">
        <v>78</v>
      </c>
      <c r="B113">
        <v>43</v>
      </c>
      <c r="C113">
        <v>0</v>
      </c>
      <c r="D113" s="1">
        <v>41293</v>
      </c>
      <c r="E113">
        <v>452</v>
      </c>
      <c r="F113">
        <v>66</v>
      </c>
      <c r="G113" t="s">
        <v>39</v>
      </c>
      <c r="H113" t="s">
        <v>31</v>
      </c>
      <c r="I113">
        <v>14</v>
      </c>
      <c r="J113" t="s">
        <v>40</v>
      </c>
      <c r="K113" t="s">
        <v>45</v>
      </c>
      <c r="L113" t="s">
        <v>52</v>
      </c>
      <c r="M113">
        <v>30</v>
      </c>
      <c r="N113">
        <v>116</v>
      </c>
      <c r="O113" t="s">
        <v>51</v>
      </c>
      <c r="P113">
        <v>30</v>
      </c>
      <c r="Q113">
        <v>60</v>
      </c>
      <c r="R113">
        <v>30</v>
      </c>
      <c r="S113">
        <v>90</v>
      </c>
      <c r="T113">
        <v>46</v>
      </c>
      <c r="U113" t="s">
        <v>35</v>
      </c>
      <c r="V113">
        <f t="shared" si="6"/>
        <v>0.25862068965517243</v>
      </c>
      <c r="W113">
        <f t="shared" si="7"/>
        <v>0</v>
      </c>
      <c r="X113">
        <f t="shared" si="8"/>
        <v>26</v>
      </c>
      <c r="Y113">
        <f t="shared" si="9"/>
        <v>0.37068965517241381</v>
      </c>
      <c r="Z113" s="7" t="str">
        <f t="shared" si="10"/>
        <v>Low Sales</v>
      </c>
      <c r="AA113" s="7" t="str">
        <f t="shared" si="11"/>
        <v>High Margin</v>
      </c>
    </row>
    <row r="114" spans="1:27" x14ac:dyDescent="0.25">
      <c r="A114" t="s">
        <v>78</v>
      </c>
      <c r="B114">
        <v>44</v>
      </c>
      <c r="C114">
        <v>-22</v>
      </c>
      <c r="D114" s="1">
        <v>41294</v>
      </c>
      <c r="E114">
        <v>325</v>
      </c>
      <c r="F114">
        <v>62</v>
      </c>
      <c r="G114" t="s">
        <v>39</v>
      </c>
      <c r="H114" t="s">
        <v>31</v>
      </c>
      <c r="I114">
        <v>40</v>
      </c>
      <c r="J114" t="s">
        <v>40</v>
      </c>
      <c r="K114" t="s">
        <v>41</v>
      </c>
      <c r="L114" t="s">
        <v>53</v>
      </c>
      <c r="M114">
        <v>-12</v>
      </c>
      <c r="N114">
        <v>113</v>
      </c>
      <c r="O114" t="s">
        <v>51</v>
      </c>
      <c r="P114">
        <v>40</v>
      </c>
      <c r="Q114">
        <v>60</v>
      </c>
      <c r="R114">
        <v>10</v>
      </c>
      <c r="S114">
        <v>100</v>
      </c>
      <c r="T114">
        <v>70</v>
      </c>
      <c r="U114" t="s">
        <v>35</v>
      </c>
      <c r="V114">
        <f t="shared" si="6"/>
        <v>-0.10619469026548672</v>
      </c>
      <c r="W114">
        <f t="shared" si="7"/>
        <v>-22</v>
      </c>
      <c r="X114">
        <f t="shared" si="8"/>
        <v>13</v>
      </c>
      <c r="Y114">
        <f t="shared" si="9"/>
        <v>0.38938053097345132</v>
      </c>
      <c r="Z114" s="7" t="str">
        <f t="shared" si="10"/>
        <v>Low Sales</v>
      </c>
      <c r="AA114" s="7" t="str">
        <f t="shared" si="11"/>
        <v>Low Margin</v>
      </c>
    </row>
    <row r="115" spans="1:27" x14ac:dyDescent="0.25">
      <c r="A115" t="s">
        <v>79</v>
      </c>
      <c r="B115">
        <v>53</v>
      </c>
      <c r="C115">
        <v>43</v>
      </c>
      <c r="D115" s="1">
        <v>41295</v>
      </c>
      <c r="E115">
        <v>321</v>
      </c>
      <c r="F115">
        <v>88</v>
      </c>
      <c r="G115" t="s">
        <v>39</v>
      </c>
      <c r="H115" t="s">
        <v>29</v>
      </c>
      <c r="I115">
        <v>16</v>
      </c>
      <c r="J115" t="s">
        <v>40</v>
      </c>
      <c r="K115" t="s">
        <v>41</v>
      </c>
      <c r="L115" t="s">
        <v>53</v>
      </c>
      <c r="M115">
        <v>73</v>
      </c>
      <c r="N115">
        <v>150</v>
      </c>
      <c r="O115" t="s">
        <v>55</v>
      </c>
      <c r="P115">
        <v>40</v>
      </c>
      <c r="Q115">
        <v>60</v>
      </c>
      <c r="R115">
        <v>30</v>
      </c>
      <c r="S115">
        <v>100</v>
      </c>
      <c r="T115">
        <v>39</v>
      </c>
      <c r="U115" t="s">
        <v>35</v>
      </c>
      <c r="V115">
        <f t="shared" si="6"/>
        <v>0.48666666666666669</v>
      </c>
      <c r="W115">
        <f t="shared" si="7"/>
        <v>43</v>
      </c>
      <c r="X115">
        <f t="shared" si="8"/>
        <v>50</v>
      </c>
      <c r="Y115">
        <f t="shared" si="9"/>
        <v>0.35333333333333333</v>
      </c>
      <c r="Z115" s="7" t="str">
        <f t="shared" si="10"/>
        <v>Low Sales</v>
      </c>
      <c r="AA115" s="7" t="str">
        <f t="shared" si="11"/>
        <v>High Margin</v>
      </c>
    </row>
    <row r="116" spans="1:27" x14ac:dyDescent="0.25">
      <c r="A116" t="s">
        <v>100</v>
      </c>
      <c r="B116">
        <v>54</v>
      </c>
      <c r="C116">
        <v>-1</v>
      </c>
      <c r="D116" s="1">
        <v>41296</v>
      </c>
      <c r="E116">
        <v>391</v>
      </c>
      <c r="F116">
        <v>67</v>
      </c>
      <c r="G116" t="s">
        <v>39</v>
      </c>
      <c r="H116" t="s">
        <v>36</v>
      </c>
      <c r="I116">
        <v>20</v>
      </c>
      <c r="J116" t="s">
        <v>40</v>
      </c>
      <c r="K116" t="s">
        <v>41</v>
      </c>
      <c r="L116" t="s">
        <v>53</v>
      </c>
      <c r="M116">
        <v>19</v>
      </c>
      <c r="N116">
        <v>129</v>
      </c>
      <c r="O116" t="s">
        <v>60</v>
      </c>
      <c r="P116">
        <v>50</v>
      </c>
      <c r="Q116">
        <v>60</v>
      </c>
      <c r="R116">
        <v>20</v>
      </c>
      <c r="S116">
        <v>110</v>
      </c>
      <c r="T116">
        <v>54</v>
      </c>
      <c r="U116" t="s">
        <v>35</v>
      </c>
      <c r="V116">
        <f t="shared" si="6"/>
        <v>0.14728682170542637</v>
      </c>
      <c r="W116">
        <f t="shared" si="7"/>
        <v>-1</v>
      </c>
      <c r="X116">
        <f t="shared" si="8"/>
        <v>19</v>
      </c>
      <c r="Y116">
        <f t="shared" si="9"/>
        <v>0.41860465116279072</v>
      </c>
      <c r="Z116" s="7" t="str">
        <f t="shared" si="10"/>
        <v>Low Sales</v>
      </c>
      <c r="AA116" s="7" t="str">
        <f t="shared" si="11"/>
        <v>High Margin</v>
      </c>
    </row>
    <row r="117" spans="1:27" x14ac:dyDescent="0.25">
      <c r="A117" t="s">
        <v>96</v>
      </c>
      <c r="B117">
        <v>54</v>
      </c>
      <c r="C117">
        <v>-1</v>
      </c>
      <c r="D117" s="1">
        <v>41297</v>
      </c>
      <c r="E117">
        <v>391</v>
      </c>
      <c r="F117">
        <v>67</v>
      </c>
      <c r="G117" t="s">
        <v>39</v>
      </c>
      <c r="H117" t="s">
        <v>29</v>
      </c>
      <c r="I117">
        <v>20</v>
      </c>
      <c r="J117" t="s">
        <v>23</v>
      </c>
      <c r="K117" t="s">
        <v>24</v>
      </c>
      <c r="L117" t="s">
        <v>57</v>
      </c>
      <c r="M117">
        <v>19</v>
      </c>
      <c r="N117">
        <v>129</v>
      </c>
      <c r="O117" t="s">
        <v>47</v>
      </c>
      <c r="P117">
        <v>50</v>
      </c>
      <c r="Q117">
        <v>60</v>
      </c>
      <c r="R117">
        <v>20</v>
      </c>
      <c r="S117">
        <v>110</v>
      </c>
      <c r="T117">
        <v>54</v>
      </c>
      <c r="U117" t="s">
        <v>27</v>
      </c>
      <c r="V117">
        <f t="shared" si="6"/>
        <v>0.14728682170542637</v>
      </c>
      <c r="W117">
        <f t="shared" si="7"/>
        <v>-1</v>
      </c>
      <c r="X117">
        <f t="shared" si="8"/>
        <v>19</v>
      </c>
      <c r="Y117">
        <f t="shared" si="9"/>
        <v>0.41860465116279072</v>
      </c>
      <c r="Z117" s="7" t="str">
        <f t="shared" si="10"/>
        <v>Low Sales</v>
      </c>
      <c r="AA117" s="7" t="str">
        <f t="shared" si="11"/>
        <v>High Margin</v>
      </c>
    </row>
    <row r="118" spans="1:27" x14ac:dyDescent="0.25">
      <c r="A118" t="s">
        <v>77</v>
      </c>
      <c r="B118">
        <v>46</v>
      </c>
      <c r="C118">
        <v>15</v>
      </c>
      <c r="D118" s="1">
        <v>41298</v>
      </c>
      <c r="E118">
        <v>316</v>
      </c>
      <c r="F118">
        <v>67</v>
      </c>
      <c r="G118" t="s">
        <v>39</v>
      </c>
      <c r="H118" t="s">
        <v>36</v>
      </c>
      <c r="I118">
        <v>14</v>
      </c>
      <c r="J118" t="s">
        <v>23</v>
      </c>
      <c r="K118" t="s">
        <v>24</v>
      </c>
      <c r="L118" t="s">
        <v>57</v>
      </c>
      <c r="M118">
        <v>45</v>
      </c>
      <c r="N118">
        <v>120</v>
      </c>
      <c r="O118" t="s">
        <v>49</v>
      </c>
      <c r="P118">
        <v>40</v>
      </c>
      <c r="Q118">
        <v>60</v>
      </c>
      <c r="R118">
        <v>30</v>
      </c>
      <c r="S118">
        <v>100</v>
      </c>
      <c r="T118">
        <v>37</v>
      </c>
      <c r="U118" t="s">
        <v>27</v>
      </c>
      <c r="V118">
        <f t="shared" si="6"/>
        <v>0.375</v>
      </c>
      <c r="W118">
        <f t="shared" si="7"/>
        <v>15</v>
      </c>
      <c r="X118">
        <f t="shared" si="8"/>
        <v>20</v>
      </c>
      <c r="Y118">
        <f t="shared" si="9"/>
        <v>0.38333333333333336</v>
      </c>
      <c r="Z118" s="7" t="str">
        <f t="shared" si="10"/>
        <v>Low Sales</v>
      </c>
      <c r="AA118" s="7" t="str">
        <f t="shared" si="11"/>
        <v>High Margin</v>
      </c>
    </row>
    <row r="119" spans="1:27" x14ac:dyDescent="0.25">
      <c r="A119" t="s">
        <v>77</v>
      </c>
      <c r="B119">
        <v>43</v>
      </c>
      <c r="C119">
        <v>0</v>
      </c>
      <c r="D119" s="1">
        <v>41299</v>
      </c>
      <c r="E119">
        <v>452</v>
      </c>
      <c r="F119">
        <v>66</v>
      </c>
      <c r="G119" t="s">
        <v>39</v>
      </c>
      <c r="H119" t="s">
        <v>36</v>
      </c>
      <c r="I119">
        <v>14</v>
      </c>
      <c r="J119" t="s">
        <v>23</v>
      </c>
      <c r="K119" t="s">
        <v>24</v>
      </c>
      <c r="L119" t="s">
        <v>25</v>
      </c>
      <c r="M119">
        <v>30</v>
      </c>
      <c r="N119">
        <v>116</v>
      </c>
      <c r="O119" t="s">
        <v>49</v>
      </c>
      <c r="P119">
        <v>40</v>
      </c>
      <c r="Q119">
        <v>60</v>
      </c>
      <c r="R119">
        <v>30</v>
      </c>
      <c r="S119">
        <v>100</v>
      </c>
      <c r="T119">
        <v>46</v>
      </c>
      <c r="U119" t="s">
        <v>27</v>
      </c>
      <c r="V119">
        <f t="shared" si="6"/>
        <v>0.25862068965517243</v>
      </c>
      <c r="W119">
        <f t="shared" si="7"/>
        <v>0</v>
      </c>
      <c r="X119">
        <f t="shared" si="8"/>
        <v>16</v>
      </c>
      <c r="Y119">
        <f t="shared" si="9"/>
        <v>0.37068965517241381</v>
      </c>
      <c r="Z119" s="7" t="str">
        <f t="shared" si="10"/>
        <v>Low Sales</v>
      </c>
      <c r="AA119" s="7" t="str">
        <f t="shared" si="11"/>
        <v>High Margin</v>
      </c>
    </row>
    <row r="120" spans="1:27" x14ac:dyDescent="0.25">
      <c r="A120" t="s">
        <v>124</v>
      </c>
      <c r="B120">
        <v>47</v>
      </c>
      <c r="C120">
        <v>25</v>
      </c>
      <c r="D120" s="1">
        <v>41300</v>
      </c>
      <c r="E120">
        <v>834</v>
      </c>
      <c r="F120">
        <v>68</v>
      </c>
      <c r="G120" t="s">
        <v>39</v>
      </c>
      <c r="H120" t="s">
        <v>36</v>
      </c>
      <c r="I120">
        <v>13</v>
      </c>
      <c r="J120" t="s">
        <v>23</v>
      </c>
      <c r="K120" t="s">
        <v>24</v>
      </c>
      <c r="L120" t="s">
        <v>25</v>
      </c>
      <c r="M120">
        <v>65</v>
      </c>
      <c r="N120">
        <v>123</v>
      </c>
      <c r="O120" t="s">
        <v>60</v>
      </c>
      <c r="P120">
        <v>40</v>
      </c>
      <c r="Q120">
        <v>60</v>
      </c>
      <c r="R120">
        <v>40</v>
      </c>
      <c r="S120">
        <v>100</v>
      </c>
      <c r="T120">
        <v>24</v>
      </c>
      <c r="U120" t="s">
        <v>27</v>
      </c>
      <c r="V120">
        <f t="shared" si="6"/>
        <v>0.52845528455284552</v>
      </c>
      <c r="W120">
        <f t="shared" si="7"/>
        <v>25</v>
      </c>
      <c r="X120">
        <f t="shared" si="8"/>
        <v>23</v>
      </c>
      <c r="Y120">
        <f t="shared" si="9"/>
        <v>0.38211382113821141</v>
      </c>
      <c r="Z120" s="7" t="str">
        <f t="shared" si="10"/>
        <v>Low Sales</v>
      </c>
      <c r="AA120" s="7" t="str">
        <f t="shared" si="11"/>
        <v>High Margin</v>
      </c>
    </row>
    <row r="121" spans="1:27" x14ac:dyDescent="0.25">
      <c r="A121" t="s">
        <v>99</v>
      </c>
      <c r="B121">
        <v>36</v>
      </c>
      <c r="C121">
        <v>9</v>
      </c>
      <c r="D121" s="1">
        <v>41301</v>
      </c>
      <c r="E121">
        <v>809</v>
      </c>
      <c r="F121">
        <v>54</v>
      </c>
      <c r="G121" t="s">
        <v>39</v>
      </c>
      <c r="H121" t="s">
        <v>31</v>
      </c>
      <c r="I121">
        <v>10</v>
      </c>
      <c r="J121" t="s">
        <v>23</v>
      </c>
      <c r="K121" t="s">
        <v>32</v>
      </c>
      <c r="L121" t="s">
        <v>37</v>
      </c>
      <c r="M121">
        <v>49</v>
      </c>
      <c r="N121">
        <v>96</v>
      </c>
      <c r="O121" t="s">
        <v>44</v>
      </c>
      <c r="P121">
        <v>30</v>
      </c>
      <c r="Q121">
        <v>60</v>
      </c>
      <c r="R121">
        <v>40</v>
      </c>
      <c r="S121">
        <v>90</v>
      </c>
      <c r="T121">
        <v>21</v>
      </c>
      <c r="U121" t="s">
        <v>35</v>
      </c>
      <c r="V121">
        <f t="shared" si="6"/>
        <v>0.51041666666666663</v>
      </c>
      <c r="W121">
        <f t="shared" si="7"/>
        <v>9</v>
      </c>
      <c r="X121">
        <f t="shared" si="8"/>
        <v>6</v>
      </c>
      <c r="Y121">
        <f t="shared" si="9"/>
        <v>0.375</v>
      </c>
      <c r="Z121" s="7" t="str">
        <f t="shared" si="10"/>
        <v>Low Sales</v>
      </c>
      <c r="AA121" s="7" t="str">
        <f t="shared" si="11"/>
        <v>High Margin</v>
      </c>
    </row>
    <row r="122" spans="1:27" x14ac:dyDescent="0.25">
      <c r="A122" t="s">
        <v>98</v>
      </c>
      <c r="B122">
        <v>61</v>
      </c>
      <c r="C122">
        <v>1</v>
      </c>
      <c r="D122" s="1">
        <v>41302</v>
      </c>
      <c r="E122">
        <v>613</v>
      </c>
      <c r="F122">
        <v>86</v>
      </c>
      <c r="G122" t="s">
        <v>39</v>
      </c>
      <c r="H122" t="s">
        <v>36</v>
      </c>
      <c r="I122">
        <v>55</v>
      </c>
      <c r="J122" t="s">
        <v>23</v>
      </c>
      <c r="K122" t="s">
        <v>32</v>
      </c>
      <c r="L122" t="s">
        <v>37</v>
      </c>
      <c r="M122">
        <v>1</v>
      </c>
      <c r="N122">
        <v>157</v>
      </c>
      <c r="O122" t="s">
        <v>60</v>
      </c>
      <c r="P122">
        <v>40</v>
      </c>
      <c r="Q122">
        <v>60</v>
      </c>
      <c r="R122">
        <v>0</v>
      </c>
      <c r="S122">
        <v>100</v>
      </c>
      <c r="T122">
        <v>85</v>
      </c>
      <c r="U122" t="s">
        <v>35</v>
      </c>
      <c r="V122">
        <f t="shared" si="6"/>
        <v>6.369426751592357E-3</v>
      </c>
      <c r="W122">
        <f t="shared" si="7"/>
        <v>1</v>
      </c>
      <c r="X122">
        <f t="shared" si="8"/>
        <v>57</v>
      </c>
      <c r="Y122">
        <f t="shared" si="9"/>
        <v>0.38853503184713378</v>
      </c>
      <c r="Z122" s="7" t="str">
        <f t="shared" si="10"/>
        <v>Low Sales</v>
      </c>
      <c r="AA122" s="7" t="str">
        <f t="shared" si="11"/>
        <v>Low Margin</v>
      </c>
    </row>
    <row r="123" spans="1:27" x14ac:dyDescent="0.25">
      <c r="A123" t="s">
        <v>125</v>
      </c>
      <c r="B123">
        <v>43</v>
      </c>
      <c r="C123">
        <v>5</v>
      </c>
      <c r="D123" s="1">
        <v>41303</v>
      </c>
      <c r="E123">
        <v>531</v>
      </c>
      <c r="F123">
        <v>56</v>
      </c>
      <c r="G123" t="s">
        <v>21</v>
      </c>
      <c r="H123" t="s">
        <v>29</v>
      </c>
      <c r="I123">
        <v>14</v>
      </c>
      <c r="J123" t="s">
        <v>40</v>
      </c>
      <c r="K123" t="s">
        <v>45</v>
      </c>
      <c r="L123" t="s">
        <v>46</v>
      </c>
      <c r="M123">
        <v>45</v>
      </c>
      <c r="N123">
        <v>106</v>
      </c>
      <c r="O123" t="s">
        <v>30</v>
      </c>
      <c r="P123">
        <v>50</v>
      </c>
      <c r="Q123">
        <v>60</v>
      </c>
      <c r="R123">
        <v>40</v>
      </c>
      <c r="S123">
        <v>110</v>
      </c>
      <c r="T123">
        <v>26</v>
      </c>
      <c r="U123" t="s">
        <v>27</v>
      </c>
      <c r="V123">
        <f t="shared" si="6"/>
        <v>0.42452830188679247</v>
      </c>
      <c r="W123">
        <f t="shared" si="7"/>
        <v>5</v>
      </c>
      <c r="X123">
        <f t="shared" si="8"/>
        <v>-4</v>
      </c>
      <c r="Y123">
        <f t="shared" si="9"/>
        <v>0.40566037735849059</v>
      </c>
      <c r="Z123" s="7" t="str">
        <f t="shared" si="10"/>
        <v>Low Sales</v>
      </c>
      <c r="AA123" s="7" t="str">
        <f t="shared" si="11"/>
        <v>High Margin</v>
      </c>
    </row>
    <row r="124" spans="1:27" x14ac:dyDescent="0.25">
      <c r="A124" t="s">
        <v>112</v>
      </c>
      <c r="B124">
        <v>54</v>
      </c>
      <c r="C124">
        <v>37</v>
      </c>
      <c r="D124" s="1">
        <v>41304</v>
      </c>
      <c r="E124">
        <v>601</v>
      </c>
      <c r="F124">
        <v>79</v>
      </c>
      <c r="G124" t="s">
        <v>21</v>
      </c>
      <c r="H124" t="s">
        <v>29</v>
      </c>
      <c r="I124">
        <v>15</v>
      </c>
      <c r="J124" t="s">
        <v>40</v>
      </c>
      <c r="K124" t="s">
        <v>41</v>
      </c>
      <c r="L124" t="s">
        <v>42</v>
      </c>
      <c r="M124">
        <v>77</v>
      </c>
      <c r="N124">
        <v>142</v>
      </c>
      <c r="O124" t="s">
        <v>30</v>
      </c>
      <c r="P124">
        <v>40</v>
      </c>
      <c r="Q124">
        <v>60</v>
      </c>
      <c r="R124">
        <v>40</v>
      </c>
      <c r="S124">
        <v>100</v>
      </c>
      <c r="T124">
        <v>27</v>
      </c>
      <c r="U124" t="s">
        <v>27</v>
      </c>
      <c r="V124">
        <f t="shared" si="6"/>
        <v>0.54225352112676062</v>
      </c>
      <c r="W124">
        <f t="shared" si="7"/>
        <v>37</v>
      </c>
      <c r="X124">
        <f t="shared" si="8"/>
        <v>42</v>
      </c>
      <c r="Y124">
        <f t="shared" si="9"/>
        <v>0.38028169014084506</v>
      </c>
      <c r="Z124" s="7" t="str">
        <f t="shared" si="10"/>
        <v>Low Sales</v>
      </c>
      <c r="AA124" s="7" t="str">
        <f t="shared" si="11"/>
        <v>High Margin</v>
      </c>
    </row>
    <row r="125" spans="1:27" x14ac:dyDescent="0.25">
      <c r="A125" t="s">
        <v>91</v>
      </c>
      <c r="B125">
        <v>47</v>
      </c>
      <c r="C125">
        <v>-9</v>
      </c>
      <c r="D125" s="1">
        <v>41305</v>
      </c>
      <c r="E125">
        <v>521</v>
      </c>
      <c r="F125">
        <v>65</v>
      </c>
      <c r="G125" t="s">
        <v>21</v>
      </c>
      <c r="H125" t="s">
        <v>22</v>
      </c>
      <c r="I125">
        <v>42</v>
      </c>
      <c r="J125" t="s">
        <v>23</v>
      </c>
      <c r="K125" t="s">
        <v>24</v>
      </c>
      <c r="L125" t="s">
        <v>25</v>
      </c>
      <c r="M125">
        <v>-9</v>
      </c>
      <c r="N125">
        <v>119</v>
      </c>
      <c r="O125" t="s">
        <v>26</v>
      </c>
      <c r="P125">
        <v>40</v>
      </c>
      <c r="Q125">
        <v>60</v>
      </c>
      <c r="R125">
        <v>0</v>
      </c>
      <c r="S125">
        <v>100</v>
      </c>
      <c r="T125">
        <v>71</v>
      </c>
      <c r="U125" t="s">
        <v>27</v>
      </c>
      <c r="V125">
        <f t="shared" si="6"/>
        <v>-7.5630252100840331E-2</v>
      </c>
      <c r="W125">
        <f t="shared" si="7"/>
        <v>-9</v>
      </c>
      <c r="X125">
        <f t="shared" si="8"/>
        <v>19</v>
      </c>
      <c r="Y125">
        <f t="shared" si="9"/>
        <v>0.3949579831932773</v>
      </c>
      <c r="Z125" s="7" t="str">
        <f t="shared" si="10"/>
        <v>Low Sales</v>
      </c>
      <c r="AA125" s="7" t="str">
        <f t="shared" si="11"/>
        <v>Low Margin</v>
      </c>
    </row>
    <row r="126" spans="1:27" x14ac:dyDescent="0.25">
      <c r="A126" t="s">
        <v>69</v>
      </c>
      <c r="B126">
        <v>54</v>
      </c>
      <c r="C126">
        <v>13</v>
      </c>
      <c r="D126" s="1">
        <v>41306</v>
      </c>
      <c r="E126">
        <v>424</v>
      </c>
      <c r="F126">
        <v>73</v>
      </c>
      <c r="G126" t="s">
        <v>21</v>
      </c>
      <c r="H126" t="s">
        <v>22</v>
      </c>
      <c r="I126">
        <v>17</v>
      </c>
      <c r="J126" t="s">
        <v>23</v>
      </c>
      <c r="K126" t="s">
        <v>24</v>
      </c>
      <c r="L126" t="s">
        <v>28</v>
      </c>
      <c r="M126">
        <v>43</v>
      </c>
      <c r="N126">
        <v>135</v>
      </c>
      <c r="O126" t="s">
        <v>26</v>
      </c>
      <c r="P126">
        <v>50</v>
      </c>
      <c r="Q126">
        <v>60</v>
      </c>
      <c r="R126">
        <v>30</v>
      </c>
      <c r="S126">
        <v>110</v>
      </c>
      <c r="T126">
        <v>44</v>
      </c>
      <c r="U126" t="s">
        <v>27</v>
      </c>
      <c r="V126">
        <f t="shared" si="6"/>
        <v>0.31851851851851853</v>
      </c>
      <c r="W126">
        <f t="shared" si="7"/>
        <v>13</v>
      </c>
      <c r="X126">
        <f t="shared" si="8"/>
        <v>25</v>
      </c>
      <c r="Y126">
        <f t="shared" si="9"/>
        <v>0.4</v>
      </c>
      <c r="Z126" s="7" t="str">
        <f t="shared" si="10"/>
        <v>Low Sales</v>
      </c>
      <c r="AA126" s="7" t="str">
        <f t="shared" si="11"/>
        <v>High Margin</v>
      </c>
    </row>
    <row r="127" spans="1:27" x14ac:dyDescent="0.25">
      <c r="A127" t="s">
        <v>126</v>
      </c>
      <c r="B127">
        <v>65</v>
      </c>
      <c r="C127">
        <v>14</v>
      </c>
      <c r="D127" s="1">
        <v>41307</v>
      </c>
      <c r="E127">
        <v>403</v>
      </c>
      <c r="F127">
        <v>80</v>
      </c>
      <c r="G127" t="s">
        <v>21</v>
      </c>
      <c r="H127" t="s">
        <v>31</v>
      </c>
      <c r="I127">
        <v>24</v>
      </c>
      <c r="J127" t="s">
        <v>23</v>
      </c>
      <c r="K127" t="s">
        <v>24</v>
      </c>
      <c r="L127" t="s">
        <v>25</v>
      </c>
      <c r="M127">
        <v>34</v>
      </c>
      <c r="N127">
        <v>155</v>
      </c>
      <c r="O127" t="s">
        <v>34</v>
      </c>
      <c r="P127">
        <v>40</v>
      </c>
      <c r="Q127">
        <v>60</v>
      </c>
      <c r="R127">
        <v>20</v>
      </c>
      <c r="S127">
        <v>100</v>
      </c>
      <c r="T127">
        <v>57</v>
      </c>
      <c r="U127" t="s">
        <v>27</v>
      </c>
      <c r="V127">
        <f t="shared" si="6"/>
        <v>0.21935483870967742</v>
      </c>
      <c r="W127">
        <f t="shared" si="7"/>
        <v>14</v>
      </c>
      <c r="X127">
        <f t="shared" si="8"/>
        <v>55</v>
      </c>
      <c r="Y127">
        <f t="shared" si="9"/>
        <v>0.41935483870967744</v>
      </c>
      <c r="Z127" s="7" t="str">
        <f t="shared" si="10"/>
        <v>Low Sales</v>
      </c>
      <c r="AA127" s="7" t="str">
        <f t="shared" si="11"/>
        <v>High Margin</v>
      </c>
    </row>
    <row r="128" spans="1:27" x14ac:dyDescent="0.25">
      <c r="A128" t="s">
        <v>127</v>
      </c>
      <c r="B128">
        <v>80</v>
      </c>
      <c r="C128">
        <v>44</v>
      </c>
      <c r="D128" s="1">
        <v>41308</v>
      </c>
      <c r="E128">
        <v>1079</v>
      </c>
      <c r="F128">
        <v>96</v>
      </c>
      <c r="G128" t="s">
        <v>21</v>
      </c>
      <c r="H128" t="s">
        <v>31</v>
      </c>
      <c r="I128">
        <v>24</v>
      </c>
      <c r="J128" t="s">
        <v>23</v>
      </c>
      <c r="K128" t="s">
        <v>24</v>
      </c>
      <c r="L128" t="s">
        <v>28</v>
      </c>
      <c r="M128">
        <v>74</v>
      </c>
      <c r="N128">
        <v>188</v>
      </c>
      <c r="O128" t="s">
        <v>34</v>
      </c>
      <c r="P128">
        <v>60</v>
      </c>
      <c r="Q128">
        <v>60</v>
      </c>
      <c r="R128">
        <v>30</v>
      </c>
      <c r="S128">
        <v>120</v>
      </c>
      <c r="T128">
        <v>46</v>
      </c>
      <c r="U128" t="s">
        <v>27</v>
      </c>
      <c r="V128">
        <f t="shared" si="6"/>
        <v>0.39361702127659576</v>
      </c>
      <c r="W128">
        <f t="shared" si="7"/>
        <v>44</v>
      </c>
      <c r="X128">
        <f t="shared" si="8"/>
        <v>68</v>
      </c>
      <c r="Y128">
        <f t="shared" si="9"/>
        <v>0.42553191489361702</v>
      </c>
      <c r="Z128" s="7" t="str">
        <f t="shared" si="10"/>
        <v>Low Sales</v>
      </c>
      <c r="AA128" s="7" t="str">
        <f t="shared" si="11"/>
        <v>High Margin</v>
      </c>
    </row>
    <row r="129" spans="1:27" x14ac:dyDescent="0.25">
      <c r="A129" t="s">
        <v>128</v>
      </c>
      <c r="B129">
        <v>54</v>
      </c>
      <c r="C129">
        <v>12</v>
      </c>
      <c r="D129" s="1">
        <v>41309</v>
      </c>
      <c r="E129">
        <v>424</v>
      </c>
      <c r="F129">
        <v>73</v>
      </c>
      <c r="G129" t="s">
        <v>21</v>
      </c>
      <c r="H129" t="s">
        <v>29</v>
      </c>
      <c r="I129">
        <v>17</v>
      </c>
      <c r="J129" t="s">
        <v>23</v>
      </c>
      <c r="K129" t="s">
        <v>24</v>
      </c>
      <c r="L129" t="s">
        <v>57</v>
      </c>
      <c r="M129">
        <v>42</v>
      </c>
      <c r="N129">
        <v>135</v>
      </c>
      <c r="O129" t="s">
        <v>30</v>
      </c>
      <c r="P129">
        <v>50</v>
      </c>
      <c r="Q129">
        <v>60</v>
      </c>
      <c r="R129">
        <v>30</v>
      </c>
      <c r="S129">
        <v>110</v>
      </c>
      <c r="T129">
        <v>45</v>
      </c>
      <c r="U129" t="s">
        <v>27</v>
      </c>
      <c r="V129">
        <f t="shared" si="6"/>
        <v>0.31111111111111112</v>
      </c>
      <c r="W129">
        <f t="shared" si="7"/>
        <v>12</v>
      </c>
      <c r="X129">
        <f t="shared" si="8"/>
        <v>25</v>
      </c>
      <c r="Y129">
        <f t="shared" si="9"/>
        <v>0.4</v>
      </c>
      <c r="Z129" s="7" t="str">
        <f t="shared" si="10"/>
        <v>Low Sales</v>
      </c>
      <c r="AA129" s="7" t="str">
        <f t="shared" si="11"/>
        <v>High Margin</v>
      </c>
    </row>
    <row r="130" spans="1:27" x14ac:dyDescent="0.25">
      <c r="A130" t="s">
        <v>112</v>
      </c>
      <c r="B130">
        <v>41</v>
      </c>
      <c r="C130">
        <v>6</v>
      </c>
      <c r="D130" s="1">
        <v>41310</v>
      </c>
      <c r="E130">
        <v>435</v>
      </c>
      <c r="F130">
        <v>60</v>
      </c>
      <c r="G130" t="s">
        <v>21</v>
      </c>
      <c r="H130" t="s">
        <v>29</v>
      </c>
      <c r="I130">
        <v>13</v>
      </c>
      <c r="J130" t="s">
        <v>23</v>
      </c>
      <c r="K130" t="s">
        <v>24</v>
      </c>
      <c r="L130" t="s">
        <v>25</v>
      </c>
      <c r="M130">
        <v>36</v>
      </c>
      <c r="N130">
        <v>108</v>
      </c>
      <c r="O130" t="s">
        <v>30</v>
      </c>
      <c r="P130">
        <v>30</v>
      </c>
      <c r="Q130">
        <v>60</v>
      </c>
      <c r="R130">
        <v>30</v>
      </c>
      <c r="S130">
        <v>90</v>
      </c>
      <c r="T130">
        <v>36</v>
      </c>
      <c r="U130" t="s">
        <v>27</v>
      </c>
      <c r="V130">
        <f t="shared" ref="V130:V193" si="12">M130/N130</f>
        <v>0.33333333333333331</v>
      </c>
      <c r="W130">
        <f t="shared" ref="W130:W193" si="13">M130-R130</f>
        <v>6</v>
      </c>
      <c r="X130">
        <f t="shared" ref="X130:X193" si="14">N130-S130</f>
        <v>18</v>
      </c>
      <c r="Y130">
        <f t="shared" ref="Y130:Y193" si="15">B130/N130</f>
        <v>0.37962962962962965</v>
      </c>
      <c r="Z130" s="7" t="str">
        <f t="shared" ref="Z130:Z193" si="16">IF(N130&gt;=AVERAGE(N130:N1191),"High Sales","Low Sales")</f>
        <v>Low Sales</v>
      </c>
      <c r="AA130" s="7" t="str">
        <f t="shared" ref="AA130:AA193" si="17">IF(V130&gt;=AVERAGE(V130:V1191), "High Margin", "Low Margin")</f>
        <v>High Margin</v>
      </c>
    </row>
    <row r="131" spans="1:27" x14ac:dyDescent="0.25">
      <c r="A131" t="s">
        <v>129</v>
      </c>
      <c r="B131">
        <v>54</v>
      </c>
      <c r="C131">
        <v>29</v>
      </c>
      <c r="D131" s="1">
        <v>41311</v>
      </c>
      <c r="E131">
        <v>601</v>
      </c>
      <c r="F131">
        <v>79</v>
      </c>
      <c r="G131" t="s">
        <v>21</v>
      </c>
      <c r="H131" t="s">
        <v>36</v>
      </c>
      <c r="I131">
        <v>15</v>
      </c>
      <c r="J131" t="s">
        <v>23</v>
      </c>
      <c r="K131" t="s">
        <v>32</v>
      </c>
      <c r="L131" t="s">
        <v>61</v>
      </c>
      <c r="M131">
        <v>79</v>
      </c>
      <c r="N131">
        <v>142</v>
      </c>
      <c r="O131" t="s">
        <v>38</v>
      </c>
      <c r="P131">
        <v>30</v>
      </c>
      <c r="Q131">
        <v>60</v>
      </c>
      <c r="R131">
        <v>50</v>
      </c>
      <c r="S131">
        <v>90</v>
      </c>
      <c r="T131">
        <v>26</v>
      </c>
      <c r="U131" t="s">
        <v>35</v>
      </c>
      <c r="V131">
        <f t="shared" si="12"/>
        <v>0.55633802816901412</v>
      </c>
      <c r="W131">
        <f t="shared" si="13"/>
        <v>29</v>
      </c>
      <c r="X131">
        <f t="shared" si="14"/>
        <v>52</v>
      </c>
      <c r="Y131">
        <f t="shared" si="15"/>
        <v>0.38028169014084506</v>
      </c>
      <c r="Z131" s="7" t="str">
        <f t="shared" si="16"/>
        <v>Low Sales</v>
      </c>
      <c r="AA131" s="7" t="str">
        <f t="shared" si="17"/>
        <v>High Margin</v>
      </c>
    </row>
    <row r="132" spans="1:27" x14ac:dyDescent="0.25">
      <c r="A132" t="s">
        <v>130</v>
      </c>
      <c r="B132">
        <v>31</v>
      </c>
      <c r="C132">
        <v>-10</v>
      </c>
      <c r="D132" s="1">
        <v>41312</v>
      </c>
      <c r="E132">
        <v>844</v>
      </c>
      <c r="F132">
        <v>46</v>
      </c>
      <c r="G132" t="s">
        <v>39</v>
      </c>
      <c r="H132" t="s">
        <v>22</v>
      </c>
      <c r="I132">
        <v>8</v>
      </c>
      <c r="J132" t="s">
        <v>40</v>
      </c>
      <c r="K132" t="s">
        <v>41</v>
      </c>
      <c r="L132" t="s">
        <v>42</v>
      </c>
      <c r="M132">
        <v>40</v>
      </c>
      <c r="N132">
        <v>82</v>
      </c>
      <c r="O132" t="s">
        <v>58</v>
      </c>
      <c r="P132">
        <v>30</v>
      </c>
      <c r="Q132">
        <v>60</v>
      </c>
      <c r="R132">
        <v>50</v>
      </c>
      <c r="S132">
        <v>90</v>
      </c>
      <c r="T132">
        <v>19</v>
      </c>
      <c r="U132" t="s">
        <v>27</v>
      </c>
      <c r="V132">
        <f t="shared" si="12"/>
        <v>0.48780487804878048</v>
      </c>
      <c r="W132">
        <f t="shared" si="13"/>
        <v>-10</v>
      </c>
      <c r="X132">
        <f t="shared" si="14"/>
        <v>-8</v>
      </c>
      <c r="Y132">
        <f t="shared" si="15"/>
        <v>0.37804878048780488</v>
      </c>
      <c r="Z132" s="7" t="str">
        <f t="shared" si="16"/>
        <v>Low Sales</v>
      </c>
      <c r="AA132" s="7" t="str">
        <f t="shared" si="17"/>
        <v>High Margin</v>
      </c>
    </row>
    <row r="133" spans="1:27" x14ac:dyDescent="0.25">
      <c r="A133" t="s">
        <v>123</v>
      </c>
      <c r="B133">
        <v>34</v>
      </c>
      <c r="C133">
        <v>-4</v>
      </c>
      <c r="D133" s="1">
        <v>41313</v>
      </c>
      <c r="E133">
        <v>863</v>
      </c>
      <c r="F133">
        <v>51</v>
      </c>
      <c r="G133" t="s">
        <v>39</v>
      </c>
      <c r="H133" t="s">
        <v>29</v>
      </c>
      <c r="I133">
        <v>9</v>
      </c>
      <c r="J133" t="s">
        <v>40</v>
      </c>
      <c r="K133" t="s">
        <v>45</v>
      </c>
      <c r="L133" t="s">
        <v>46</v>
      </c>
      <c r="M133">
        <v>46</v>
      </c>
      <c r="N133">
        <v>91</v>
      </c>
      <c r="O133" t="s">
        <v>55</v>
      </c>
      <c r="P133">
        <v>40</v>
      </c>
      <c r="Q133">
        <v>60</v>
      </c>
      <c r="R133">
        <v>50</v>
      </c>
      <c r="S133">
        <v>100</v>
      </c>
      <c r="T133">
        <v>20</v>
      </c>
      <c r="U133" t="s">
        <v>27</v>
      </c>
      <c r="V133">
        <f t="shared" si="12"/>
        <v>0.50549450549450547</v>
      </c>
      <c r="W133">
        <f t="shared" si="13"/>
        <v>-4</v>
      </c>
      <c r="X133">
        <f t="shared" si="14"/>
        <v>-9</v>
      </c>
      <c r="Y133">
        <f t="shared" si="15"/>
        <v>0.37362637362637363</v>
      </c>
      <c r="Z133" s="7" t="str">
        <f t="shared" si="16"/>
        <v>Low Sales</v>
      </c>
      <c r="AA133" s="7" t="str">
        <f t="shared" si="17"/>
        <v>High Margin</v>
      </c>
    </row>
    <row r="134" spans="1:27" x14ac:dyDescent="0.25">
      <c r="A134" t="s">
        <v>75</v>
      </c>
      <c r="B134">
        <v>33</v>
      </c>
      <c r="C134">
        <v>-8</v>
      </c>
      <c r="D134" s="1">
        <v>41314</v>
      </c>
      <c r="E134">
        <v>870</v>
      </c>
      <c r="F134">
        <v>49</v>
      </c>
      <c r="G134" t="s">
        <v>39</v>
      </c>
      <c r="H134" t="s">
        <v>29</v>
      </c>
      <c r="I134">
        <v>9</v>
      </c>
      <c r="J134" t="s">
        <v>40</v>
      </c>
      <c r="K134" t="s">
        <v>45</v>
      </c>
      <c r="L134" t="s">
        <v>46</v>
      </c>
      <c r="M134">
        <v>42</v>
      </c>
      <c r="N134">
        <v>87</v>
      </c>
      <c r="O134" t="s">
        <v>47</v>
      </c>
      <c r="P134">
        <v>30</v>
      </c>
      <c r="Q134">
        <v>60</v>
      </c>
      <c r="R134">
        <v>50</v>
      </c>
      <c r="S134">
        <v>90</v>
      </c>
      <c r="T134">
        <v>21</v>
      </c>
      <c r="U134" t="s">
        <v>27</v>
      </c>
      <c r="V134">
        <f t="shared" si="12"/>
        <v>0.48275862068965519</v>
      </c>
      <c r="W134">
        <f t="shared" si="13"/>
        <v>-8</v>
      </c>
      <c r="X134">
        <f t="shared" si="14"/>
        <v>-3</v>
      </c>
      <c r="Y134">
        <f t="shared" si="15"/>
        <v>0.37931034482758619</v>
      </c>
      <c r="Z134" s="7" t="str">
        <f t="shared" si="16"/>
        <v>Low Sales</v>
      </c>
      <c r="AA134" s="7" t="str">
        <f t="shared" si="17"/>
        <v>High Margin</v>
      </c>
    </row>
    <row r="135" spans="1:27" x14ac:dyDescent="0.25">
      <c r="A135" t="s">
        <v>78</v>
      </c>
      <c r="B135">
        <v>48</v>
      </c>
      <c r="C135">
        <v>12</v>
      </c>
      <c r="D135" s="1">
        <v>41315</v>
      </c>
      <c r="E135">
        <v>462</v>
      </c>
      <c r="F135">
        <v>74</v>
      </c>
      <c r="G135" t="s">
        <v>39</v>
      </c>
      <c r="H135" t="s">
        <v>31</v>
      </c>
      <c r="I135">
        <v>15</v>
      </c>
      <c r="J135" t="s">
        <v>40</v>
      </c>
      <c r="K135" t="s">
        <v>45</v>
      </c>
      <c r="L135" t="s">
        <v>52</v>
      </c>
      <c r="M135">
        <v>42</v>
      </c>
      <c r="N135">
        <v>130</v>
      </c>
      <c r="O135" t="s">
        <v>51</v>
      </c>
      <c r="P135">
        <v>40</v>
      </c>
      <c r="Q135">
        <v>60</v>
      </c>
      <c r="R135">
        <v>30</v>
      </c>
      <c r="S135">
        <v>100</v>
      </c>
      <c r="T135">
        <v>46</v>
      </c>
      <c r="U135" t="s">
        <v>35</v>
      </c>
      <c r="V135">
        <f t="shared" si="12"/>
        <v>0.32307692307692309</v>
      </c>
      <c r="W135">
        <f t="shared" si="13"/>
        <v>12</v>
      </c>
      <c r="X135">
        <f t="shared" si="14"/>
        <v>30</v>
      </c>
      <c r="Y135">
        <f t="shared" si="15"/>
        <v>0.36923076923076925</v>
      </c>
      <c r="Z135" s="7" t="str">
        <f t="shared" si="16"/>
        <v>Low Sales</v>
      </c>
      <c r="AA135" s="7" t="str">
        <f t="shared" si="17"/>
        <v>High Margin</v>
      </c>
    </row>
    <row r="136" spans="1:27" x14ac:dyDescent="0.25">
      <c r="A136" t="s">
        <v>97</v>
      </c>
      <c r="B136">
        <v>55</v>
      </c>
      <c r="C136">
        <v>-4</v>
      </c>
      <c r="D136" s="1">
        <v>41316</v>
      </c>
      <c r="E136">
        <v>-1053</v>
      </c>
      <c r="F136">
        <v>76</v>
      </c>
      <c r="G136" t="s">
        <v>39</v>
      </c>
      <c r="H136" t="s">
        <v>29</v>
      </c>
      <c r="I136">
        <v>49</v>
      </c>
      <c r="J136" t="s">
        <v>40</v>
      </c>
      <c r="K136" t="s">
        <v>41</v>
      </c>
      <c r="L136" t="s">
        <v>54</v>
      </c>
      <c r="M136">
        <v>-4</v>
      </c>
      <c r="N136">
        <v>140</v>
      </c>
      <c r="O136" t="s">
        <v>55</v>
      </c>
      <c r="P136">
        <v>40</v>
      </c>
      <c r="Q136">
        <v>60</v>
      </c>
      <c r="R136">
        <v>0</v>
      </c>
      <c r="S136">
        <v>100</v>
      </c>
      <c r="T136">
        <v>79</v>
      </c>
      <c r="U136" t="s">
        <v>35</v>
      </c>
      <c r="V136">
        <f t="shared" si="12"/>
        <v>-2.8571428571428571E-2</v>
      </c>
      <c r="W136">
        <f t="shared" si="13"/>
        <v>-4</v>
      </c>
      <c r="X136">
        <f t="shared" si="14"/>
        <v>40</v>
      </c>
      <c r="Y136">
        <f t="shared" si="15"/>
        <v>0.39285714285714285</v>
      </c>
      <c r="Z136" s="7" t="str">
        <f t="shared" si="16"/>
        <v>Low Sales</v>
      </c>
      <c r="AA136" s="7" t="str">
        <f t="shared" si="17"/>
        <v>Low Margin</v>
      </c>
    </row>
    <row r="137" spans="1:27" x14ac:dyDescent="0.25">
      <c r="A137" t="s">
        <v>107</v>
      </c>
      <c r="B137">
        <v>49</v>
      </c>
      <c r="C137">
        <v>-17</v>
      </c>
      <c r="D137" s="1">
        <v>41317</v>
      </c>
      <c r="E137">
        <v>335</v>
      </c>
      <c r="F137">
        <v>69</v>
      </c>
      <c r="G137" t="s">
        <v>39</v>
      </c>
      <c r="H137" t="s">
        <v>29</v>
      </c>
      <c r="I137">
        <v>44</v>
      </c>
      <c r="J137" t="s">
        <v>40</v>
      </c>
      <c r="K137" t="s">
        <v>41</v>
      </c>
      <c r="L137" t="s">
        <v>53</v>
      </c>
      <c r="M137">
        <v>-7</v>
      </c>
      <c r="N137">
        <v>126</v>
      </c>
      <c r="O137" t="s">
        <v>64</v>
      </c>
      <c r="P137">
        <v>30</v>
      </c>
      <c r="Q137">
        <v>60</v>
      </c>
      <c r="R137">
        <v>10</v>
      </c>
      <c r="S137">
        <v>90</v>
      </c>
      <c r="T137">
        <v>74</v>
      </c>
      <c r="U137" t="s">
        <v>35</v>
      </c>
      <c r="V137">
        <f t="shared" si="12"/>
        <v>-5.5555555555555552E-2</v>
      </c>
      <c r="W137">
        <f t="shared" si="13"/>
        <v>-17</v>
      </c>
      <c r="X137">
        <f t="shared" si="14"/>
        <v>36</v>
      </c>
      <c r="Y137">
        <f t="shared" si="15"/>
        <v>0.3888888888888889</v>
      </c>
      <c r="Z137" s="7" t="str">
        <f t="shared" si="16"/>
        <v>Low Sales</v>
      </c>
      <c r="AA137" s="7" t="str">
        <f t="shared" si="17"/>
        <v>Low Margin</v>
      </c>
    </row>
    <row r="138" spans="1:27" x14ac:dyDescent="0.25">
      <c r="A138" t="s">
        <v>116</v>
      </c>
      <c r="B138">
        <v>39</v>
      </c>
      <c r="C138">
        <v>-19</v>
      </c>
      <c r="D138" s="1">
        <v>41318</v>
      </c>
      <c r="E138">
        <v>250</v>
      </c>
      <c r="F138">
        <v>49</v>
      </c>
      <c r="G138" t="s">
        <v>39</v>
      </c>
      <c r="H138" t="s">
        <v>36</v>
      </c>
      <c r="I138">
        <v>14</v>
      </c>
      <c r="J138" t="s">
        <v>40</v>
      </c>
      <c r="K138" t="s">
        <v>45</v>
      </c>
      <c r="L138" t="s">
        <v>52</v>
      </c>
      <c r="M138">
        <v>1</v>
      </c>
      <c r="N138">
        <v>94</v>
      </c>
      <c r="O138" t="s">
        <v>48</v>
      </c>
      <c r="P138">
        <v>40</v>
      </c>
      <c r="Q138">
        <v>60</v>
      </c>
      <c r="R138">
        <v>20</v>
      </c>
      <c r="S138">
        <v>100</v>
      </c>
      <c r="T138">
        <v>48</v>
      </c>
      <c r="U138" t="s">
        <v>35</v>
      </c>
      <c r="V138">
        <f t="shared" si="12"/>
        <v>1.0638297872340425E-2</v>
      </c>
      <c r="W138">
        <f t="shared" si="13"/>
        <v>-19</v>
      </c>
      <c r="X138">
        <f t="shared" si="14"/>
        <v>-6</v>
      </c>
      <c r="Y138">
        <f t="shared" si="15"/>
        <v>0.41489361702127658</v>
      </c>
      <c r="Z138" s="7" t="str">
        <f t="shared" si="16"/>
        <v>Low Sales</v>
      </c>
      <c r="AA138" s="7" t="str">
        <f t="shared" si="17"/>
        <v>Low Margin</v>
      </c>
    </row>
    <row r="139" spans="1:27" x14ac:dyDescent="0.25">
      <c r="A139" t="s">
        <v>94</v>
      </c>
      <c r="B139">
        <v>49</v>
      </c>
      <c r="C139">
        <v>-7</v>
      </c>
      <c r="D139" s="1">
        <v>41319</v>
      </c>
      <c r="E139">
        <v>335</v>
      </c>
      <c r="F139">
        <v>69</v>
      </c>
      <c r="G139" t="s">
        <v>39</v>
      </c>
      <c r="H139" t="s">
        <v>22</v>
      </c>
      <c r="I139">
        <v>44</v>
      </c>
      <c r="J139" t="s">
        <v>23</v>
      </c>
      <c r="K139" t="s">
        <v>24</v>
      </c>
      <c r="L139" t="s">
        <v>57</v>
      </c>
      <c r="M139">
        <v>-7</v>
      </c>
      <c r="N139">
        <v>126</v>
      </c>
      <c r="O139" t="s">
        <v>58</v>
      </c>
      <c r="P139">
        <v>40</v>
      </c>
      <c r="Q139">
        <v>60</v>
      </c>
      <c r="R139">
        <v>0</v>
      </c>
      <c r="S139">
        <v>100</v>
      </c>
      <c r="T139">
        <v>74</v>
      </c>
      <c r="U139" t="s">
        <v>27</v>
      </c>
      <c r="V139">
        <f t="shared" si="12"/>
        <v>-5.5555555555555552E-2</v>
      </c>
      <c r="W139">
        <f t="shared" si="13"/>
        <v>-7</v>
      </c>
      <c r="X139">
        <f t="shared" si="14"/>
        <v>26</v>
      </c>
      <c r="Y139">
        <f t="shared" si="15"/>
        <v>0.3888888888888889</v>
      </c>
      <c r="Z139" s="7" t="str">
        <f t="shared" si="16"/>
        <v>Low Sales</v>
      </c>
      <c r="AA139" s="7" t="str">
        <f t="shared" si="17"/>
        <v>Low Margin</v>
      </c>
    </row>
    <row r="140" spans="1:27" x14ac:dyDescent="0.25">
      <c r="A140" t="s">
        <v>109</v>
      </c>
      <c r="B140">
        <v>41</v>
      </c>
      <c r="C140">
        <v>15</v>
      </c>
      <c r="D140" s="1">
        <v>41320</v>
      </c>
      <c r="E140">
        <v>320</v>
      </c>
      <c r="F140">
        <v>66</v>
      </c>
      <c r="G140" t="s">
        <v>39</v>
      </c>
      <c r="H140" t="s">
        <v>22</v>
      </c>
      <c r="I140">
        <v>12</v>
      </c>
      <c r="J140" t="s">
        <v>23</v>
      </c>
      <c r="K140" t="s">
        <v>24</v>
      </c>
      <c r="L140" t="s">
        <v>57</v>
      </c>
      <c r="M140">
        <v>45</v>
      </c>
      <c r="N140">
        <v>114</v>
      </c>
      <c r="O140" t="s">
        <v>59</v>
      </c>
      <c r="P140">
        <v>30</v>
      </c>
      <c r="Q140">
        <v>60</v>
      </c>
      <c r="R140">
        <v>30</v>
      </c>
      <c r="S140">
        <v>90</v>
      </c>
      <c r="T140">
        <v>36</v>
      </c>
      <c r="U140" t="s">
        <v>27</v>
      </c>
      <c r="V140">
        <f t="shared" si="12"/>
        <v>0.39473684210526316</v>
      </c>
      <c r="W140">
        <f t="shared" si="13"/>
        <v>15</v>
      </c>
      <c r="X140">
        <f t="shared" si="14"/>
        <v>24</v>
      </c>
      <c r="Y140">
        <f t="shared" si="15"/>
        <v>0.35964912280701755</v>
      </c>
      <c r="Z140" s="7" t="str">
        <f t="shared" si="16"/>
        <v>Low Sales</v>
      </c>
      <c r="AA140" s="7" t="str">
        <f t="shared" si="17"/>
        <v>High Margin</v>
      </c>
    </row>
    <row r="141" spans="1:27" x14ac:dyDescent="0.25">
      <c r="A141" t="s">
        <v>108</v>
      </c>
      <c r="B141">
        <v>92</v>
      </c>
      <c r="C141">
        <v>4</v>
      </c>
      <c r="D141" s="1">
        <v>41321</v>
      </c>
      <c r="E141">
        <v>1898</v>
      </c>
      <c r="F141">
        <v>68</v>
      </c>
      <c r="G141" t="s">
        <v>39</v>
      </c>
      <c r="H141" t="s">
        <v>22</v>
      </c>
      <c r="I141">
        <v>28</v>
      </c>
      <c r="J141" t="s">
        <v>23</v>
      </c>
      <c r="K141" t="s">
        <v>24</v>
      </c>
      <c r="L141" t="s">
        <v>25</v>
      </c>
      <c r="M141">
        <v>24</v>
      </c>
      <c r="N141">
        <v>171</v>
      </c>
      <c r="O141" t="s">
        <v>58</v>
      </c>
      <c r="P141">
        <v>80</v>
      </c>
      <c r="Q141">
        <v>60</v>
      </c>
      <c r="R141">
        <v>20</v>
      </c>
      <c r="S141">
        <v>140</v>
      </c>
      <c r="T141">
        <v>52</v>
      </c>
      <c r="U141" t="s">
        <v>27</v>
      </c>
      <c r="V141">
        <f t="shared" si="12"/>
        <v>0.14035087719298245</v>
      </c>
      <c r="W141">
        <f t="shared" si="13"/>
        <v>4</v>
      </c>
      <c r="X141">
        <f t="shared" si="14"/>
        <v>31</v>
      </c>
      <c r="Y141">
        <f t="shared" si="15"/>
        <v>0.53801169590643272</v>
      </c>
      <c r="Z141" s="7" t="str">
        <f t="shared" si="16"/>
        <v>Low Sales</v>
      </c>
      <c r="AA141" s="7" t="str">
        <f t="shared" si="17"/>
        <v>Low Margin</v>
      </c>
    </row>
    <row r="142" spans="1:27" x14ac:dyDescent="0.25">
      <c r="A142" t="s">
        <v>74</v>
      </c>
      <c r="B142">
        <v>68</v>
      </c>
      <c r="C142">
        <v>20</v>
      </c>
      <c r="D142" s="1">
        <v>41322</v>
      </c>
      <c r="E142">
        <v>619</v>
      </c>
      <c r="F142">
        <v>85</v>
      </c>
      <c r="G142" t="s">
        <v>39</v>
      </c>
      <c r="H142" t="s">
        <v>31</v>
      </c>
      <c r="I142">
        <v>25</v>
      </c>
      <c r="J142" t="s">
        <v>23</v>
      </c>
      <c r="K142" t="s">
        <v>24</v>
      </c>
      <c r="L142" t="s">
        <v>25</v>
      </c>
      <c r="M142">
        <v>40</v>
      </c>
      <c r="N142">
        <v>163</v>
      </c>
      <c r="O142" t="s">
        <v>44</v>
      </c>
      <c r="P142">
        <v>50</v>
      </c>
      <c r="Q142">
        <v>60</v>
      </c>
      <c r="R142">
        <v>20</v>
      </c>
      <c r="S142">
        <v>110</v>
      </c>
      <c r="T142">
        <v>58</v>
      </c>
      <c r="U142" t="s">
        <v>27</v>
      </c>
      <c r="V142">
        <f t="shared" si="12"/>
        <v>0.24539877300613497</v>
      </c>
      <c r="W142">
        <f t="shared" si="13"/>
        <v>20</v>
      </c>
      <c r="X142">
        <f t="shared" si="14"/>
        <v>53</v>
      </c>
      <c r="Y142">
        <f t="shared" si="15"/>
        <v>0.41717791411042943</v>
      </c>
      <c r="Z142" s="7" t="str">
        <f t="shared" si="16"/>
        <v>Low Sales</v>
      </c>
      <c r="AA142" s="7" t="str">
        <f t="shared" si="17"/>
        <v>High Margin</v>
      </c>
    </row>
    <row r="143" spans="1:27" x14ac:dyDescent="0.25">
      <c r="A143" t="s">
        <v>99</v>
      </c>
      <c r="B143">
        <v>63</v>
      </c>
      <c r="C143">
        <v>13</v>
      </c>
      <c r="D143" s="1">
        <v>41323</v>
      </c>
      <c r="E143">
        <v>1075</v>
      </c>
      <c r="F143">
        <v>76</v>
      </c>
      <c r="G143" t="s">
        <v>39</v>
      </c>
      <c r="H143" t="s">
        <v>31</v>
      </c>
      <c r="I143">
        <v>19</v>
      </c>
      <c r="J143" t="s">
        <v>23</v>
      </c>
      <c r="K143" t="s">
        <v>24</v>
      </c>
      <c r="L143" t="s">
        <v>28</v>
      </c>
      <c r="M143">
        <v>53</v>
      </c>
      <c r="N143">
        <v>148</v>
      </c>
      <c r="O143" t="s">
        <v>44</v>
      </c>
      <c r="P143">
        <v>40</v>
      </c>
      <c r="Q143">
        <v>60</v>
      </c>
      <c r="R143">
        <v>40</v>
      </c>
      <c r="S143">
        <v>100</v>
      </c>
      <c r="T143">
        <v>40</v>
      </c>
      <c r="U143" t="s">
        <v>27</v>
      </c>
      <c r="V143">
        <f t="shared" si="12"/>
        <v>0.35810810810810811</v>
      </c>
      <c r="W143">
        <f t="shared" si="13"/>
        <v>13</v>
      </c>
      <c r="X143">
        <f t="shared" si="14"/>
        <v>48</v>
      </c>
      <c r="Y143">
        <f t="shared" si="15"/>
        <v>0.42567567567567566</v>
      </c>
      <c r="Z143" s="7" t="str">
        <f t="shared" si="16"/>
        <v>Low Sales</v>
      </c>
      <c r="AA143" s="7" t="str">
        <f t="shared" si="17"/>
        <v>High Margin</v>
      </c>
    </row>
    <row r="144" spans="1:27" x14ac:dyDescent="0.25">
      <c r="A144" t="s">
        <v>77</v>
      </c>
      <c r="B144">
        <v>92</v>
      </c>
      <c r="C144">
        <v>5</v>
      </c>
      <c r="D144" s="1">
        <v>41324</v>
      </c>
      <c r="E144">
        <v>1898</v>
      </c>
      <c r="F144">
        <v>68</v>
      </c>
      <c r="G144" t="s">
        <v>39</v>
      </c>
      <c r="H144" t="s">
        <v>36</v>
      </c>
      <c r="I144">
        <v>28</v>
      </c>
      <c r="J144" t="s">
        <v>23</v>
      </c>
      <c r="K144" t="s">
        <v>24</v>
      </c>
      <c r="L144" t="s">
        <v>28</v>
      </c>
      <c r="M144">
        <v>25</v>
      </c>
      <c r="N144">
        <v>171</v>
      </c>
      <c r="O144" t="s">
        <v>49</v>
      </c>
      <c r="P144">
        <v>80</v>
      </c>
      <c r="Q144">
        <v>60</v>
      </c>
      <c r="R144">
        <v>20</v>
      </c>
      <c r="S144">
        <v>140</v>
      </c>
      <c r="T144">
        <v>51</v>
      </c>
      <c r="U144" t="s">
        <v>27</v>
      </c>
      <c r="V144">
        <f t="shared" si="12"/>
        <v>0.14619883040935672</v>
      </c>
      <c r="W144">
        <f t="shared" si="13"/>
        <v>5</v>
      </c>
      <c r="X144">
        <f t="shared" si="14"/>
        <v>31</v>
      </c>
      <c r="Y144">
        <f t="shared" si="15"/>
        <v>0.53801169590643272</v>
      </c>
      <c r="Z144" s="7" t="str">
        <f t="shared" si="16"/>
        <v>Low Sales</v>
      </c>
      <c r="AA144" s="7" t="str">
        <f t="shared" si="17"/>
        <v>High Margin</v>
      </c>
    </row>
    <row r="145" spans="1:27" x14ac:dyDescent="0.25">
      <c r="A145" t="s">
        <v>82</v>
      </c>
      <c r="B145">
        <v>55</v>
      </c>
      <c r="C145">
        <v>-4</v>
      </c>
      <c r="D145" s="1">
        <v>41325</v>
      </c>
      <c r="E145">
        <v>627</v>
      </c>
      <c r="F145">
        <v>76</v>
      </c>
      <c r="G145" t="s">
        <v>39</v>
      </c>
      <c r="H145" t="s">
        <v>22</v>
      </c>
      <c r="I145">
        <v>49</v>
      </c>
      <c r="J145" t="s">
        <v>23</v>
      </c>
      <c r="K145" t="s">
        <v>32</v>
      </c>
      <c r="L145" t="s">
        <v>61</v>
      </c>
      <c r="M145">
        <v>-4</v>
      </c>
      <c r="N145">
        <v>140</v>
      </c>
      <c r="O145" t="s">
        <v>59</v>
      </c>
      <c r="P145">
        <v>40</v>
      </c>
      <c r="Q145">
        <v>60</v>
      </c>
      <c r="R145">
        <v>0</v>
      </c>
      <c r="S145">
        <v>100</v>
      </c>
      <c r="T145">
        <v>79</v>
      </c>
      <c r="U145" t="s">
        <v>35</v>
      </c>
      <c r="V145">
        <f t="shared" si="12"/>
        <v>-2.8571428571428571E-2</v>
      </c>
      <c r="W145">
        <f t="shared" si="13"/>
        <v>-4</v>
      </c>
      <c r="X145">
        <f t="shared" si="14"/>
        <v>40</v>
      </c>
      <c r="Y145">
        <f t="shared" si="15"/>
        <v>0.39285714285714285</v>
      </c>
      <c r="Z145" s="7" t="str">
        <f t="shared" si="16"/>
        <v>Low Sales</v>
      </c>
      <c r="AA145" s="7" t="str">
        <f t="shared" si="17"/>
        <v>Low Margin</v>
      </c>
    </row>
    <row r="146" spans="1:27" x14ac:dyDescent="0.25">
      <c r="A146" t="s">
        <v>91</v>
      </c>
      <c r="B146">
        <v>39</v>
      </c>
      <c r="C146">
        <v>-23</v>
      </c>
      <c r="D146" s="1">
        <v>41326</v>
      </c>
      <c r="E146">
        <v>541</v>
      </c>
      <c r="F146">
        <v>51</v>
      </c>
      <c r="G146" t="s">
        <v>21</v>
      </c>
      <c r="H146" t="s">
        <v>22</v>
      </c>
      <c r="I146">
        <v>12</v>
      </c>
      <c r="J146" t="s">
        <v>40</v>
      </c>
      <c r="K146" t="s">
        <v>45</v>
      </c>
      <c r="L146" t="s">
        <v>52</v>
      </c>
      <c r="M146">
        <v>27</v>
      </c>
      <c r="N146">
        <v>90</v>
      </c>
      <c r="O146" t="s">
        <v>26</v>
      </c>
      <c r="P146">
        <v>30</v>
      </c>
      <c r="Q146">
        <v>50</v>
      </c>
      <c r="R146">
        <v>50</v>
      </c>
      <c r="S146">
        <v>80</v>
      </c>
      <c r="T146">
        <v>24</v>
      </c>
      <c r="U146" t="s">
        <v>35</v>
      </c>
      <c r="V146">
        <f t="shared" si="12"/>
        <v>0.3</v>
      </c>
      <c r="W146">
        <f t="shared" si="13"/>
        <v>-23</v>
      </c>
      <c r="X146">
        <f t="shared" si="14"/>
        <v>10</v>
      </c>
      <c r="Y146">
        <f t="shared" si="15"/>
        <v>0.43333333333333335</v>
      </c>
      <c r="Z146" s="7" t="str">
        <f t="shared" si="16"/>
        <v>Low Sales</v>
      </c>
      <c r="AA146" s="7" t="str">
        <f t="shared" si="17"/>
        <v>High Margin</v>
      </c>
    </row>
    <row r="147" spans="1:27" x14ac:dyDescent="0.25">
      <c r="A147" t="s">
        <v>126</v>
      </c>
      <c r="B147">
        <v>80</v>
      </c>
      <c r="C147">
        <v>8</v>
      </c>
      <c r="D147" s="1">
        <v>41327</v>
      </c>
      <c r="E147">
        <v>1055</v>
      </c>
      <c r="F147">
        <v>94</v>
      </c>
      <c r="G147" t="s">
        <v>21</v>
      </c>
      <c r="H147" t="s">
        <v>31</v>
      </c>
      <c r="I147">
        <v>24</v>
      </c>
      <c r="J147" t="s">
        <v>23</v>
      </c>
      <c r="K147" t="s">
        <v>24</v>
      </c>
      <c r="L147" t="s">
        <v>28</v>
      </c>
      <c r="M147">
        <v>48</v>
      </c>
      <c r="N147">
        <v>174</v>
      </c>
      <c r="O147" t="s">
        <v>34</v>
      </c>
      <c r="P147">
        <v>40</v>
      </c>
      <c r="Q147">
        <v>50</v>
      </c>
      <c r="R147">
        <v>40</v>
      </c>
      <c r="S147">
        <v>90</v>
      </c>
      <c r="T147">
        <v>46</v>
      </c>
      <c r="U147" t="s">
        <v>27</v>
      </c>
      <c r="V147">
        <f t="shared" si="12"/>
        <v>0.27586206896551724</v>
      </c>
      <c r="W147">
        <f t="shared" si="13"/>
        <v>8</v>
      </c>
      <c r="X147">
        <f t="shared" si="14"/>
        <v>84</v>
      </c>
      <c r="Y147">
        <f t="shared" si="15"/>
        <v>0.45977011494252873</v>
      </c>
      <c r="Z147" s="7" t="str">
        <f t="shared" si="16"/>
        <v>Low Sales</v>
      </c>
      <c r="AA147" s="7" t="str">
        <f t="shared" si="17"/>
        <v>High Margin</v>
      </c>
    </row>
    <row r="148" spans="1:27" x14ac:dyDescent="0.25">
      <c r="A148" t="s">
        <v>68</v>
      </c>
      <c r="B148">
        <v>54</v>
      </c>
      <c r="C148">
        <v>-17</v>
      </c>
      <c r="D148" s="1">
        <v>41328</v>
      </c>
      <c r="E148">
        <v>404</v>
      </c>
      <c r="F148">
        <v>66</v>
      </c>
      <c r="G148" t="s">
        <v>21</v>
      </c>
      <c r="H148" t="s">
        <v>22</v>
      </c>
      <c r="I148">
        <v>20</v>
      </c>
      <c r="J148" t="s">
        <v>23</v>
      </c>
      <c r="K148" t="s">
        <v>32</v>
      </c>
      <c r="L148" t="s">
        <v>33</v>
      </c>
      <c r="M148">
        <v>13</v>
      </c>
      <c r="N148">
        <v>120</v>
      </c>
      <c r="O148" t="s">
        <v>26</v>
      </c>
      <c r="P148">
        <v>30</v>
      </c>
      <c r="Q148">
        <v>50</v>
      </c>
      <c r="R148">
        <v>30</v>
      </c>
      <c r="S148">
        <v>80</v>
      </c>
      <c r="T148">
        <v>53</v>
      </c>
      <c r="U148" t="s">
        <v>35</v>
      </c>
      <c r="V148">
        <f t="shared" si="12"/>
        <v>0.10833333333333334</v>
      </c>
      <c r="W148">
        <f t="shared" si="13"/>
        <v>-17</v>
      </c>
      <c r="X148">
        <f t="shared" si="14"/>
        <v>40</v>
      </c>
      <c r="Y148">
        <f t="shared" si="15"/>
        <v>0.45</v>
      </c>
      <c r="Z148" s="7" t="str">
        <f t="shared" si="16"/>
        <v>Low Sales</v>
      </c>
      <c r="AA148" s="7" t="str">
        <f t="shared" si="17"/>
        <v>Low Margin</v>
      </c>
    </row>
    <row r="149" spans="1:27" x14ac:dyDescent="0.25">
      <c r="A149" t="s">
        <v>68</v>
      </c>
      <c r="B149">
        <v>54</v>
      </c>
      <c r="C149">
        <v>-13</v>
      </c>
      <c r="D149" s="1">
        <v>41329</v>
      </c>
      <c r="E149">
        <v>1037</v>
      </c>
      <c r="F149">
        <v>64</v>
      </c>
      <c r="G149" t="s">
        <v>21</v>
      </c>
      <c r="H149" t="s">
        <v>22</v>
      </c>
      <c r="I149">
        <v>16</v>
      </c>
      <c r="J149" t="s">
        <v>23</v>
      </c>
      <c r="K149" t="s">
        <v>32</v>
      </c>
      <c r="L149" t="s">
        <v>61</v>
      </c>
      <c r="M149">
        <v>27</v>
      </c>
      <c r="N149">
        <v>118</v>
      </c>
      <c r="O149" t="s">
        <v>26</v>
      </c>
      <c r="P149">
        <v>30</v>
      </c>
      <c r="Q149">
        <v>50</v>
      </c>
      <c r="R149">
        <v>40</v>
      </c>
      <c r="S149">
        <v>80</v>
      </c>
      <c r="T149">
        <v>37</v>
      </c>
      <c r="U149" t="s">
        <v>35</v>
      </c>
      <c r="V149">
        <f t="shared" si="12"/>
        <v>0.2288135593220339</v>
      </c>
      <c r="W149">
        <f t="shared" si="13"/>
        <v>-13</v>
      </c>
      <c r="X149">
        <f t="shared" si="14"/>
        <v>38</v>
      </c>
      <c r="Y149">
        <f t="shared" si="15"/>
        <v>0.4576271186440678</v>
      </c>
      <c r="Z149" s="7" t="str">
        <f t="shared" si="16"/>
        <v>Low Sales</v>
      </c>
      <c r="AA149" s="7" t="str">
        <f t="shared" si="17"/>
        <v>High Margin</v>
      </c>
    </row>
    <row r="150" spans="1:27" x14ac:dyDescent="0.25">
      <c r="A150" t="s">
        <v>131</v>
      </c>
      <c r="B150">
        <v>27</v>
      </c>
      <c r="C150">
        <v>-30</v>
      </c>
      <c r="D150" s="1">
        <v>41330</v>
      </c>
      <c r="E150">
        <v>859</v>
      </c>
      <c r="F150">
        <v>39</v>
      </c>
      <c r="G150" t="s">
        <v>21</v>
      </c>
      <c r="H150" t="s">
        <v>31</v>
      </c>
      <c r="I150">
        <v>7</v>
      </c>
      <c r="J150" t="s">
        <v>23</v>
      </c>
      <c r="K150" t="s">
        <v>32</v>
      </c>
      <c r="L150" t="s">
        <v>33</v>
      </c>
      <c r="M150">
        <v>20</v>
      </c>
      <c r="N150">
        <v>66</v>
      </c>
      <c r="O150" t="s">
        <v>62</v>
      </c>
      <c r="P150">
        <v>20</v>
      </c>
      <c r="Q150">
        <v>50</v>
      </c>
      <c r="R150">
        <v>50</v>
      </c>
      <c r="S150">
        <v>70</v>
      </c>
      <c r="T150">
        <v>19</v>
      </c>
      <c r="U150" t="s">
        <v>35</v>
      </c>
      <c r="V150">
        <f t="shared" si="12"/>
        <v>0.30303030303030304</v>
      </c>
      <c r="W150">
        <f t="shared" si="13"/>
        <v>-30</v>
      </c>
      <c r="X150">
        <f t="shared" si="14"/>
        <v>-4</v>
      </c>
      <c r="Y150">
        <f t="shared" si="15"/>
        <v>0.40909090909090912</v>
      </c>
      <c r="Z150" s="7" t="str">
        <f t="shared" si="16"/>
        <v>Low Sales</v>
      </c>
      <c r="AA150" s="7" t="str">
        <f t="shared" si="17"/>
        <v>High Margin</v>
      </c>
    </row>
    <row r="151" spans="1:27" x14ac:dyDescent="0.25">
      <c r="A151" t="s">
        <v>132</v>
      </c>
      <c r="B151">
        <v>76</v>
      </c>
      <c r="C151">
        <v>29</v>
      </c>
      <c r="D151" s="1">
        <v>41331</v>
      </c>
      <c r="E151">
        <v>580</v>
      </c>
      <c r="F151">
        <v>111</v>
      </c>
      <c r="G151" t="s">
        <v>21</v>
      </c>
      <c r="H151" t="s">
        <v>36</v>
      </c>
      <c r="I151">
        <v>21</v>
      </c>
      <c r="J151" t="s">
        <v>23</v>
      </c>
      <c r="K151" t="s">
        <v>32</v>
      </c>
      <c r="L151" t="s">
        <v>61</v>
      </c>
      <c r="M151">
        <v>79</v>
      </c>
      <c r="N151">
        <v>187</v>
      </c>
      <c r="O151" t="s">
        <v>38</v>
      </c>
      <c r="P151">
        <v>30</v>
      </c>
      <c r="Q151">
        <v>50</v>
      </c>
      <c r="R151">
        <v>50</v>
      </c>
      <c r="S151">
        <v>80</v>
      </c>
      <c r="T151">
        <v>32</v>
      </c>
      <c r="U151" t="s">
        <v>35</v>
      </c>
      <c r="V151">
        <f t="shared" si="12"/>
        <v>0.42245989304812837</v>
      </c>
      <c r="W151">
        <f t="shared" si="13"/>
        <v>29</v>
      </c>
      <c r="X151">
        <f t="shared" si="14"/>
        <v>107</v>
      </c>
      <c r="Y151">
        <f t="shared" si="15"/>
        <v>0.40641711229946526</v>
      </c>
      <c r="Z151" s="7" t="str">
        <f t="shared" si="16"/>
        <v>Low Sales</v>
      </c>
      <c r="AA151" s="7" t="str">
        <f t="shared" si="17"/>
        <v>High Margin</v>
      </c>
    </row>
    <row r="152" spans="1:27" x14ac:dyDescent="0.25">
      <c r="A152" t="s">
        <v>133</v>
      </c>
      <c r="B152">
        <v>22</v>
      </c>
      <c r="C152">
        <v>-40</v>
      </c>
      <c r="D152" s="1">
        <v>41332</v>
      </c>
      <c r="E152">
        <v>573</v>
      </c>
      <c r="F152">
        <v>29</v>
      </c>
      <c r="G152" t="s">
        <v>39</v>
      </c>
      <c r="H152" t="s">
        <v>22</v>
      </c>
      <c r="I152">
        <v>7</v>
      </c>
      <c r="J152" t="s">
        <v>40</v>
      </c>
      <c r="K152" t="s">
        <v>41</v>
      </c>
      <c r="L152" t="s">
        <v>42</v>
      </c>
      <c r="M152">
        <v>10</v>
      </c>
      <c r="N152">
        <v>51</v>
      </c>
      <c r="O152" t="s">
        <v>59</v>
      </c>
      <c r="P152">
        <v>20</v>
      </c>
      <c r="Q152">
        <v>50</v>
      </c>
      <c r="R152">
        <v>50</v>
      </c>
      <c r="S152">
        <v>70</v>
      </c>
      <c r="T152">
        <v>19</v>
      </c>
      <c r="U152" t="s">
        <v>27</v>
      </c>
      <c r="V152">
        <f t="shared" si="12"/>
        <v>0.19607843137254902</v>
      </c>
      <c r="W152">
        <f t="shared" si="13"/>
        <v>-40</v>
      </c>
      <c r="X152">
        <f t="shared" si="14"/>
        <v>-19</v>
      </c>
      <c r="Y152">
        <f t="shared" si="15"/>
        <v>0.43137254901960786</v>
      </c>
      <c r="Z152" s="7" t="str">
        <f t="shared" si="16"/>
        <v>Low Sales</v>
      </c>
      <c r="AA152" s="7" t="str">
        <f t="shared" si="17"/>
        <v>High Margin</v>
      </c>
    </row>
    <row r="153" spans="1:27" x14ac:dyDescent="0.25">
      <c r="A153" t="s">
        <v>134</v>
      </c>
      <c r="B153">
        <v>23</v>
      </c>
      <c r="C153">
        <v>-32</v>
      </c>
      <c r="D153" s="1">
        <v>41333</v>
      </c>
      <c r="E153">
        <v>800</v>
      </c>
      <c r="F153">
        <v>35</v>
      </c>
      <c r="G153" t="s">
        <v>39</v>
      </c>
      <c r="H153" t="s">
        <v>22</v>
      </c>
      <c r="I153">
        <v>6</v>
      </c>
      <c r="J153" t="s">
        <v>40</v>
      </c>
      <c r="K153" t="s">
        <v>41</v>
      </c>
      <c r="L153" t="s">
        <v>53</v>
      </c>
      <c r="M153">
        <v>18</v>
      </c>
      <c r="N153">
        <v>58</v>
      </c>
      <c r="O153" t="s">
        <v>43</v>
      </c>
      <c r="P153">
        <v>20</v>
      </c>
      <c r="Q153">
        <v>50</v>
      </c>
      <c r="R153">
        <v>50</v>
      </c>
      <c r="S153">
        <v>70</v>
      </c>
      <c r="T153">
        <v>17</v>
      </c>
      <c r="U153" t="s">
        <v>35</v>
      </c>
      <c r="V153">
        <f t="shared" si="12"/>
        <v>0.31034482758620691</v>
      </c>
      <c r="W153">
        <f t="shared" si="13"/>
        <v>-32</v>
      </c>
      <c r="X153">
        <f t="shared" si="14"/>
        <v>-12</v>
      </c>
      <c r="Y153">
        <f t="shared" si="15"/>
        <v>0.39655172413793105</v>
      </c>
      <c r="Z153" s="7" t="str">
        <f t="shared" si="16"/>
        <v>Low Sales</v>
      </c>
      <c r="AA153" s="7" t="str">
        <f t="shared" si="17"/>
        <v>High Margin</v>
      </c>
    </row>
    <row r="154" spans="1:27" x14ac:dyDescent="0.25">
      <c r="A154" t="s">
        <v>135</v>
      </c>
      <c r="B154">
        <v>79</v>
      </c>
      <c r="C154">
        <v>4</v>
      </c>
      <c r="D154" s="1">
        <v>41334</v>
      </c>
      <c r="E154">
        <v>593</v>
      </c>
      <c r="F154">
        <v>98</v>
      </c>
      <c r="G154" t="s">
        <v>39</v>
      </c>
      <c r="H154" t="s">
        <v>31</v>
      </c>
      <c r="I154">
        <v>30</v>
      </c>
      <c r="J154" t="s">
        <v>23</v>
      </c>
      <c r="K154" t="s">
        <v>24</v>
      </c>
      <c r="L154" t="s">
        <v>25</v>
      </c>
      <c r="M154">
        <v>34</v>
      </c>
      <c r="N154">
        <v>177</v>
      </c>
      <c r="O154" t="s">
        <v>44</v>
      </c>
      <c r="P154">
        <v>40</v>
      </c>
      <c r="Q154">
        <v>50</v>
      </c>
      <c r="R154">
        <v>30</v>
      </c>
      <c r="S154">
        <v>90</v>
      </c>
      <c r="T154">
        <v>64</v>
      </c>
      <c r="U154" t="s">
        <v>27</v>
      </c>
      <c r="V154">
        <f t="shared" si="12"/>
        <v>0.19209039548022599</v>
      </c>
      <c r="W154">
        <f t="shared" si="13"/>
        <v>4</v>
      </c>
      <c r="X154">
        <f t="shared" si="14"/>
        <v>87</v>
      </c>
      <c r="Y154">
        <f t="shared" si="15"/>
        <v>0.4463276836158192</v>
      </c>
      <c r="Z154" s="7" t="str">
        <f t="shared" si="16"/>
        <v>Low Sales</v>
      </c>
      <c r="AA154" s="7" t="str">
        <f t="shared" si="17"/>
        <v>High Margin</v>
      </c>
    </row>
    <row r="155" spans="1:27" x14ac:dyDescent="0.25">
      <c r="A155" t="s">
        <v>74</v>
      </c>
      <c r="B155">
        <v>65</v>
      </c>
      <c r="C155">
        <v>-15</v>
      </c>
      <c r="D155" s="1">
        <v>41335</v>
      </c>
      <c r="E155">
        <v>1053</v>
      </c>
      <c r="F155">
        <v>77</v>
      </c>
      <c r="G155" t="s">
        <v>39</v>
      </c>
      <c r="H155" t="s">
        <v>31</v>
      </c>
      <c r="I155">
        <v>20</v>
      </c>
      <c r="J155" t="s">
        <v>23</v>
      </c>
      <c r="K155" t="s">
        <v>24</v>
      </c>
      <c r="L155" t="s">
        <v>28</v>
      </c>
      <c r="M155">
        <v>35</v>
      </c>
      <c r="N155">
        <v>142</v>
      </c>
      <c r="O155" t="s">
        <v>44</v>
      </c>
      <c r="P155">
        <v>30</v>
      </c>
      <c r="Q155">
        <v>50</v>
      </c>
      <c r="R155">
        <v>50</v>
      </c>
      <c r="S155">
        <v>80</v>
      </c>
      <c r="T155">
        <v>42</v>
      </c>
      <c r="U155" t="s">
        <v>27</v>
      </c>
      <c r="V155">
        <f t="shared" si="12"/>
        <v>0.24647887323943662</v>
      </c>
      <c r="W155">
        <f t="shared" si="13"/>
        <v>-15</v>
      </c>
      <c r="X155">
        <f t="shared" si="14"/>
        <v>62</v>
      </c>
      <c r="Y155">
        <f t="shared" si="15"/>
        <v>0.45774647887323944</v>
      </c>
      <c r="Z155" s="7" t="str">
        <f t="shared" si="16"/>
        <v>Low Sales</v>
      </c>
      <c r="AA155" s="7" t="str">
        <f t="shared" si="17"/>
        <v>High Margin</v>
      </c>
    </row>
    <row r="156" spans="1:27" x14ac:dyDescent="0.25">
      <c r="A156" t="s">
        <v>82</v>
      </c>
      <c r="B156">
        <v>46</v>
      </c>
      <c r="C156">
        <v>-10</v>
      </c>
      <c r="D156" s="1">
        <v>41336</v>
      </c>
      <c r="E156">
        <v>449</v>
      </c>
      <c r="F156">
        <v>67</v>
      </c>
      <c r="G156" t="s">
        <v>39</v>
      </c>
      <c r="H156" t="s">
        <v>22</v>
      </c>
      <c r="I156">
        <v>14</v>
      </c>
      <c r="J156" t="s">
        <v>23</v>
      </c>
      <c r="K156" t="s">
        <v>32</v>
      </c>
      <c r="L156" t="s">
        <v>33</v>
      </c>
      <c r="M156">
        <v>30</v>
      </c>
      <c r="N156">
        <v>113</v>
      </c>
      <c r="O156" t="s">
        <v>59</v>
      </c>
      <c r="P156">
        <v>20</v>
      </c>
      <c r="Q156">
        <v>50</v>
      </c>
      <c r="R156">
        <v>40</v>
      </c>
      <c r="S156">
        <v>70</v>
      </c>
      <c r="T156">
        <v>37</v>
      </c>
      <c r="U156" t="s">
        <v>35</v>
      </c>
      <c r="V156">
        <f t="shared" si="12"/>
        <v>0.26548672566371684</v>
      </c>
      <c r="W156">
        <f t="shared" si="13"/>
        <v>-10</v>
      </c>
      <c r="X156">
        <f t="shared" si="14"/>
        <v>43</v>
      </c>
      <c r="Y156">
        <f t="shared" si="15"/>
        <v>0.40707964601769914</v>
      </c>
      <c r="Z156" s="7" t="str">
        <f t="shared" si="16"/>
        <v>Low Sales</v>
      </c>
      <c r="AA156" s="7" t="str">
        <f t="shared" si="17"/>
        <v>High Margin</v>
      </c>
    </row>
    <row r="157" spans="1:27" x14ac:dyDescent="0.25">
      <c r="A157" t="s">
        <v>133</v>
      </c>
      <c r="B157">
        <v>60</v>
      </c>
      <c r="C157">
        <v>0</v>
      </c>
      <c r="D157" s="1">
        <v>41337</v>
      </c>
      <c r="E157">
        <v>606</v>
      </c>
      <c r="F157">
        <v>84</v>
      </c>
      <c r="G157" t="s">
        <v>39</v>
      </c>
      <c r="H157" t="s">
        <v>22</v>
      </c>
      <c r="I157">
        <v>54</v>
      </c>
      <c r="J157" t="s">
        <v>23</v>
      </c>
      <c r="K157" t="s">
        <v>32</v>
      </c>
      <c r="L157" t="s">
        <v>61</v>
      </c>
      <c r="M157">
        <v>0</v>
      </c>
      <c r="N157">
        <v>144</v>
      </c>
      <c r="O157" t="s">
        <v>59</v>
      </c>
      <c r="P157">
        <v>40</v>
      </c>
      <c r="Q157">
        <v>50</v>
      </c>
      <c r="R157">
        <v>0</v>
      </c>
      <c r="S157">
        <v>90</v>
      </c>
      <c r="T157">
        <v>84</v>
      </c>
      <c r="U157" t="s">
        <v>35</v>
      </c>
      <c r="V157">
        <f t="shared" si="12"/>
        <v>0</v>
      </c>
      <c r="W157">
        <f t="shared" si="13"/>
        <v>0</v>
      </c>
      <c r="X157">
        <f t="shared" si="14"/>
        <v>54</v>
      </c>
      <c r="Y157">
        <f t="shared" si="15"/>
        <v>0.41666666666666669</v>
      </c>
      <c r="Z157" s="7" t="str">
        <f t="shared" si="16"/>
        <v>Low Sales</v>
      </c>
      <c r="AA157" s="7" t="str">
        <f t="shared" si="17"/>
        <v>Low Margin</v>
      </c>
    </row>
    <row r="158" spans="1:27" x14ac:dyDescent="0.25">
      <c r="A158" t="s">
        <v>100</v>
      </c>
      <c r="B158">
        <v>60</v>
      </c>
      <c r="C158">
        <v>17</v>
      </c>
      <c r="D158" s="1">
        <v>41338</v>
      </c>
      <c r="E158">
        <v>329</v>
      </c>
      <c r="F158">
        <v>99</v>
      </c>
      <c r="G158" t="s">
        <v>39</v>
      </c>
      <c r="H158" t="s">
        <v>36</v>
      </c>
      <c r="I158">
        <v>18</v>
      </c>
      <c r="J158" t="s">
        <v>23</v>
      </c>
      <c r="K158" t="s">
        <v>32</v>
      </c>
      <c r="L158" t="s">
        <v>33</v>
      </c>
      <c r="M158">
        <v>57</v>
      </c>
      <c r="N158">
        <v>159</v>
      </c>
      <c r="O158" t="s">
        <v>60</v>
      </c>
      <c r="P158">
        <v>20</v>
      </c>
      <c r="Q158">
        <v>50</v>
      </c>
      <c r="R158">
        <v>40</v>
      </c>
      <c r="S158">
        <v>70</v>
      </c>
      <c r="T158">
        <v>42</v>
      </c>
      <c r="U158" t="s">
        <v>35</v>
      </c>
      <c r="V158">
        <f t="shared" si="12"/>
        <v>0.35849056603773582</v>
      </c>
      <c r="W158">
        <f t="shared" si="13"/>
        <v>17</v>
      </c>
      <c r="X158">
        <f t="shared" si="14"/>
        <v>89</v>
      </c>
      <c r="Y158">
        <f t="shared" si="15"/>
        <v>0.37735849056603776</v>
      </c>
      <c r="Z158" s="7" t="str">
        <f t="shared" si="16"/>
        <v>Low Sales</v>
      </c>
      <c r="AA158" s="7" t="str">
        <f t="shared" si="17"/>
        <v>High Margin</v>
      </c>
    </row>
    <row r="159" spans="1:27" x14ac:dyDescent="0.25">
      <c r="A159" t="s">
        <v>136</v>
      </c>
      <c r="B159">
        <v>40</v>
      </c>
      <c r="C159">
        <v>-3</v>
      </c>
      <c r="D159" s="1">
        <v>41339</v>
      </c>
      <c r="E159">
        <v>536</v>
      </c>
      <c r="F159">
        <v>52</v>
      </c>
      <c r="G159" t="s">
        <v>21</v>
      </c>
      <c r="H159" t="s">
        <v>22</v>
      </c>
      <c r="I159">
        <v>13</v>
      </c>
      <c r="J159" t="s">
        <v>23</v>
      </c>
      <c r="K159" t="s">
        <v>24</v>
      </c>
      <c r="L159" t="s">
        <v>25</v>
      </c>
      <c r="M159">
        <v>27</v>
      </c>
      <c r="N159">
        <v>92</v>
      </c>
      <c r="O159" t="s">
        <v>63</v>
      </c>
      <c r="P159">
        <v>30</v>
      </c>
      <c r="Q159">
        <v>50</v>
      </c>
      <c r="R159">
        <v>30</v>
      </c>
      <c r="S159">
        <v>80</v>
      </c>
      <c r="T159">
        <v>25</v>
      </c>
      <c r="U159" t="s">
        <v>27</v>
      </c>
      <c r="V159">
        <f t="shared" si="12"/>
        <v>0.29347826086956524</v>
      </c>
      <c r="W159">
        <f t="shared" si="13"/>
        <v>-3</v>
      </c>
      <c r="X159">
        <f t="shared" si="14"/>
        <v>12</v>
      </c>
      <c r="Y159">
        <f t="shared" si="15"/>
        <v>0.43478260869565216</v>
      </c>
      <c r="Z159" s="7" t="str">
        <f t="shared" si="16"/>
        <v>Low Sales</v>
      </c>
      <c r="AA159" s="7" t="str">
        <f t="shared" si="17"/>
        <v>High Margin</v>
      </c>
    </row>
    <row r="160" spans="1:27" x14ac:dyDescent="0.25">
      <c r="A160" t="s">
        <v>137</v>
      </c>
      <c r="B160">
        <v>36</v>
      </c>
      <c r="C160">
        <v>-10</v>
      </c>
      <c r="D160" s="1">
        <v>41340</v>
      </c>
      <c r="E160">
        <v>862</v>
      </c>
      <c r="F160">
        <v>52</v>
      </c>
      <c r="G160" t="s">
        <v>21</v>
      </c>
      <c r="H160" t="s">
        <v>22</v>
      </c>
      <c r="I160">
        <v>10</v>
      </c>
      <c r="J160" t="s">
        <v>23</v>
      </c>
      <c r="K160" t="s">
        <v>24</v>
      </c>
      <c r="L160" t="s">
        <v>25</v>
      </c>
      <c r="M160">
        <v>30</v>
      </c>
      <c r="N160">
        <v>88</v>
      </c>
      <c r="O160" t="s">
        <v>65</v>
      </c>
      <c r="P160">
        <v>30</v>
      </c>
      <c r="Q160">
        <v>50</v>
      </c>
      <c r="R160">
        <v>40</v>
      </c>
      <c r="S160">
        <v>80</v>
      </c>
      <c r="T160">
        <v>22</v>
      </c>
      <c r="U160" t="s">
        <v>27</v>
      </c>
      <c r="V160">
        <f t="shared" si="12"/>
        <v>0.34090909090909088</v>
      </c>
      <c r="W160">
        <f t="shared" si="13"/>
        <v>-10</v>
      </c>
      <c r="X160">
        <f t="shared" si="14"/>
        <v>8</v>
      </c>
      <c r="Y160">
        <f t="shared" si="15"/>
        <v>0.40909090909090912</v>
      </c>
      <c r="Z160" s="7" t="str">
        <f t="shared" si="16"/>
        <v>Low Sales</v>
      </c>
      <c r="AA160" s="7" t="str">
        <f t="shared" si="17"/>
        <v>High Margin</v>
      </c>
    </row>
    <row r="161" spans="1:27" x14ac:dyDescent="0.25">
      <c r="A161" t="s">
        <v>138</v>
      </c>
      <c r="B161">
        <v>55</v>
      </c>
      <c r="C161">
        <v>-5</v>
      </c>
      <c r="D161" s="1">
        <v>41341</v>
      </c>
      <c r="E161">
        <v>410</v>
      </c>
      <c r="F161">
        <v>69</v>
      </c>
      <c r="G161" t="s">
        <v>21</v>
      </c>
      <c r="H161" t="s">
        <v>31</v>
      </c>
      <c r="I161">
        <v>20</v>
      </c>
      <c r="J161" t="s">
        <v>23</v>
      </c>
      <c r="K161" t="s">
        <v>24</v>
      </c>
      <c r="L161" t="s">
        <v>25</v>
      </c>
      <c r="M161">
        <v>15</v>
      </c>
      <c r="N161">
        <v>124</v>
      </c>
      <c r="O161" t="s">
        <v>62</v>
      </c>
      <c r="P161">
        <v>40</v>
      </c>
      <c r="Q161">
        <v>50</v>
      </c>
      <c r="R161">
        <v>20</v>
      </c>
      <c r="S161">
        <v>90</v>
      </c>
      <c r="T161">
        <v>54</v>
      </c>
      <c r="U161" t="s">
        <v>27</v>
      </c>
      <c r="V161">
        <f t="shared" si="12"/>
        <v>0.12096774193548387</v>
      </c>
      <c r="W161">
        <f t="shared" si="13"/>
        <v>-5</v>
      </c>
      <c r="X161">
        <f t="shared" si="14"/>
        <v>34</v>
      </c>
      <c r="Y161">
        <f t="shared" si="15"/>
        <v>0.44354838709677419</v>
      </c>
      <c r="Z161" s="7" t="str">
        <f t="shared" si="16"/>
        <v>Low Sales</v>
      </c>
      <c r="AA161" s="7" t="str">
        <f t="shared" si="17"/>
        <v>Low Margin</v>
      </c>
    </row>
    <row r="162" spans="1:27" x14ac:dyDescent="0.25">
      <c r="A162" t="s">
        <v>139</v>
      </c>
      <c r="B162">
        <v>40</v>
      </c>
      <c r="C162">
        <v>-3</v>
      </c>
      <c r="D162" s="1">
        <v>41342</v>
      </c>
      <c r="E162">
        <v>536</v>
      </c>
      <c r="F162">
        <v>52</v>
      </c>
      <c r="G162" t="s">
        <v>21</v>
      </c>
      <c r="H162" t="s">
        <v>36</v>
      </c>
      <c r="I162">
        <v>13</v>
      </c>
      <c r="J162" t="s">
        <v>23</v>
      </c>
      <c r="K162" t="s">
        <v>24</v>
      </c>
      <c r="L162" t="s">
        <v>28</v>
      </c>
      <c r="M162">
        <v>27</v>
      </c>
      <c r="N162">
        <v>92</v>
      </c>
      <c r="O162" t="s">
        <v>38</v>
      </c>
      <c r="P162">
        <v>30</v>
      </c>
      <c r="Q162">
        <v>50</v>
      </c>
      <c r="R162">
        <v>30</v>
      </c>
      <c r="S162">
        <v>80</v>
      </c>
      <c r="T162">
        <v>25</v>
      </c>
      <c r="U162" t="s">
        <v>27</v>
      </c>
      <c r="V162">
        <f t="shared" si="12"/>
        <v>0.29347826086956524</v>
      </c>
      <c r="W162">
        <f t="shared" si="13"/>
        <v>-3</v>
      </c>
      <c r="X162">
        <f t="shared" si="14"/>
        <v>12</v>
      </c>
      <c r="Y162">
        <f t="shared" si="15"/>
        <v>0.43478260869565216</v>
      </c>
      <c r="Z162" s="7" t="str">
        <f t="shared" si="16"/>
        <v>Low Sales</v>
      </c>
      <c r="AA162" s="7" t="str">
        <f t="shared" si="17"/>
        <v>High Margin</v>
      </c>
    </row>
    <row r="163" spans="1:27" x14ac:dyDescent="0.25">
      <c r="A163" t="s">
        <v>140</v>
      </c>
      <c r="B163">
        <v>28</v>
      </c>
      <c r="C163">
        <v>-17</v>
      </c>
      <c r="D163" s="1">
        <v>41343</v>
      </c>
      <c r="E163">
        <v>875</v>
      </c>
      <c r="F163">
        <v>42</v>
      </c>
      <c r="G163" t="s">
        <v>21</v>
      </c>
      <c r="H163" t="s">
        <v>31</v>
      </c>
      <c r="I163">
        <v>7</v>
      </c>
      <c r="J163" t="s">
        <v>23</v>
      </c>
      <c r="K163" t="s">
        <v>32</v>
      </c>
      <c r="L163" t="s">
        <v>33</v>
      </c>
      <c r="M163">
        <v>23</v>
      </c>
      <c r="N163">
        <v>70</v>
      </c>
      <c r="O163" t="s">
        <v>34</v>
      </c>
      <c r="P163">
        <v>20</v>
      </c>
      <c r="Q163">
        <v>50</v>
      </c>
      <c r="R163">
        <v>40</v>
      </c>
      <c r="S163">
        <v>70</v>
      </c>
      <c r="T163">
        <v>19</v>
      </c>
      <c r="U163" t="s">
        <v>35</v>
      </c>
      <c r="V163">
        <f t="shared" si="12"/>
        <v>0.32857142857142857</v>
      </c>
      <c r="W163">
        <f t="shared" si="13"/>
        <v>-17</v>
      </c>
      <c r="X163">
        <f t="shared" si="14"/>
        <v>0</v>
      </c>
      <c r="Y163">
        <f t="shared" si="15"/>
        <v>0.4</v>
      </c>
      <c r="Z163" s="7" t="str">
        <f t="shared" si="16"/>
        <v>Low Sales</v>
      </c>
      <c r="AA163" s="7" t="str">
        <f t="shared" si="17"/>
        <v>High Margin</v>
      </c>
    </row>
    <row r="164" spans="1:27" x14ac:dyDescent="0.25">
      <c r="A164" t="s">
        <v>103</v>
      </c>
      <c r="B164">
        <v>31</v>
      </c>
      <c r="C164">
        <v>-12</v>
      </c>
      <c r="D164" s="1">
        <v>41344</v>
      </c>
      <c r="E164">
        <v>856</v>
      </c>
      <c r="F164">
        <v>47</v>
      </c>
      <c r="G164" t="s">
        <v>21</v>
      </c>
      <c r="H164" t="s">
        <v>31</v>
      </c>
      <c r="I164">
        <v>8</v>
      </c>
      <c r="J164" t="s">
        <v>23</v>
      </c>
      <c r="K164" t="s">
        <v>32</v>
      </c>
      <c r="L164" t="s">
        <v>37</v>
      </c>
      <c r="M164">
        <v>28</v>
      </c>
      <c r="N164">
        <v>78</v>
      </c>
      <c r="O164" t="s">
        <v>34</v>
      </c>
      <c r="P164">
        <v>30</v>
      </c>
      <c r="Q164">
        <v>50</v>
      </c>
      <c r="R164">
        <v>40</v>
      </c>
      <c r="S164">
        <v>80</v>
      </c>
      <c r="T164">
        <v>19</v>
      </c>
      <c r="U164" t="s">
        <v>35</v>
      </c>
      <c r="V164">
        <f t="shared" si="12"/>
        <v>0.35897435897435898</v>
      </c>
      <c r="W164">
        <f t="shared" si="13"/>
        <v>-12</v>
      </c>
      <c r="X164">
        <f t="shared" si="14"/>
        <v>-2</v>
      </c>
      <c r="Y164">
        <f t="shared" si="15"/>
        <v>0.39743589743589741</v>
      </c>
      <c r="Z164" s="7" t="str">
        <f t="shared" si="16"/>
        <v>Low Sales</v>
      </c>
      <c r="AA164" s="7" t="str">
        <f t="shared" si="17"/>
        <v>High Margin</v>
      </c>
    </row>
    <row r="165" spans="1:27" x14ac:dyDescent="0.25">
      <c r="A165" t="s">
        <v>121</v>
      </c>
      <c r="B165">
        <v>32</v>
      </c>
      <c r="C165">
        <v>-11</v>
      </c>
      <c r="D165" s="1">
        <v>41345</v>
      </c>
      <c r="E165">
        <v>482</v>
      </c>
      <c r="F165">
        <v>48</v>
      </c>
      <c r="G165" t="s">
        <v>21</v>
      </c>
      <c r="H165" t="s">
        <v>31</v>
      </c>
      <c r="I165">
        <v>8</v>
      </c>
      <c r="J165" t="s">
        <v>23</v>
      </c>
      <c r="K165" t="s">
        <v>32</v>
      </c>
      <c r="L165" t="s">
        <v>37</v>
      </c>
      <c r="M165">
        <v>29</v>
      </c>
      <c r="N165">
        <v>80</v>
      </c>
      <c r="O165" t="s">
        <v>62</v>
      </c>
      <c r="P165">
        <v>30</v>
      </c>
      <c r="Q165">
        <v>50</v>
      </c>
      <c r="R165">
        <v>40</v>
      </c>
      <c r="S165">
        <v>80</v>
      </c>
      <c r="T165">
        <v>19</v>
      </c>
      <c r="U165" t="s">
        <v>35</v>
      </c>
      <c r="V165">
        <f t="shared" si="12"/>
        <v>0.36249999999999999</v>
      </c>
      <c r="W165">
        <f t="shared" si="13"/>
        <v>-11</v>
      </c>
      <c r="X165">
        <f t="shared" si="14"/>
        <v>0</v>
      </c>
      <c r="Y165">
        <f t="shared" si="15"/>
        <v>0.4</v>
      </c>
      <c r="Z165" s="7" t="str">
        <f t="shared" si="16"/>
        <v>Low Sales</v>
      </c>
      <c r="AA165" s="7" t="str">
        <f t="shared" si="17"/>
        <v>High Margin</v>
      </c>
    </row>
    <row r="166" spans="1:27" x14ac:dyDescent="0.25">
      <c r="A166" t="s">
        <v>141</v>
      </c>
      <c r="B166">
        <v>50</v>
      </c>
      <c r="C166">
        <v>7</v>
      </c>
      <c r="D166" s="1">
        <v>41346</v>
      </c>
      <c r="E166">
        <v>589</v>
      </c>
      <c r="F166">
        <v>73</v>
      </c>
      <c r="G166" t="s">
        <v>21</v>
      </c>
      <c r="H166" t="s">
        <v>36</v>
      </c>
      <c r="I166">
        <v>14</v>
      </c>
      <c r="J166" t="s">
        <v>23</v>
      </c>
      <c r="K166" t="s">
        <v>32</v>
      </c>
      <c r="L166" t="s">
        <v>61</v>
      </c>
      <c r="M166">
        <v>47</v>
      </c>
      <c r="N166">
        <v>123</v>
      </c>
      <c r="O166" t="s">
        <v>38</v>
      </c>
      <c r="P166">
        <v>30</v>
      </c>
      <c r="Q166">
        <v>50</v>
      </c>
      <c r="R166">
        <v>40</v>
      </c>
      <c r="S166">
        <v>80</v>
      </c>
      <c r="T166">
        <v>26</v>
      </c>
      <c r="U166" t="s">
        <v>35</v>
      </c>
      <c r="V166">
        <f t="shared" si="12"/>
        <v>0.38211382113821141</v>
      </c>
      <c r="W166">
        <f t="shared" si="13"/>
        <v>7</v>
      </c>
      <c r="X166">
        <f t="shared" si="14"/>
        <v>43</v>
      </c>
      <c r="Y166">
        <f t="shared" si="15"/>
        <v>0.4065040650406504</v>
      </c>
      <c r="Z166" s="7" t="str">
        <f t="shared" si="16"/>
        <v>Low Sales</v>
      </c>
      <c r="AA166" s="7" t="str">
        <f t="shared" si="17"/>
        <v>High Margin</v>
      </c>
    </row>
    <row r="167" spans="1:27" x14ac:dyDescent="0.25">
      <c r="A167" t="s">
        <v>73</v>
      </c>
      <c r="B167">
        <v>0</v>
      </c>
      <c r="C167">
        <v>-9</v>
      </c>
      <c r="D167" s="1">
        <v>41347</v>
      </c>
      <c r="E167">
        <v>387</v>
      </c>
      <c r="F167">
        <v>43</v>
      </c>
      <c r="G167" t="s">
        <v>39</v>
      </c>
      <c r="H167" t="s">
        <v>22</v>
      </c>
      <c r="I167">
        <v>0</v>
      </c>
      <c r="J167" t="s">
        <v>40</v>
      </c>
      <c r="K167" t="s">
        <v>41</v>
      </c>
      <c r="L167" t="s">
        <v>42</v>
      </c>
      <c r="M167">
        <v>31</v>
      </c>
      <c r="N167">
        <v>43</v>
      </c>
      <c r="O167" t="s">
        <v>43</v>
      </c>
      <c r="P167">
        <v>0</v>
      </c>
      <c r="Q167">
        <v>50</v>
      </c>
      <c r="R167">
        <v>40</v>
      </c>
      <c r="S167">
        <v>50</v>
      </c>
      <c r="T167">
        <v>12</v>
      </c>
      <c r="U167" t="s">
        <v>27</v>
      </c>
      <c r="V167">
        <f t="shared" si="12"/>
        <v>0.72093023255813948</v>
      </c>
      <c r="W167">
        <f t="shared" si="13"/>
        <v>-9</v>
      </c>
      <c r="X167">
        <f t="shared" si="14"/>
        <v>-7</v>
      </c>
      <c r="Y167">
        <f t="shared" si="15"/>
        <v>0</v>
      </c>
      <c r="Z167" s="7" t="str">
        <f t="shared" si="16"/>
        <v>Low Sales</v>
      </c>
      <c r="AA167" s="7" t="str">
        <f t="shared" si="17"/>
        <v>High Margin</v>
      </c>
    </row>
    <row r="168" spans="1:27" x14ac:dyDescent="0.25">
      <c r="A168" t="s">
        <v>107</v>
      </c>
      <c r="B168">
        <v>82</v>
      </c>
      <c r="C168">
        <v>-18</v>
      </c>
      <c r="D168" s="1">
        <v>41348</v>
      </c>
      <c r="E168">
        <v>1804</v>
      </c>
      <c r="F168">
        <v>40</v>
      </c>
      <c r="G168" t="s">
        <v>39</v>
      </c>
      <c r="H168" t="s">
        <v>29</v>
      </c>
      <c r="I168">
        <v>25</v>
      </c>
      <c r="J168" t="s">
        <v>40</v>
      </c>
      <c r="K168" t="s">
        <v>45</v>
      </c>
      <c r="L168" t="s">
        <v>46</v>
      </c>
      <c r="M168">
        <v>-8</v>
      </c>
      <c r="N168">
        <v>122</v>
      </c>
      <c r="O168" t="s">
        <v>64</v>
      </c>
      <c r="P168">
        <v>90</v>
      </c>
      <c r="Q168">
        <v>50</v>
      </c>
      <c r="R168">
        <v>10</v>
      </c>
      <c r="S168">
        <v>140</v>
      </c>
      <c r="T168">
        <v>48</v>
      </c>
      <c r="U168" t="s">
        <v>27</v>
      </c>
      <c r="V168">
        <f t="shared" si="12"/>
        <v>-6.5573770491803282E-2</v>
      </c>
      <c r="W168">
        <f t="shared" si="13"/>
        <v>-18</v>
      </c>
      <c r="X168">
        <f t="shared" si="14"/>
        <v>-18</v>
      </c>
      <c r="Y168">
        <f t="shared" si="15"/>
        <v>0.67213114754098358</v>
      </c>
      <c r="Z168" s="7" t="str">
        <f t="shared" si="16"/>
        <v>Low Sales</v>
      </c>
      <c r="AA168" s="7" t="str">
        <f t="shared" si="17"/>
        <v>Low Margin</v>
      </c>
    </row>
    <row r="169" spans="1:27" x14ac:dyDescent="0.25">
      <c r="A169" t="s">
        <v>142</v>
      </c>
      <c r="B169">
        <v>22</v>
      </c>
      <c r="C169">
        <v>-24</v>
      </c>
      <c r="D169" s="1">
        <v>41349</v>
      </c>
      <c r="E169">
        <v>802</v>
      </c>
      <c r="F169">
        <v>34</v>
      </c>
      <c r="G169" t="s">
        <v>39</v>
      </c>
      <c r="H169" t="s">
        <v>22</v>
      </c>
      <c r="I169">
        <v>6</v>
      </c>
      <c r="J169" t="s">
        <v>40</v>
      </c>
      <c r="K169" t="s">
        <v>41</v>
      </c>
      <c r="L169" t="s">
        <v>53</v>
      </c>
      <c r="M169">
        <v>16</v>
      </c>
      <c r="N169">
        <v>56</v>
      </c>
      <c r="O169" t="s">
        <v>43</v>
      </c>
      <c r="P169">
        <v>20</v>
      </c>
      <c r="Q169">
        <v>50</v>
      </c>
      <c r="R169">
        <v>40</v>
      </c>
      <c r="S169">
        <v>70</v>
      </c>
      <c r="T169">
        <v>18</v>
      </c>
      <c r="U169" t="s">
        <v>35</v>
      </c>
      <c r="V169">
        <f t="shared" si="12"/>
        <v>0.2857142857142857</v>
      </c>
      <c r="W169">
        <f t="shared" si="13"/>
        <v>-24</v>
      </c>
      <c r="X169">
        <f t="shared" si="14"/>
        <v>-14</v>
      </c>
      <c r="Y169">
        <f t="shared" si="15"/>
        <v>0.39285714285714285</v>
      </c>
      <c r="Z169" s="7" t="str">
        <f t="shared" si="16"/>
        <v>Low Sales</v>
      </c>
      <c r="AA169" s="7" t="str">
        <f t="shared" si="17"/>
        <v>High Margin</v>
      </c>
    </row>
    <row r="170" spans="1:27" x14ac:dyDescent="0.25">
      <c r="A170" t="s">
        <v>107</v>
      </c>
      <c r="B170">
        <v>44</v>
      </c>
      <c r="C170">
        <v>-7</v>
      </c>
      <c r="D170" s="1">
        <v>41350</v>
      </c>
      <c r="E170">
        <v>325</v>
      </c>
      <c r="F170">
        <v>62</v>
      </c>
      <c r="G170" t="s">
        <v>39</v>
      </c>
      <c r="H170" t="s">
        <v>29</v>
      </c>
      <c r="I170">
        <v>40</v>
      </c>
      <c r="J170" t="s">
        <v>40</v>
      </c>
      <c r="K170" t="s">
        <v>41</v>
      </c>
      <c r="L170" t="s">
        <v>53</v>
      </c>
      <c r="M170">
        <v>-7</v>
      </c>
      <c r="N170">
        <v>106</v>
      </c>
      <c r="O170" t="s">
        <v>64</v>
      </c>
      <c r="P170">
        <v>30</v>
      </c>
      <c r="Q170">
        <v>50</v>
      </c>
      <c r="R170">
        <v>0</v>
      </c>
      <c r="S170">
        <v>80</v>
      </c>
      <c r="T170">
        <v>69</v>
      </c>
      <c r="U170" t="s">
        <v>35</v>
      </c>
      <c r="V170">
        <f t="shared" si="12"/>
        <v>-6.6037735849056603E-2</v>
      </c>
      <c r="W170">
        <f t="shared" si="13"/>
        <v>-7</v>
      </c>
      <c r="X170">
        <f t="shared" si="14"/>
        <v>26</v>
      </c>
      <c r="Y170">
        <f t="shared" si="15"/>
        <v>0.41509433962264153</v>
      </c>
      <c r="Z170" s="7" t="str">
        <f t="shared" si="16"/>
        <v>Low Sales</v>
      </c>
      <c r="AA170" s="7" t="str">
        <f t="shared" si="17"/>
        <v>Low Margin</v>
      </c>
    </row>
    <row r="171" spans="1:27" x14ac:dyDescent="0.25">
      <c r="A171" t="s">
        <v>76</v>
      </c>
      <c r="B171">
        <v>33</v>
      </c>
      <c r="C171">
        <v>-14</v>
      </c>
      <c r="D171" s="1">
        <v>41351</v>
      </c>
      <c r="E171">
        <v>243</v>
      </c>
      <c r="F171">
        <v>41</v>
      </c>
      <c r="G171" t="s">
        <v>39</v>
      </c>
      <c r="H171" t="s">
        <v>36</v>
      </c>
      <c r="I171">
        <v>12</v>
      </c>
      <c r="J171" t="s">
        <v>40</v>
      </c>
      <c r="K171" t="s">
        <v>45</v>
      </c>
      <c r="L171" t="s">
        <v>52</v>
      </c>
      <c r="M171">
        <v>-4</v>
      </c>
      <c r="N171">
        <v>74</v>
      </c>
      <c r="O171" t="s">
        <v>48</v>
      </c>
      <c r="P171">
        <v>30</v>
      </c>
      <c r="Q171">
        <v>50</v>
      </c>
      <c r="R171">
        <v>10</v>
      </c>
      <c r="S171">
        <v>80</v>
      </c>
      <c r="T171">
        <v>45</v>
      </c>
      <c r="U171" t="s">
        <v>35</v>
      </c>
      <c r="V171">
        <f t="shared" si="12"/>
        <v>-5.4054054054054057E-2</v>
      </c>
      <c r="W171">
        <f t="shared" si="13"/>
        <v>-14</v>
      </c>
      <c r="X171">
        <f t="shared" si="14"/>
        <v>-6</v>
      </c>
      <c r="Y171">
        <f t="shared" si="15"/>
        <v>0.44594594594594594</v>
      </c>
      <c r="Z171" s="7" t="str">
        <f t="shared" si="16"/>
        <v>Low Sales</v>
      </c>
      <c r="AA171" s="7" t="str">
        <f t="shared" si="17"/>
        <v>Low Margin</v>
      </c>
    </row>
    <row r="172" spans="1:27" x14ac:dyDescent="0.25">
      <c r="A172" t="s">
        <v>81</v>
      </c>
      <c r="B172">
        <v>44</v>
      </c>
      <c r="C172">
        <v>-8</v>
      </c>
      <c r="D172" s="1">
        <v>41352</v>
      </c>
      <c r="E172">
        <v>325</v>
      </c>
      <c r="F172">
        <v>62</v>
      </c>
      <c r="G172" t="s">
        <v>39</v>
      </c>
      <c r="H172" t="s">
        <v>22</v>
      </c>
      <c r="I172">
        <v>40</v>
      </c>
      <c r="J172" t="s">
        <v>23</v>
      </c>
      <c r="K172" t="s">
        <v>24</v>
      </c>
      <c r="L172" t="s">
        <v>57</v>
      </c>
      <c r="M172">
        <v>-8</v>
      </c>
      <c r="N172">
        <v>106</v>
      </c>
      <c r="O172" t="s">
        <v>58</v>
      </c>
      <c r="P172">
        <v>40</v>
      </c>
      <c r="Q172">
        <v>50</v>
      </c>
      <c r="R172">
        <v>0</v>
      </c>
      <c r="S172">
        <v>90</v>
      </c>
      <c r="T172">
        <v>70</v>
      </c>
      <c r="U172" t="s">
        <v>27</v>
      </c>
      <c r="V172">
        <f t="shared" si="12"/>
        <v>-7.5471698113207544E-2</v>
      </c>
      <c r="W172">
        <f t="shared" si="13"/>
        <v>-8</v>
      </c>
      <c r="X172">
        <f t="shared" si="14"/>
        <v>16</v>
      </c>
      <c r="Y172">
        <f t="shared" si="15"/>
        <v>0.41509433962264153</v>
      </c>
      <c r="Z172" s="7" t="str">
        <f t="shared" si="16"/>
        <v>Low Sales</v>
      </c>
      <c r="AA172" s="7" t="str">
        <f t="shared" si="17"/>
        <v>Low Margin</v>
      </c>
    </row>
    <row r="173" spans="1:27" x14ac:dyDescent="0.25">
      <c r="A173" t="s">
        <v>82</v>
      </c>
      <c r="B173">
        <v>31</v>
      </c>
      <c r="C173">
        <v>-13</v>
      </c>
      <c r="D173" s="1">
        <v>41353</v>
      </c>
      <c r="E173">
        <v>856</v>
      </c>
      <c r="F173">
        <v>47</v>
      </c>
      <c r="G173" t="s">
        <v>39</v>
      </c>
      <c r="H173" t="s">
        <v>22</v>
      </c>
      <c r="I173">
        <v>8</v>
      </c>
      <c r="J173" t="s">
        <v>23</v>
      </c>
      <c r="K173" t="s">
        <v>24</v>
      </c>
      <c r="L173" t="s">
        <v>25</v>
      </c>
      <c r="M173">
        <v>27</v>
      </c>
      <c r="N173">
        <v>78</v>
      </c>
      <c r="O173" t="s">
        <v>59</v>
      </c>
      <c r="P173">
        <v>20</v>
      </c>
      <c r="Q173">
        <v>50</v>
      </c>
      <c r="R173">
        <v>40</v>
      </c>
      <c r="S173">
        <v>70</v>
      </c>
      <c r="T173">
        <v>20</v>
      </c>
      <c r="U173" t="s">
        <v>27</v>
      </c>
      <c r="V173">
        <f t="shared" si="12"/>
        <v>0.34615384615384615</v>
      </c>
      <c r="W173">
        <f t="shared" si="13"/>
        <v>-13</v>
      </c>
      <c r="X173">
        <f t="shared" si="14"/>
        <v>8</v>
      </c>
      <c r="Y173">
        <f t="shared" si="15"/>
        <v>0.39743589743589741</v>
      </c>
      <c r="Z173" s="7" t="str">
        <f t="shared" si="16"/>
        <v>Low Sales</v>
      </c>
      <c r="AA173" s="7" t="str">
        <f t="shared" si="17"/>
        <v>High Margin</v>
      </c>
    </row>
    <row r="174" spans="1:27" x14ac:dyDescent="0.25">
      <c r="A174" t="s">
        <v>110</v>
      </c>
      <c r="B174">
        <v>69</v>
      </c>
      <c r="C174">
        <v>8</v>
      </c>
      <c r="D174" s="1">
        <v>41354</v>
      </c>
      <c r="E174">
        <v>1060</v>
      </c>
      <c r="F174">
        <v>81</v>
      </c>
      <c r="G174" t="s">
        <v>39</v>
      </c>
      <c r="H174" t="s">
        <v>31</v>
      </c>
      <c r="I174">
        <v>21</v>
      </c>
      <c r="J174" t="s">
        <v>23</v>
      </c>
      <c r="K174" t="s">
        <v>24</v>
      </c>
      <c r="L174" t="s">
        <v>28</v>
      </c>
      <c r="M174">
        <v>38</v>
      </c>
      <c r="N174">
        <v>150</v>
      </c>
      <c r="O174" t="s">
        <v>44</v>
      </c>
      <c r="P174">
        <v>50</v>
      </c>
      <c r="Q174">
        <v>50</v>
      </c>
      <c r="R174">
        <v>30</v>
      </c>
      <c r="S174">
        <v>100</v>
      </c>
      <c r="T174">
        <v>43</v>
      </c>
      <c r="U174" t="s">
        <v>27</v>
      </c>
      <c r="V174">
        <f t="shared" si="12"/>
        <v>0.25333333333333335</v>
      </c>
      <c r="W174">
        <f t="shared" si="13"/>
        <v>8</v>
      </c>
      <c r="X174">
        <f t="shared" si="14"/>
        <v>50</v>
      </c>
      <c r="Y174">
        <f t="shared" si="15"/>
        <v>0.46</v>
      </c>
      <c r="Z174" s="7" t="str">
        <f t="shared" si="16"/>
        <v>Low Sales</v>
      </c>
      <c r="AA174" s="7" t="str">
        <f t="shared" si="17"/>
        <v>High Margin</v>
      </c>
    </row>
    <row r="175" spans="1:27" x14ac:dyDescent="0.25">
      <c r="A175" t="s">
        <v>82</v>
      </c>
      <c r="B175">
        <v>49</v>
      </c>
      <c r="C175">
        <v>13</v>
      </c>
      <c r="D175" s="1">
        <v>41355</v>
      </c>
      <c r="E175">
        <v>454</v>
      </c>
      <c r="F175">
        <v>71</v>
      </c>
      <c r="G175" t="s">
        <v>39</v>
      </c>
      <c r="H175" t="s">
        <v>22</v>
      </c>
      <c r="I175">
        <v>15</v>
      </c>
      <c r="J175" t="s">
        <v>23</v>
      </c>
      <c r="K175" t="s">
        <v>32</v>
      </c>
      <c r="L175" t="s">
        <v>33</v>
      </c>
      <c r="M175">
        <v>33</v>
      </c>
      <c r="N175">
        <v>120</v>
      </c>
      <c r="O175" t="s">
        <v>59</v>
      </c>
      <c r="P175">
        <v>40</v>
      </c>
      <c r="Q175">
        <v>50</v>
      </c>
      <c r="R175">
        <v>20</v>
      </c>
      <c r="S175">
        <v>90</v>
      </c>
      <c r="T175">
        <v>38</v>
      </c>
      <c r="U175" t="s">
        <v>35</v>
      </c>
      <c r="V175">
        <f t="shared" si="12"/>
        <v>0.27500000000000002</v>
      </c>
      <c r="W175">
        <f t="shared" si="13"/>
        <v>13</v>
      </c>
      <c r="X175">
        <f t="shared" si="14"/>
        <v>30</v>
      </c>
      <c r="Y175">
        <f t="shared" si="15"/>
        <v>0.40833333333333333</v>
      </c>
      <c r="Z175" s="7" t="str">
        <f t="shared" si="16"/>
        <v>Low Sales</v>
      </c>
      <c r="AA175" s="7" t="str">
        <f t="shared" si="17"/>
        <v>High Margin</v>
      </c>
    </row>
    <row r="176" spans="1:27" x14ac:dyDescent="0.25">
      <c r="A176" t="s">
        <v>100</v>
      </c>
      <c r="B176">
        <v>49</v>
      </c>
      <c r="C176">
        <v>4</v>
      </c>
      <c r="D176" s="1">
        <v>41356</v>
      </c>
      <c r="E176">
        <v>454</v>
      </c>
      <c r="F176">
        <v>71</v>
      </c>
      <c r="G176" t="s">
        <v>39</v>
      </c>
      <c r="H176" t="s">
        <v>36</v>
      </c>
      <c r="I176">
        <v>15</v>
      </c>
      <c r="J176" t="s">
        <v>23</v>
      </c>
      <c r="K176" t="s">
        <v>32</v>
      </c>
      <c r="L176" t="s">
        <v>61</v>
      </c>
      <c r="M176">
        <v>34</v>
      </c>
      <c r="N176">
        <v>120</v>
      </c>
      <c r="O176" t="s">
        <v>60</v>
      </c>
      <c r="P176">
        <v>30</v>
      </c>
      <c r="Q176">
        <v>50</v>
      </c>
      <c r="R176">
        <v>30</v>
      </c>
      <c r="S176">
        <v>80</v>
      </c>
      <c r="T176">
        <v>37</v>
      </c>
      <c r="U176" t="s">
        <v>35</v>
      </c>
      <c r="V176">
        <f t="shared" si="12"/>
        <v>0.28333333333333333</v>
      </c>
      <c r="W176">
        <f t="shared" si="13"/>
        <v>4</v>
      </c>
      <c r="X176">
        <f t="shared" si="14"/>
        <v>40</v>
      </c>
      <c r="Y176">
        <f t="shared" si="15"/>
        <v>0.40833333333333333</v>
      </c>
      <c r="Z176" s="7" t="str">
        <f t="shared" si="16"/>
        <v>Low Sales</v>
      </c>
      <c r="AA176" s="7" t="str">
        <f t="shared" si="17"/>
        <v>High Margin</v>
      </c>
    </row>
    <row r="177" spans="1:27" x14ac:dyDescent="0.25">
      <c r="A177" t="s">
        <v>69</v>
      </c>
      <c r="B177">
        <v>43</v>
      </c>
      <c r="C177">
        <v>-1</v>
      </c>
      <c r="D177" s="1">
        <v>41357</v>
      </c>
      <c r="E177">
        <v>531</v>
      </c>
      <c r="F177">
        <v>56</v>
      </c>
      <c r="G177" t="s">
        <v>21</v>
      </c>
      <c r="H177" t="s">
        <v>22</v>
      </c>
      <c r="I177">
        <v>14</v>
      </c>
      <c r="J177" t="s">
        <v>40</v>
      </c>
      <c r="K177" t="s">
        <v>45</v>
      </c>
      <c r="L177" t="s">
        <v>52</v>
      </c>
      <c r="M177">
        <v>29</v>
      </c>
      <c r="N177">
        <v>99</v>
      </c>
      <c r="O177" t="s">
        <v>26</v>
      </c>
      <c r="P177">
        <v>40</v>
      </c>
      <c r="Q177">
        <v>50</v>
      </c>
      <c r="R177">
        <v>30</v>
      </c>
      <c r="S177">
        <v>90</v>
      </c>
      <c r="T177">
        <v>27</v>
      </c>
      <c r="U177" t="s">
        <v>35</v>
      </c>
      <c r="V177">
        <f t="shared" si="12"/>
        <v>0.29292929292929293</v>
      </c>
      <c r="W177">
        <f t="shared" si="13"/>
        <v>-1</v>
      </c>
      <c r="X177">
        <f t="shared" si="14"/>
        <v>9</v>
      </c>
      <c r="Y177">
        <f t="shared" si="15"/>
        <v>0.43434343434343436</v>
      </c>
      <c r="Z177" s="7" t="str">
        <f t="shared" si="16"/>
        <v>Low Sales</v>
      </c>
      <c r="AA177" s="7" t="str">
        <f t="shared" si="17"/>
        <v>High Margin</v>
      </c>
    </row>
    <row r="178" spans="1:27" x14ac:dyDescent="0.25">
      <c r="A178" t="s">
        <v>137</v>
      </c>
      <c r="B178">
        <v>41</v>
      </c>
      <c r="C178">
        <v>4</v>
      </c>
      <c r="D178" s="1">
        <v>41358</v>
      </c>
      <c r="E178">
        <v>435</v>
      </c>
      <c r="F178">
        <v>60</v>
      </c>
      <c r="G178" t="s">
        <v>21</v>
      </c>
      <c r="H178" t="s">
        <v>22</v>
      </c>
      <c r="I178">
        <v>13</v>
      </c>
      <c r="J178" t="s">
        <v>40</v>
      </c>
      <c r="K178" t="s">
        <v>45</v>
      </c>
      <c r="L178" t="s">
        <v>52</v>
      </c>
      <c r="M178">
        <v>24</v>
      </c>
      <c r="N178">
        <v>101</v>
      </c>
      <c r="O178" t="s">
        <v>65</v>
      </c>
      <c r="P178">
        <v>40</v>
      </c>
      <c r="Q178">
        <v>50</v>
      </c>
      <c r="R178">
        <v>20</v>
      </c>
      <c r="S178">
        <v>90</v>
      </c>
      <c r="T178">
        <v>36</v>
      </c>
      <c r="U178" t="s">
        <v>35</v>
      </c>
      <c r="V178">
        <f t="shared" si="12"/>
        <v>0.23762376237623761</v>
      </c>
      <c r="W178">
        <f t="shared" si="13"/>
        <v>4</v>
      </c>
      <c r="X178">
        <f t="shared" si="14"/>
        <v>11</v>
      </c>
      <c r="Y178">
        <f t="shared" si="15"/>
        <v>0.40594059405940597</v>
      </c>
      <c r="Z178" s="7" t="str">
        <f t="shared" si="16"/>
        <v>Low Sales</v>
      </c>
      <c r="AA178" s="7" t="str">
        <f t="shared" si="17"/>
        <v>High Margin</v>
      </c>
    </row>
    <row r="179" spans="1:27" x14ac:dyDescent="0.25">
      <c r="A179" t="s">
        <v>93</v>
      </c>
      <c r="B179">
        <v>47</v>
      </c>
      <c r="C179">
        <v>-10</v>
      </c>
      <c r="D179" s="1">
        <v>41359</v>
      </c>
      <c r="E179">
        <v>571</v>
      </c>
      <c r="F179">
        <v>52</v>
      </c>
      <c r="G179" t="s">
        <v>21</v>
      </c>
      <c r="H179" t="s">
        <v>31</v>
      </c>
      <c r="I179">
        <v>42</v>
      </c>
      <c r="J179" t="s">
        <v>40</v>
      </c>
      <c r="K179" t="s">
        <v>41</v>
      </c>
      <c r="L179" t="s">
        <v>53</v>
      </c>
      <c r="M179">
        <v>-20</v>
      </c>
      <c r="N179">
        <v>99</v>
      </c>
      <c r="O179" t="s">
        <v>62</v>
      </c>
      <c r="P179">
        <v>40</v>
      </c>
      <c r="Q179">
        <v>50</v>
      </c>
      <c r="R179">
        <v>-10</v>
      </c>
      <c r="S179">
        <v>90</v>
      </c>
      <c r="T179">
        <v>72</v>
      </c>
      <c r="U179" t="s">
        <v>35</v>
      </c>
      <c r="V179">
        <f t="shared" si="12"/>
        <v>-0.20202020202020202</v>
      </c>
      <c r="W179">
        <f t="shared" si="13"/>
        <v>-10</v>
      </c>
      <c r="X179">
        <f t="shared" si="14"/>
        <v>9</v>
      </c>
      <c r="Y179">
        <f t="shared" si="15"/>
        <v>0.47474747474747475</v>
      </c>
      <c r="Z179" s="7" t="str">
        <f t="shared" si="16"/>
        <v>Low Sales</v>
      </c>
      <c r="AA179" s="7" t="str">
        <f t="shared" si="17"/>
        <v>Low Margin</v>
      </c>
    </row>
    <row r="180" spans="1:27" x14ac:dyDescent="0.25">
      <c r="A180" t="s">
        <v>136</v>
      </c>
      <c r="B180">
        <v>43</v>
      </c>
      <c r="C180">
        <v>-1</v>
      </c>
      <c r="D180" s="1">
        <v>41360</v>
      </c>
      <c r="E180">
        <v>531</v>
      </c>
      <c r="F180">
        <v>56</v>
      </c>
      <c r="G180" t="s">
        <v>21</v>
      </c>
      <c r="H180" t="s">
        <v>22</v>
      </c>
      <c r="I180">
        <v>14</v>
      </c>
      <c r="J180" t="s">
        <v>23</v>
      </c>
      <c r="K180" t="s">
        <v>24</v>
      </c>
      <c r="L180" t="s">
        <v>25</v>
      </c>
      <c r="M180">
        <v>29</v>
      </c>
      <c r="N180">
        <v>99</v>
      </c>
      <c r="O180" t="s">
        <v>63</v>
      </c>
      <c r="P180">
        <v>40</v>
      </c>
      <c r="Q180">
        <v>50</v>
      </c>
      <c r="R180">
        <v>30</v>
      </c>
      <c r="S180">
        <v>90</v>
      </c>
      <c r="T180">
        <v>27</v>
      </c>
      <c r="U180" t="s">
        <v>27</v>
      </c>
      <c r="V180">
        <f t="shared" si="12"/>
        <v>0.29292929292929293</v>
      </c>
      <c r="W180">
        <f t="shared" si="13"/>
        <v>-1</v>
      </c>
      <c r="X180">
        <f t="shared" si="14"/>
        <v>9</v>
      </c>
      <c r="Y180">
        <f t="shared" si="15"/>
        <v>0.43434343434343436</v>
      </c>
      <c r="Z180" s="7" t="str">
        <f t="shared" si="16"/>
        <v>Low Sales</v>
      </c>
      <c r="AA180" s="7" t="str">
        <f t="shared" si="17"/>
        <v>High Margin</v>
      </c>
    </row>
    <row r="181" spans="1:27" x14ac:dyDescent="0.25">
      <c r="A181" t="s">
        <v>143</v>
      </c>
      <c r="B181">
        <v>43</v>
      </c>
      <c r="C181">
        <v>-1</v>
      </c>
      <c r="D181" s="1">
        <v>41361</v>
      </c>
      <c r="E181">
        <v>531</v>
      </c>
      <c r="F181">
        <v>56</v>
      </c>
      <c r="G181" t="s">
        <v>21</v>
      </c>
      <c r="H181" t="s">
        <v>36</v>
      </c>
      <c r="I181">
        <v>14</v>
      </c>
      <c r="J181" t="s">
        <v>23</v>
      </c>
      <c r="K181" t="s">
        <v>24</v>
      </c>
      <c r="L181" t="s">
        <v>28</v>
      </c>
      <c r="M181">
        <v>29</v>
      </c>
      <c r="N181">
        <v>99</v>
      </c>
      <c r="O181" t="s">
        <v>38</v>
      </c>
      <c r="P181">
        <v>40</v>
      </c>
      <c r="Q181">
        <v>50</v>
      </c>
      <c r="R181">
        <v>30</v>
      </c>
      <c r="S181">
        <v>90</v>
      </c>
      <c r="T181">
        <v>27</v>
      </c>
      <c r="U181" t="s">
        <v>27</v>
      </c>
      <c r="V181">
        <f t="shared" si="12"/>
        <v>0.29292929292929293</v>
      </c>
      <c r="W181">
        <f t="shared" si="13"/>
        <v>-1</v>
      </c>
      <c r="X181">
        <f t="shared" si="14"/>
        <v>9</v>
      </c>
      <c r="Y181">
        <f t="shared" si="15"/>
        <v>0.43434343434343436</v>
      </c>
      <c r="Z181" s="7" t="str">
        <f t="shared" si="16"/>
        <v>Low Sales</v>
      </c>
      <c r="AA181" s="7" t="str">
        <f t="shared" si="17"/>
        <v>High Margin</v>
      </c>
    </row>
    <row r="182" spans="1:27" x14ac:dyDescent="0.25">
      <c r="A182" t="s">
        <v>68</v>
      </c>
      <c r="B182">
        <v>46</v>
      </c>
      <c r="C182">
        <v>-4</v>
      </c>
      <c r="D182" s="1">
        <v>41362</v>
      </c>
      <c r="E182">
        <v>422</v>
      </c>
      <c r="F182">
        <v>57</v>
      </c>
      <c r="G182" t="s">
        <v>21</v>
      </c>
      <c r="H182" t="s">
        <v>22</v>
      </c>
      <c r="I182">
        <v>17</v>
      </c>
      <c r="J182" t="s">
        <v>23</v>
      </c>
      <c r="K182" t="s">
        <v>32</v>
      </c>
      <c r="L182" t="s">
        <v>33</v>
      </c>
      <c r="M182">
        <v>6</v>
      </c>
      <c r="N182">
        <v>103</v>
      </c>
      <c r="O182" t="s">
        <v>26</v>
      </c>
      <c r="P182">
        <v>30</v>
      </c>
      <c r="Q182">
        <v>50</v>
      </c>
      <c r="R182">
        <v>10</v>
      </c>
      <c r="S182">
        <v>80</v>
      </c>
      <c r="T182">
        <v>51</v>
      </c>
      <c r="U182" t="s">
        <v>35</v>
      </c>
      <c r="V182">
        <f t="shared" si="12"/>
        <v>5.8252427184466021E-2</v>
      </c>
      <c r="W182">
        <f t="shared" si="13"/>
        <v>-4</v>
      </c>
      <c r="X182">
        <f t="shared" si="14"/>
        <v>23</v>
      </c>
      <c r="Y182">
        <f t="shared" si="15"/>
        <v>0.44660194174757284</v>
      </c>
      <c r="Z182" s="7" t="str">
        <f t="shared" si="16"/>
        <v>Low Sales</v>
      </c>
      <c r="AA182" s="7" t="str">
        <f t="shared" si="17"/>
        <v>Low Margin</v>
      </c>
    </row>
    <row r="183" spans="1:27" x14ac:dyDescent="0.25">
      <c r="A183" t="s">
        <v>68</v>
      </c>
      <c r="B183">
        <v>53</v>
      </c>
      <c r="C183">
        <v>6</v>
      </c>
      <c r="D183" s="1">
        <v>41363</v>
      </c>
      <c r="E183">
        <v>1054</v>
      </c>
      <c r="F183">
        <v>63</v>
      </c>
      <c r="G183" t="s">
        <v>21</v>
      </c>
      <c r="H183" t="s">
        <v>22</v>
      </c>
      <c r="I183">
        <v>16</v>
      </c>
      <c r="J183" t="s">
        <v>23</v>
      </c>
      <c r="K183" t="s">
        <v>32</v>
      </c>
      <c r="L183" t="s">
        <v>61</v>
      </c>
      <c r="M183">
        <v>26</v>
      </c>
      <c r="N183">
        <v>116</v>
      </c>
      <c r="O183" t="s">
        <v>26</v>
      </c>
      <c r="P183">
        <v>40</v>
      </c>
      <c r="Q183">
        <v>50</v>
      </c>
      <c r="R183">
        <v>20</v>
      </c>
      <c r="S183">
        <v>90</v>
      </c>
      <c r="T183">
        <v>37</v>
      </c>
      <c r="U183" t="s">
        <v>35</v>
      </c>
      <c r="V183">
        <f t="shared" si="12"/>
        <v>0.22413793103448276</v>
      </c>
      <c r="W183">
        <f t="shared" si="13"/>
        <v>6</v>
      </c>
      <c r="X183">
        <f t="shared" si="14"/>
        <v>26</v>
      </c>
      <c r="Y183">
        <f t="shared" si="15"/>
        <v>0.45689655172413796</v>
      </c>
      <c r="Z183" s="7" t="str">
        <f t="shared" si="16"/>
        <v>Low Sales</v>
      </c>
      <c r="AA183" s="7" t="str">
        <f t="shared" si="17"/>
        <v>High Margin</v>
      </c>
    </row>
    <row r="184" spans="1:27" x14ac:dyDescent="0.25">
      <c r="A184" t="s">
        <v>138</v>
      </c>
      <c r="B184">
        <v>33</v>
      </c>
      <c r="C184">
        <v>-11</v>
      </c>
      <c r="D184" s="1">
        <v>41364</v>
      </c>
      <c r="E184">
        <v>870</v>
      </c>
      <c r="F184">
        <v>49</v>
      </c>
      <c r="G184" t="s">
        <v>21</v>
      </c>
      <c r="H184" t="s">
        <v>31</v>
      </c>
      <c r="I184">
        <v>9</v>
      </c>
      <c r="J184" t="s">
        <v>23</v>
      </c>
      <c r="K184" t="s">
        <v>32</v>
      </c>
      <c r="L184" t="s">
        <v>33</v>
      </c>
      <c r="M184">
        <v>29</v>
      </c>
      <c r="N184">
        <v>82</v>
      </c>
      <c r="O184" t="s">
        <v>62</v>
      </c>
      <c r="P184">
        <v>30</v>
      </c>
      <c r="Q184">
        <v>50</v>
      </c>
      <c r="R184">
        <v>40</v>
      </c>
      <c r="S184">
        <v>80</v>
      </c>
      <c r="T184">
        <v>20</v>
      </c>
      <c r="U184" t="s">
        <v>35</v>
      </c>
      <c r="V184">
        <f t="shared" si="12"/>
        <v>0.35365853658536583</v>
      </c>
      <c r="W184">
        <f t="shared" si="13"/>
        <v>-11</v>
      </c>
      <c r="X184">
        <f t="shared" si="14"/>
        <v>2</v>
      </c>
      <c r="Y184">
        <f t="shared" si="15"/>
        <v>0.40243902439024393</v>
      </c>
      <c r="Z184" s="7" t="str">
        <f t="shared" si="16"/>
        <v>Low Sales</v>
      </c>
      <c r="AA184" s="7" t="str">
        <f t="shared" si="17"/>
        <v>High Margin</v>
      </c>
    </row>
    <row r="185" spans="1:27" x14ac:dyDescent="0.25">
      <c r="A185" t="s">
        <v>144</v>
      </c>
      <c r="B185">
        <v>34</v>
      </c>
      <c r="C185">
        <v>-10</v>
      </c>
      <c r="D185" s="1">
        <v>41365</v>
      </c>
      <c r="E185">
        <v>863</v>
      </c>
      <c r="F185">
        <v>51</v>
      </c>
      <c r="G185" t="s">
        <v>21</v>
      </c>
      <c r="H185" t="s">
        <v>31</v>
      </c>
      <c r="I185">
        <v>9</v>
      </c>
      <c r="J185" t="s">
        <v>23</v>
      </c>
      <c r="K185" t="s">
        <v>32</v>
      </c>
      <c r="L185" t="s">
        <v>37</v>
      </c>
      <c r="M185">
        <v>30</v>
      </c>
      <c r="N185">
        <v>85</v>
      </c>
      <c r="O185" t="s">
        <v>34</v>
      </c>
      <c r="P185">
        <v>30</v>
      </c>
      <c r="Q185">
        <v>50</v>
      </c>
      <c r="R185">
        <v>40</v>
      </c>
      <c r="S185">
        <v>80</v>
      </c>
      <c r="T185">
        <v>21</v>
      </c>
      <c r="U185" t="s">
        <v>35</v>
      </c>
      <c r="V185">
        <f t="shared" si="12"/>
        <v>0.35294117647058826</v>
      </c>
      <c r="W185">
        <f t="shared" si="13"/>
        <v>-10</v>
      </c>
      <c r="X185">
        <f t="shared" si="14"/>
        <v>5</v>
      </c>
      <c r="Y185">
        <f t="shared" si="15"/>
        <v>0.4</v>
      </c>
      <c r="Z185" s="7" t="str">
        <f t="shared" si="16"/>
        <v>Low Sales</v>
      </c>
      <c r="AA185" s="7" t="str">
        <f t="shared" si="17"/>
        <v>High Margin</v>
      </c>
    </row>
    <row r="186" spans="1:27" x14ac:dyDescent="0.25">
      <c r="A186" t="s">
        <v>145</v>
      </c>
      <c r="B186">
        <v>0</v>
      </c>
      <c r="C186">
        <v>-8</v>
      </c>
      <c r="D186" s="1">
        <v>41366</v>
      </c>
      <c r="E186">
        <v>344</v>
      </c>
      <c r="F186">
        <v>43</v>
      </c>
      <c r="G186" t="s">
        <v>39</v>
      </c>
      <c r="H186" t="s">
        <v>22</v>
      </c>
      <c r="I186">
        <v>0</v>
      </c>
      <c r="J186" t="s">
        <v>40</v>
      </c>
      <c r="K186" t="s">
        <v>41</v>
      </c>
      <c r="L186" t="s">
        <v>42</v>
      </c>
      <c r="M186">
        <v>32</v>
      </c>
      <c r="N186">
        <v>43</v>
      </c>
      <c r="O186" t="s">
        <v>43</v>
      </c>
      <c r="P186">
        <v>0</v>
      </c>
      <c r="Q186">
        <v>50</v>
      </c>
      <c r="R186">
        <v>40</v>
      </c>
      <c r="S186">
        <v>50</v>
      </c>
      <c r="T186">
        <v>11</v>
      </c>
      <c r="U186" t="s">
        <v>27</v>
      </c>
      <c r="V186">
        <f t="shared" si="12"/>
        <v>0.7441860465116279</v>
      </c>
      <c r="W186">
        <f t="shared" si="13"/>
        <v>-8</v>
      </c>
      <c r="X186">
        <f t="shared" si="14"/>
        <v>-7</v>
      </c>
      <c r="Y186">
        <f t="shared" si="15"/>
        <v>0</v>
      </c>
      <c r="Z186" s="7" t="str">
        <f t="shared" si="16"/>
        <v>Low Sales</v>
      </c>
      <c r="AA186" s="7" t="str">
        <f t="shared" si="17"/>
        <v>High Margin</v>
      </c>
    </row>
    <row r="187" spans="1:27" x14ac:dyDescent="0.25">
      <c r="A187" t="s">
        <v>97</v>
      </c>
      <c r="B187">
        <v>43</v>
      </c>
      <c r="C187">
        <v>7</v>
      </c>
      <c r="D187" s="1">
        <v>41367</v>
      </c>
      <c r="E187">
        <v>466</v>
      </c>
      <c r="F187">
        <v>63</v>
      </c>
      <c r="G187" t="s">
        <v>39</v>
      </c>
      <c r="H187" t="s">
        <v>29</v>
      </c>
      <c r="I187">
        <v>13</v>
      </c>
      <c r="J187" t="s">
        <v>40</v>
      </c>
      <c r="K187" t="s">
        <v>41</v>
      </c>
      <c r="L187" t="s">
        <v>42</v>
      </c>
      <c r="M187">
        <v>27</v>
      </c>
      <c r="N187">
        <v>106</v>
      </c>
      <c r="O187" t="s">
        <v>55</v>
      </c>
      <c r="P187">
        <v>30</v>
      </c>
      <c r="Q187">
        <v>50</v>
      </c>
      <c r="R187">
        <v>20</v>
      </c>
      <c r="S187">
        <v>80</v>
      </c>
      <c r="T187">
        <v>36</v>
      </c>
      <c r="U187" t="s">
        <v>27</v>
      </c>
      <c r="V187">
        <f t="shared" si="12"/>
        <v>0.25471698113207547</v>
      </c>
      <c r="W187">
        <f t="shared" si="13"/>
        <v>7</v>
      </c>
      <c r="X187">
        <f t="shared" si="14"/>
        <v>26</v>
      </c>
      <c r="Y187">
        <f t="shared" si="15"/>
        <v>0.40566037735849059</v>
      </c>
      <c r="Z187" s="7" t="str">
        <f t="shared" si="16"/>
        <v>Low Sales</v>
      </c>
      <c r="AA187" s="7" t="str">
        <f t="shared" si="17"/>
        <v>High Margin</v>
      </c>
    </row>
    <row r="188" spans="1:27" x14ac:dyDescent="0.25">
      <c r="A188" t="s">
        <v>116</v>
      </c>
      <c r="B188">
        <v>31</v>
      </c>
      <c r="C188">
        <v>-22</v>
      </c>
      <c r="D188" s="1">
        <v>41368</v>
      </c>
      <c r="E188">
        <v>1009</v>
      </c>
      <c r="F188">
        <v>38</v>
      </c>
      <c r="G188" t="s">
        <v>39</v>
      </c>
      <c r="H188" t="s">
        <v>36</v>
      </c>
      <c r="I188">
        <v>9</v>
      </c>
      <c r="J188" t="s">
        <v>40</v>
      </c>
      <c r="K188" t="s">
        <v>45</v>
      </c>
      <c r="L188" t="s">
        <v>46</v>
      </c>
      <c r="M188">
        <v>8</v>
      </c>
      <c r="N188">
        <v>69</v>
      </c>
      <c r="O188" t="s">
        <v>48</v>
      </c>
      <c r="P188">
        <v>30</v>
      </c>
      <c r="Q188">
        <v>50</v>
      </c>
      <c r="R188">
        <v>30</v>
      </c>
      <c r="S188">
        <v>80</v>
      </c>
      <c r="T188">
        <v>30</v>
      </c>
      <c r="U188" t="s">
        <v>27</v>
      </c>
      <c r="V188">
        <f t="shared" si="12"/>
        <v>0.11594202898550725</v>
      </c>
      <c r="W188">
        <f t="shared" si="13"/>
        <v>-22</v>
      </c>
      <c r="X188">
        <f t="shared" si="14"/>
        <v>-11</v>
      </c>
      <c r="Y188">
        <f t="shared" si="15"/>
        <v>0.44927536231884058</v>
      </c>
      <c r="Z188" s="7" t="str">
        <f t="shared" si="16"/>
        <v>Low Sales</v>
      </c>
      <c r="AA188" s="7" t="str">
        <f t="shared" si="17"/>
        <v>Low Margin</v>
      </c>
    </row>
    <row r="189" spans="1:27" x14ac:dyDescent="0.25">
      <c r="A189" t="s">
        <v>142</v>
      </c>
      <c r="B189">
        <v>23</v>
      </c>
      <c r="C189">
        <v>-23</v>
      </c>
      <c r="D189" s="1">
        <v>41369</v>
      </c>
      <c r="E189">
        <v>807</v>
      </c>
      <c r="F189">
        <v>35</v>
      </c>
      <c r="G189" t="s">
        <v>39</v>
      </c>
      <c r="H189" t="s">
        <v>22</v>
      </c>
      <c r="I189">
        <v>6</v>
      </c>
      <c r="J189" t="s">
        <v>40</v>
      </c>
      <c r="K189" t="s">
        <v>41</v>
      </c>
      <c r="L189" t="s">
        <v>53</v>
      </c>
      <c r="M189">
        <v>17</v>
      </c>
      <c r="N189">
        <v>58</v>
      </c>
      <c r="O189" t="s">
        <v>43</v>
      </c>
      <c r="P189">
        <v>20</v>
      </c>
      <c r="Q189">
        <v>50</v>
      </c>
      <c r="R189">
        <v>40</v>
      </c>
      <c r="S189">
        <v>70</v>
      </c>
      <c r="T189">
        <v>18</v>
      </c>
      <c r="U189" t="s">
        <v>35</v>
      </c>
      <c r="V189">
        <f t="shared" si="12"/>
        <v>0.29310344827586204</v>
      </c>
      <c r="W189">
        <f t="shared" si="13"/>
        <v>-23</v>
      </c>
      <c r="X189">
        <f t="shared" si="14"/>
        <v>-12</v>
      </c>
      <c r="Y189">
        <f t="shared" si="15"/>
        <v>0.39655172413793105</v>
      </c>
      <c r="Z189" s="7" t="str">
        <f t="shared" si="16"/>
        <v>Low Sales</v>
      </c>
      <c r="AA189" s="7" t="str">
        <f t="shared" si="17"/>
        <v>High Margin</v>
      </c>
    </row>
    <row r="190" spans="1:27" x14ac:dyDescent="0.25">
      <c r="A190" t="s">
        <v>106</v>
      </c>
      <c r="B190">
        <v>41</v>
      </c>
      <c r="C190">
        <v>11</v>
      </c>
      <c r="D190" s="1">
        <v>41370</v>
      </c>
      <c r="E190">
        <v>320</v>
      </c>
      <c r="F190">
        <v>66</v>
      </c>
      <c r="G190" t="s">
        <v>39</v>
      </c>
      <c r="H190" t="s">
        <v>29</v>
      </c>
      <c r="I190">
        <v>12</v>
      </c>
      <c r="J190" t="s">
        <v>40</v>
      </c>
      <c r="K190" t="s">
        <v>41</v>
      </c>
      <c r="L190" t="s">
        <v>53</v>
      </c>
      <c r="M190">
        <v>31</v>
      </c>
      <c r="N190">
        <v>107</v>
      </c>
      <c r="O190" t="s">
        <v>55</v>
      </c>
      <c r="P190">
        <v>30</v>
      </c>
      <c r="Q190">
        <v>50</v>
      </c>
      <c r="R190">
        <v>20</v>
      </c>
      <c r="S190">
        <v>80</v>
      </c>
      <c r="T190">
        <v>35</v>
      </c>
      <c r="U190" t="s">
        <v>35</v>
      </c>
      <c r="V190">
        <f t="shared" si="12"/>
        <v>0.28971962616822428</v>
      </c>
      <c r="W190">
        <f t="shared" si="13"/>
        <v>11</v>
      </c>
      <c r="X190">
        <f t="shared" si="14"/>
        <v>27</v>
      </c>
      <c r="Y190">
        <f t="shared" si="15"/>
        <v>0.38317757009345793</v>
      </c>
      <c r="Z190" s="7" t="str">
        <f t="shared" si="16"/>
        <v>Low Sales</v>
      </c>
      <c r="AA190" s="7" t="str">
        <f t="shared" si="17"/>
        <v>High Margin</v>
      </c>
    </row>
    <row r="191" spans="1:27" x14ac:dyDescent="0.25">
      <c r="A191" t="s">
        <v>85</v>
      </c>
      <c r="B191">
        <v>46</v>
      </c>
      <c r="C191">
        <v>-4</v>
      </c>
      <c r="D191" s="1">
        <v>41371</v>
      </c>
      <c r="E191">
        <v>422</v>
      </c>
      <c r="F191">
        <v>57</v>
      </c>
      <c r="G191" t="s">
        <v>39</v>
      </c>
      <c r="H191" t="s">
        <v>36</v>
      </c>
      <c r="I191">
        <v>17</v>
      </c>
      <c r="J191" t="s">
        <v>40</v>
      </c>
      <c r="K191" t="s">
        <v>41</v>
      </c>
      <c r="L191" t="s">
        <v>54</v>
      </c>
      <c r="M191">
        <v>6</v>
      </c>
      <c r="N191">
        <v>103</v>
      </c>
      <c r="O191" t="s">
        <v>56</v>
      </c>
      <c r="P191">
        <v>40</v>
      </c>
      <c r="Q191">
        <v>50</v>
      </c>
      <c r="R191">
        <v>10</v>
      </c>
      <c r="S191">
        <v>90</v>
      </c>
      <c r="T191">
        <v>51</v>
      </c>
      <c r="U191" t="s">
        <v>35</v>
      </c>
      <c r="V191">
        <f t="shared" si="12"/>
        <v>5.8252427184466021E-2</v>
      </c>
      <c r="W191">
        <f t="shared" si="13"/>
        <v>-4</v>
      </c>
      <c r="X191">
        <f t="shared" si="14"/>
        <v>13</v>
      </c>
      <c r="Y191">
        <f t="shared" si="15"/>
        <v>0.44660194174757284</v>
      </c>
      <c r="Z191" s="7" t="str">
        <f t="shared" si="16"/>
        <v>Low Sales</v>
      </c>
      <c r="AA191" s="7" t="str">
        <f t="shared" si="17"/>
        <v>Low Margin</v>
      </c>
    </row>
    <row r="192" spans="1:27" x14ac:dyDescent="0.25">
      <c r="A192" t="s">
        <v>82</v>
      </c>
      <c r="B192">
        <v>43</v>
      </c>
      <c r="C192">
        <v>8</v>
      </c>
      <c r="D192" s="1">
        <v>41372</v>
      </c>
      <c r="E192">
        <v>466</v>
      </c>
      <c r="F192">
        <v>63</v>
      </c>
      <c r="G192" t="s">
        <v>39</v>
      </c>
      <c r="H192" t="s">
        <v>22</v>
      </c>
      <c r="I192">
        <v>13</v>
      </c>
      <c r="J192" t="s">
        <v>23</v>
      </c>
      <c r="K192" t="s">
        <v>32</v>
      </c>
      <c r="L192" t="s">
        <v>33</v>
      </c>
      <c r="M192">
        <v>28</v>
      </c>
      <c r="N192">
        <v>106</v>
      </c>
      <c r="O192" t="s">
        <v>59</v>
      </c>
      <c r="P192">
        <v>30</v>
      </c>
      <c r="Q192">
        <v>50</v>
      </c>
      <c r="R192">
        <v>20</v>
      </c>
      <c r="S192">
        <v>80</v>
      </c>
      <c r="T192">
        <v>35</v>
      </c>
      <c r="U192" t="s">
        <v>35</v>
      </c>
      <c r="V192">
        <f t="shared" si="12"/>
        <v>0.26415094339622641</v>
      </c>
      <c r="W192">
        <f t="shared" si="13"/>
        <v>8</v>
      </c>
      <c r="X192">
        <f t="shared" si="14"/>
        <v>26</v>
      </c>
      <c r="Y192">
        <f t="shared" si="15"/>
        <v>0.40566037735849059</v>
      </c>
      <c r="Z192" s="7" t="str">
        <f t="shared" si="16"/>
        <v>Low Sales</v>
      </c>
      <c r="AA192" s="7" t="str">
        <f t="shared" si="17"/>
        <v>High Margin</v>
      </c>
    </row>
    <row r="193" spans="1:27" x14ac:dyDescent="0.25">
      <c r="A193" t="s">
        <v>135</v>
      </c>
      <c r="B193">
        <v>33</v>
      </c>
      <c r="C193">
        <v>-12</v>
      </c>
      <c r="D193" s="1">
        <v>41373</v>
      </c>
      <c r="E193">
        <v>818</v>
      </c>
      <c r="F193">
        <v>49</v>
      </c>
      <c r="G193" t="s">
        <v>39</v>
      </c>
      <c r="H193" t="s">
        <v>31</v>
      </c>
      <c r="I193">
        <v>9</v>
      </c>
      <c r="J193" t="s">
        <v>23</v>
      </c>
      <c r="K193" t="s">
        <v>32</v>
      </c>
      <c r="L193" t="s">
        <v>37</v>
      </c>
      <c r="M193">
        <v>28</v>
      </c>
      <c r="N193">
        <v>82</v>
      </c>
      <c r="O193" t="s">
        <v>44</v>
      </c>
      <c r="P193">
        <v>30</v>
      </c>
      <c r="Q193">
        <v>50</v>
      </c>
      <c r="R193">
        <v>40</v>
      </c>
      <c r="S193">
        <v>80</v>
      </c>
      <c r="T193">
        <v>21</v>
      </c>
      <c r="U193" t="s">
        <v>35</v>
      </c>
      <c r="V193">
        <f t="shared" si="12"/>
        <v>0.34146341463414637</v>
      </c>
      <c r="W193">
        <f t="shared" si="13"/>
        <v>-12</v>
      </c>
      <c r="X193">
        <f t="shared" si="14"/>
        <v>2</v>
      </c>
      <c r="Y193">
        <f t="shared" si="15"/>
        <v>0.40243902439024393</v>
      </c>
      <c r="Z193" s="7" t="str">
        <f t="shared" si="16"/>
        <v>Low Sales</v>
      </c>
      <c r="AA193" s="7" t="str">
        <f t="shared" si="17"/>
        <v>High Margin</v>
      </c>
    </row>
    <row r="194" spans="1:27" x14ac:dyDescent="0.25">
      <c r="A194" t="s">
        <v>77</v>
      </c>
      <c r="B194">
        <v>49</v>
      </c>
      <c r="C194">
        <v>-4</v>
      </c>
      <c r="D194" s="1">
        <v>41374</v>
      </c>
      <c r="E194">
        <v>335</v>
      </c>
      <c r="F194">
        <v>69</v>
      </c>
      <c r="G194" t="s">
        <v>39</v>
      </c>
      <c r="H194" t="s">
        <v>36</v>
      </c>
      <c r="I194">
        <v>44</v>
      </c>
      <c r="J194" t="s">
        <v>23</v>
      </c>
      <c r="K194" t="s">
        <v>32</v>
      </c>
      <c r="L194" t="s">
        <v>33</v>
      </c>
      <c r="M194">
        <v>-4</v>
      </c>
      <c r="N194">
        <v>118</v>
      </c>
      <c r="O194" t="s">
        <v>49</v>
      </c>
      <c r="P194">
        <v>30</v>
      </c>
      <c r="Q194">
        <v>50</v>
      </c>
      <c r="R194">
        <v>0</v>
      </c>
      <c r="S194">
        <v>80</v>
      </c>
      <c r="T194">
        <v>73</v>
      </c>
      <c r="U194" t="s">
        <v>35</v>
      </c>
      <c r="V194">
        <f t="shared" ref="V194:V257" si="18">M194/N194</f>
        <v>-3.3898305084745763E-2</v>
      </c>
      <c r="W194">
        <f t="shared" ref="W194:W257" si="19">M194-R194</f>
        <v>-4</v>
      </c>
      <c r="X194">
        <f t="shared" ref="X194:X257" si="20">N194-S194</f>
        <v>38</v>
      </c>
      <c r="Y194">
        <f t="shared" ref="Y194:Y257" si="21">B194/N194</f>
        <v>0.4152542372881356</v>
      </c>
      <c r="Z194" s="7" t="str">
        <f t="shared" ref="Z194:Z257" si="22">IF(N194&gt;=AVERAGE(N194:N1255),"High Sales","Low Sales")</f>
        <v>Low Sales</v>
      </c>
      <c r="AA194" s="7" t="str">
        <f t="shared" ref="AA194:AA257" si="23">IF(V194&gt;=AVERAGE(V194:V1255), "High Margin", "Low Margin")</f>
        <v>Low Margin</v>
      </c>
    </row>
    <row r="195" spans="1:27" x14ac:dyDescent="0.25">
      <c r="A195" t="s">
        <v>146</v>
      </c>
      <c r="B195">
        <v>55</v>
      </c>
      <c r="C195">
        <v>7</v>
      </c>
      <c r="D195" s="1">
        <v>41375</v>
      </c>
      <c r="E195">
        <v>627</v>
      </c>
      <c r="F195">
        <v>76</v>
      </c>
      <c r="G195" t="s">
        <v>39</v>
      </c>
      <c r="H195" t="s">
        <v>36</v>
      </c>
      <c r="I195">
        <v>49</v>
      </c>
      <c r="J195" t="s">
        <v>23</v>
      </c>
      <c r="K195" t="s">
        <v>32</v>
      </c>
      <c r="L195" t="s">
        <v>37</v>
      </c>
      <c r="M195">
        <v>-3</v>
      </c>
      <c r="N195">
        <v>131</v>
      </c>
      <c r="O195" t="s">
        <v>60</v>
      </c>
      <c r="P195">
        <v>40</v>
      </c>
      <c r="Q195">
        <v>50</v>
      </c>
      <c r="R195">
        <v>-10</v>
      </c>
      <c r="S195">
        <v>90</v>
      </c>
      <c r="T195">
        <v>79</v>
      </c>
      <c r="U195" t="s">
        <v>35</v>
      </c>
      <c r="V195">
        <f t="shared" si="18"/>
        <v>-2.2900763358778626E-2</v>
      </c>
      <c r="W195">
        <f t="shared" si="19"/>
        <v>7</v>
      </c>
      <c r="X195">
        <f t="shared" si="20"/>
        <v>41</v>
      </c>
      <c r="Y195">
        <f t="shared" si="21"/>
        <v>0.41984732824427479</v>
      </c>
      <c r="Z195" s="7" t="str">
        <f t="shared" si="22"/>
        <v>Low Sales</v>
      </c>
      <c r="AA195" s="7" t="str">
        <f t="shared" si="23"/>
        <v>Low Margin</v>
      </c>
    </row>
    <row r="196" spans="1:27" x14ac:dyDescent="0.25">
      <c r="A196" t="s">
        <v>68</v>
      </c>
      <c r="B196">
        <v>39</v>
      </c>
      <c r="C196">
        <v>-10</v>
      </c>
      <c r="D196" s="1">
        <v>41376</v>
      </c>
      <c r="E196">
        <v>541</v>
      </c>
      <c r="F196">
        <v>51</v>
      </c>
      <c r="G196" t="s">
        <v>21</v>
      </c>
      <c r="H196" t="s">
        <v>22</v>
      </c>
      <c r="I196">
        <v>12</v>
      </c>
      <c r="J196" t="s">
        <v>40</v>
      </c>
      <c r="K196" t="s">
        <v>45</v>
      </c>
      <c r="L196" t="s">
        <v>52</v>
      </c>
      <c r="M196">
        <v>40</v>
      </c>
      <c r="N196">
        <v>96</v>
      </c>
      <c r="O196" t="s">
        <v>26</v>
      </c>
      <c r="P196">
        <v>30</v>
      </c>
      <c r="Q196">
        <v>50</v>
      </c>
      <c r="R196">
        <v>50</v>
      </c>
      <c r="S196">
        <v>80</v>
      </c>
      <c r="T196">
        <v>24</v>
      </c>
      <c r="U196" t="s">
        <v>35</v>
      </c>
      <c r="V196">
        <f t="shared" si="18"/>
        <v>0.41666666666666669</v>
      </c>
      <c r="W196">
        <f t="shared" si="19"/>
        <v>-10</v>
      </c>
      <c r="X196">
        <f t="shared" si="20"/>
        <v>16</v>
      </c>
      <c r="Y196">
        <f t="shared" si="21"/>
        <v>0.40625</v>
      </c>
      <c r="Z196" s="7" t="str">
        <f t="shared" si="22"/>
        <v>Low Sales</v>
      </c>
      <c r="AA196" s="7" t="str">
        <f t="shared" si="23"/>
        <v>High Margin</v>
      </c>
    </row>
    <row r="197" spans="1:27" x14ac:dyDescent="0.25">
      <c r="A197" t="s">
        <v>147</v>
      </c>
      <c r="B197">
        <v>80</v>
      </c>
      <c r="C197">
        <v>31</v>
      </c>
      <c r="D197" s="1">
        <v>41377</v>
      </c>
      <c r="E197">
        <v>1055</v>
      </c>
      <c r="F197">
        <v>94</v>
      </c>
      <c r="G197" t="s">
        <v>21</v>
      </c>
      <c r="H197" t="s">
        <v>31</v>
      </c>
      <c r="I197">
        <v>24</v>
      </c>
      <c r="J197" t="s">
        <v>23</v>
      </c>
      <c r="K197" t="s">
        <v>24</v>
      </c>
      <c r="L197" t="s">
        <v>28</v>
      </c>
      <c r="M197">
        <v>71</v>
      </c>
      <c r="N197">
        <v>185</v>
      </c>
      <c r="O197" t="s">
        <v>34</v>
      </c>
      <c r="P197">
        <v>40</v>
      </c>
      <c r="Q197">
        <v>50</v>
      </c>
      <c r="R197">
        <v>40</v>
      </c>
      <c r="S197">
        <v>90</v>
      </c>
      <c r="T197">
        <v>46</v>
      </c>
      <c r="U197" t="s">
        <v>27</v>
      </c>
      <c r="V197">
        <f t="shared" si="18"/>
        <v>0.38378378378378381</v>
      </c>
      <c r="W197">
        <f t="shared" si="19"/>
        <v>31</v>
      </c>
      <c r="X197">
        <f t="shared" si="20"/>
        <v>95</v>
      </c>
      <c r="Y197">
        <f t="shared" si="21"/>
        <v>0.43243243243243246</v>
      </c>
      <c r="Z197" s="7" t="str">
        <f t="shared" si="22"/>
        <v>Low Sales</v>
      </c>
      <c r="AA197" s="7" t="str">
        <f t="shared" si="23"/>
        <v>High Margin</v>
      </c>
    </row>
    <row r="198" spans="1:27" x14ac:dyDescent="0.25">
      <c r="A198" t="s">
        <v>111</v>
      </c>
      <c r="B198">
        <v>54</v>
      </c>
      <c r="C198">
        <v>-11</v>
      </c>
      <c r="D198" s="1">
        <v>41378</v>
      </c>
      <c r="E198">
        <v>404</v>
      </c>
      <c r="F198">
        <v>66</v>
      </c>
      <c r="G198" t="s">
        <v>21</v>
      </c>
      <c r="H198" t="s">
        <v>22</v>
      </c>
      <c r="I198">
        <v>20</v>
      </c>
      <c r="J198" t="s">
        <v>23</v>
      </c>
      <c r="K198" t="s">
        <v>32</v>
      </c>
      <c r="L198" t="s">
        <v>33</v>
      </c>
      <c r="M198">
        <v>19</v>
      </c>
      <c r="N198">
        <v>128</v>
      </c>
      <c r="O198" t="s">
        <v>26</v>
      </c>
      <c r="P198">
        <v>30</v>
      </c>
      <c r="Q198">
        <v>50</v>
      </c>
      <c r="R198">
        <v>30</v>
      </c>
      <c r="S198">
        <v>80</v>
      </c>
      <c r="T198">
        <v>53</v>
      </c>
      <c r="U198" t="s">
        <v>35</v>
      </c>
      <c r="V198">
        <f t="shared" si="18"/>
        <v>0.1484375</v>
      </c>
      <c r="W198">
        <f t="shared" si="19"/>
        <v>-11</v>
      </c>
      <c r="X198">
        <f t="shared" si="20"/>
        <v>48</v>
      </c>
      <c r="Y198">
        <f t="shared" si="21"/>
        <v>0.421875</v>
      </c>
      <c r="Z198" s="7" t="str">
        <f t="shared" si="22"/>
        <v>Low Sales</v>
      </c>
      <c r="AA198" s="7" t="str">
        <f t="shared" si="23"/>
        <v>High Margin</v>
      </c>
    </row>
    <row r="199" spans="1:27" x14ac:dyDescent="0.25">
      <c r="A199" t="s">
        <v>69</v>
      </c>
      <c r="B199">
        <v>54</v>
      </c>
      <c r="C199">
        <v>0</v>
      </c>
      <c r="D199" s="1">
        <v>41379</v>
      </c>
      <c r="E199">
        <v>1037</v>
      </c>
      <c r="F199">
        <v>64</v>
      </c>
      <c r="G199" t="s">
        <v>21</v>
      </c>
      <c r="H199" t="s">
        <v>22</v>
      </c>
      <c r="I199">
        <v>16</v>
      </c>
      <c r="J199" t="s">
        <v>23</v>
      </c>
      <c r="K199" t="s">
        <v>32</v>
      </c>
      <c r="L199" t="s">
        <v>61</v>
      </c>
      <c r="M199">
        <v>40</v>
      </c>
      <c r="N199">
        <v>126</v>
      </c>
      <c r="O199" t="s">
        <v>26</v>
      </c>
      <c r="P199">
        <v>30</v>
      </c>
      <c r="Q199">
        <v>50</v>
      </c>
      <c r="R199">
        <v>40</v>
      </c>
      <c r="S199">
        <v>80</v>
      </c>
      <c r="T199">
        <v>37</v>
      </c>
      <c r="U199" t="s">
        <v>35</v>
      </c>
      <c r="V199">
        <f t="shared" si="18"/>
        <v>0.31746031746031744</v>
      </c>
      <c r="W199">
        <f t="shared" si="19"/>
        <v>0</v>
      </c>
      <c r="X199">
        <f t="shared" si="20"/>
        <v>46</v>
      </c>
      <c r="Y199">
        <f t="shared" si="21"/>
        <v>0.42857142857142855</v>
      </c>
      <c r="Z199" s="7" t="str">
        <f t="shared" si="22"/>
        <v>Low Sales</v>
      </c>
      <c r="AA199" s="7" t="str">
        <f t="shared" si="23"/>
        <v>High Margin</v>
      </c>
    </row>
    <row r="200" spans="1:27" x14ac:dyDescent="0.25">
      <c r="A200" t="s">
        <v>148</v>
      </c>
      <c r="B200">
        <v>27</v>
      </c>
      <c r="C200">
        <v>-20</v>
      </c>
      <c r="D200" s="1">
        <v>41380</v>
      </c>
      <c r="E200">
        <v>859</v>
      </c>
      <c r="F200">
        <v>39</v>
      </c>
      <c r="G200" t="s">
        <v>21</v>
      </c>
      <c r="H200" t="s">
        <v>31</v>
      </c>
      <c r="I200">
        <v>7</v>
      </c>
      <c r="J200" t="s">
        <v>23</v>
      </c>
      <c r="K200" t="s">
        <v>32</v>
      </c>
      <c r="L200" t="s">
        <v>33</v>
      </c>
      <c r="M200">
        <v>30</v>
      </c>
      <c r="N200">
        <v>70</v>
      </c>
      <c r="O200" t="s">
        <v>62</v>
      </c>
      <c r="P200">
        <v>20</v>
      </c>
      <c r="Q200">
        <v>50</v>
      </c>
      <c r="R200">
        <v>50</v>
      </c>
      <c r="S200">
        <v>70</v>
      </c>
      <c r="T200">
        <v>19</v>
      </c>
      <c r="U200" t="s">
        <v>35</v>
      </c>
      <c r="V200">
        <f t="shared" si="18"/>
        <v>0.42857142857142855</v>
      </c>
      <c r="W200">
        <f t="shared" si="19"/>
        <v>-20</v>
      </c>
      <c r="X200">
        <f t="shared" si="20"/>
        <v>0</v>
      </c>
      <c r="Y200">
        <f t="shared" si="21"/>
        <v>0.38571428571428573</v>
      </c>
      <c r="Z200" s="7" t="str">
        <f t="shared" si="22"/>
        <v>Low Sales</v>
      </c>
      <c r="AA200" s="7" t="str">
        <f t="shared" si="23"/>
        <v>High Margin</v>
      </c>
    </row>
    <row r="201" spans="1:27" x14ac:dyDescent="0.25">
      <c r="A201" t="s">
        <v>149</v>
      </c>
      <c r="B201">
        <v>76</v>
      </c>
      <c r="C201">
        <v>67</v>
      </c>
      <c r="D201" s="1">
        <v>41381</v>
      </c>
      <c r="E201">
        <v>580</v>
      </c>
      <c r="F201">
        <v>111</v>
      </c>
      <c r="G201" t="s">
        <v>21</v>
      </c>
      <c r="H201" t="s">
        <v>36</v>
      </c>
      <c r="I201">
        <v>21</v>
      </c>
      <c r="J201" t="s">
        <v>23</v>
      </c>
      <c r="K201" t="s">
        <v>32</v>
      </c>
      <c r="L201" t="s">
        <v>61</v>
      </c>
      <c r="M201">
        <v>117</v>
      </c>
      <c r="N201">
        <v>199</v>
      </c>
      <c r="O201" t="s">
        <v>38</v>
      </c>
      <c r="P201">
        <v>30</v>
      </c>
      <c r="Q201">
        <v>50</v>
      </c>
      <c r="R201">
        <v>50</v>
      </c>
      <c r="S201">
        <v>80</v>
      </c>
      <c r="T201">
        <v>32</v>
      </c>
      <c r="U201" t="s">
        <v>35</v>
      </c>
      <c r="V201">
        <f t="shared" si="18"/>
        <v>0.5879396984924623</v>
      </c>
      <c r="W201">
        <f t="shared" si="19"/>
        <v>67</v>
      </c>
      <c r="X201">
        <f t="shared" si="20"/>
        <v>119</v>
      </c>
      <c r="Y201">
        <f t="shared" si="21"/>
        <v>0.38190954773869346</v>
      </c>
      <c r="Z201" s="7" t="str">
        <f t="shared" si="22"/>
        <v>Low Sales</v>
      </c>
      <c r="AA201" s="7" t="str">
        <f t="shared" si="23"/>
        <v>High Margin</v>
      </c>
    </row>
    <row r="202" spans="1:27" x14ac:dyDescent="0.25">
      <c r="A202" t="s">
        <v>82</v>
      </c>
      <c r="B202">
        <v>22</v>
      </c>
      <c r="C202">
        <v>-35</v>
      </c>
      <c r="D202" s="1">
        <v>41382</v>
      </c>
      <c r="E202">
        <v>573</v>
      </c>
      <c r="F202">
        <v>29</v>
      </c>
      <c r="G202" t="s">
        <v>39</v>
      </c>
      <c r="H202" t="s">
        <v>22</v>
      </c>
      <c r="I202">
        <v>7</v>
      </c>
      <c r="J202" t="s">
        <v>40</v>
      </c>
      <c r="K202" t="s">
        <v>41</v>
      </c>
      <c r="L202" t="s">
        <v>42</v>
      </c>
      <c r="M202">
        <v>15</v>
      </c>
      <c r="N202">
        <v>54</v>
      </c>
      <c r="O202" t="s">
        <v>59</v>
      </c>
      <c r="P202">
        <v>20</v>
      </c>
      <c r="Q202">
        <v>50</v>
      </c>
      <c r="R202">
        <v>50</v>
      </c>
      <c r="S202">
        <v>70</v>
      </c>
      <c r="T202">
        <v>19</v>
      </c>
      <c r="U202" t="s">
        <v>27</v>
      </c>
      <c r="V202">
        <f t="shared" si="18"/>
        <v>0.27777777777777779</v>
      </c>
      <c r="W202">
        <f t="shared" si="19"/>
        <v>-35</v>
      </c>
      <c r="X202">
        <f t="shared" si="20"/>
        <v>-16</v>
      </c>
      <c r="Y202">
        <f t="shared" si="21"/>
        <v>0.40740740740740738</v>
      </c>
      <c r="Z202" s="7" t="str">
        <f t="shared" si="22"/>
        <v>Low Sales</v>
      </c>
      <c r="AA202" s="7" t="str">
        <f t="shared" si="23"/>
        <v>High Margin</v>
      </c>
    </row>
    <row r="203" spans="1:27" x14ac:dyDescent="0.25">
      <c r="A203" t="s">
        <v>145</v>
      </c>
      <c r="B203">
        <v>23</v>
      </c>
      <c r="C203">
        <v>-23</v>
      </c>
      <c r="D203" s="1">
        <v>41383</v>
      </c>
      <c r="E203">
        <v>800</v>
      </c>
      <c r="F203">
        <v>35</v>
      </c>
      <c r="G203" t="s">
        <v>39</v>
      </c>
      <c r="H203" t="s">
        <v>22</v>
      </c>
      <c r="I203">
        <v>6</v>
      </c>
      <c r="J203" t="s">
        <v>40</v>
      </c>
      <c r="K203" t="s">
        <v>41</v>
      </c>
      <c r="L203" t="s">
        <v>53</v>
      </c>
      <c r="M203">
        <v>27</v>
      </c>
      <c r="N203">
        <v>62</v>
      </c>
      <c r="O203" t="s">
        <v>43</v>
      </c>
      <c r="P203">
        <v>20</v>
      </c>
      <c r="Q203">
        <v>50</v>
      </c>
      <c r="R203">
        <v>50</v>
      </c>
      <c r="S203">
        <v>70</v>
      </c>
      <c r="T203">
        <v>17</v>
      </c>
      <c r="U203" t="s">
        <v>35</v>
      </c>
      <c r="V203">
        <f t="shared" si="18"/>
        <v>0.43548387096774194</v>
      </c>
      <c r="W203">
        <f t="shared" si="19"/>
        <v>-23</v>
      </c>
      <c r="X203">
        <f t="shared" si="20"/>
        <v>-8</v>
      </c>
      <c r="Y203">
        <f t="shared" si="21"/>
        <v>0.37096774193548387</v>
      </c>
      <c r="Z203" s="7" t="str">
        <f t="shared" si="22"/>
        <v>Low Sales</v>
      </c>
      <c r="AA203" s="7" t="str">
        <f t="shared" si="23"/>
        <v>High Margin</v>
      </c>
    </row>
    <row r="204" spans="1:27" x14ac:dyDescent="0.25">
      <c r="A204" t="s">
        <v>99</v>
      </c>
      <c r="B204">
        <v>79</v>
      </c>
      <c r="C204">
        <v>20</v>
      </c>
      <c r="D204" s="1">
        <v>41384</v>
      </c>
      <c r="E204">
        <v>593</v>
      </c>
      <c r="F204">
        <v>98</v>
      </c>
      <c r="G204" t="s">
        <v>39</v>
      </c>
      <c r="H204" t="s">
        <v>31</v>
      </c>
      <c r="I204">
        <v>30</v>
      </c>
      <c r="J204" t="s">
        <v>23</v>
      </c>
      <c r="K204" t="s">
        <v>24</v>
      </c>
      <c r="L204" t="s">
        <v>25</v>
      </c>
      <c r="M204">
        <v>50</v>
      </c>
      <c r="N204">
        <v>189</v>
      </c>
      <c r="O204" t="s">
        <v>44</v>
      </c>
      <c r="P204">
        <v>40</v>
      </c>
      <c r="Q204">
        <v>50</v>
      </c>
      <c r="R204">
        <v>30</v>
      </c>
      <c r="S204">
        <v>90</v>
      </c>
      <c r="T204">
        <v>64</v>
      </c>
      <c r="U204" t="s">
        <v>27</v>
      </c>
      <c r="V204">
        <f t="shared" si="18"/>
        <v>0.26455026455026454</v>
      </c>
      <c r="W204">
        <f t="shared" si="19"/>
        <v>20</v>
      </c>
      <c r="X204">
        <f t="shared" si="20"/>
        <v>99</v>
      </c>
      <c r="Y204">
        <f t="shared" si="21"/>
        <v>0.41798941798941797</v>
      </c>
      <c r="Z204" s="7" t="str">
        <f t="shared" si="22"/>
        <v>Low Sales</v>
      </c>
      <c r="AA204" s="7" t="str">
        <f t="shared" si="23"/>
        <v>High Margin</v>
      </c>
    </row>
    <row r="205" spans="1:27" x14ac:dyDescent="0.25">
      <c r="A205" t="s">
        <v>99</v>
      </c>
      <c r="B205">
        <v>65</v>
      </c>
      <c r="C205">
        <v>2</v>
      </c>
      <c r="D205" s="1">
        <v>41385</v>
      </c>
      <c r="E205">
        <v>1053</v>
      </c>
      <c r="F205">
        <v>77</v>
      </c>
      <c r="G205" t="s">
        <v>39</v>
      </c>
      <c r="H205" t="s">
        <v>31</v>
      </c>
      <c r="I205">
        <v>20</v>
      </c>
      <c r="J205" t="s">
        <v>23</v>
      </c>
      <c r="K205" t="s">
        <v>24</v>
      </c>
      <c r="L205" t="s">
        <v>28</v>
      </c>
      <c r="M205">
        <v>52</v>
      </c>
      <c r="N205">
        <v>151</v>
      </c>
      <c r="O205" t="s">
        <v>44</v>
      </c>
      <c r="P205">
        <v>30</v>
      </c>
      <c r="Q205">
        <v>50</v>
      </c>
      <c r="R205">
        <v>50</v>
      </c>
      <c r="S205">
        <v>80</v>
      </c>
      <c r="T205">
        <v>42</v>
      </c>
      <c r="U205" t="s">
        <v>27</v>
      </c>
      <c r="V205">
        <f t="shared" si="18"/>
        <v>0.3443708609271523</v>
      </c>
      <c r="W205">
        <f t="shared" si="19"/>
        <v>2</v>
      </c>
      <c r="X205">
        <f t="shared" si="20"/>
        <v>71</v>
      </c>
      <c r="Y205">
        <f t="shared" si="21"/>
        <v>0.43046357615894038</v>
      </c>
      <c r="Z205" s="7" t="str">
        <f t="shared" si="22"/>
        <v>Low Sales</v>
      </c>
      <c r="AA205" s="7" t="str">
        <f t="shared" si="23"/>
        <v>High Margin</v>
      </c>
    </row>
    <row r="206" spans="1:27" x14ac:dyDescent="0.25">
      <c r="A206" t="s">
        <v>82</v>
      </c>
      <c r="B206">
        <v>46</v>
      </c>
      <c r="C206">
        <v>5</v>
      </c>
      <c r="D206" s="1">
        <v>41386</v>
      </c>
      <c r="E206">
        <v>449</v>
      </c>
      <c r="F206">
        <v>67</v>
      </c>
      <c r="G206" t="s">
        <v>39</v>
      </c>
      <c r="H206" t="s">
        <v>22</v>
      </c>
      <c r="I206">
        <v>14</v>
      </c>
      <c r="J206" t="s">
        <v>23</v>
      </c>
      <c r="K206" t="s">
        <v>32</v>
      </c>
      <c r="L206" t="s">
        <v>33</v>
      </c>
      <c r="M206">
        <v>45</v>
      </c>
      <c r="N206">
        <v>120</v>
      </c>
      <c r="O206" t="s">
        <v>59</v>
      </c>
      <c r="P206">
        <v>20</v>
      </c>
      <c r="Q206">
        <v>50</v>
      </c>
      <c r="R206">
        <v>40</v>
      </c>
      <c r="S206">
        <v>70</v>
      </c>
      <c r="T206">
        <v>37</v>
      </c>
      <c r="U206" t="s">
        <v>35</v>
      </c>
      <c r="V206">
        <f t="shared" si="18"/>
        <v>0.375</v>
      </c>
      <c r="W206">
        <f t="shared" si="19"/>
        <v>5</v>
      </c>
      <c r="X206">
        <f t="shared" si="20"/>
        <v>50</v>
      </c>
      <c r="Y206">
        <f t="shared" si="21"/>
        <v>0.38333333333333336</v>
      </c>
      <c r="Z206" s="7" t="str">
        <f t="shared" si="22"/>
        <v>Low Sales</v>
      </c>
      <c r="AA206" s="7" t="str">
        <f t="shared" si="23"/>
        <v>High Margin</v>
      </c>
    </row>
    <row r="207" spans="1:27" x14ac:dyDescent="0.25">
      <c r="A207" t="s">
        <v>82</v>
      </c>
      <c r="B207">
        <v>60</v>
      </c>
      <c r="C207">
        <v>0</v>
      </c>
      <c r="D207" s="1">
        <v>41387</v>
      </c>
      <c r="E207">
        <v>606</v>
      </c>
      <c r="F207">
        <v>84</v>
      </c>
      <c r="G207" t="s">
        <v>39</v>
      </c>
      <c r="H207" t="s">
        <v>22</v>
      </c>
      <c r="I207">
        <v>54</v>
      </c>
      <c r="J207" t="s">
        <v>23</v>
      </c>
      <c r="K207" t="s">
        <v>32</v>
      </c>
      <c r="L207" t="s">
        <v>61</v>
      </c>
      <c r="M207">
        <v>0</v>
      </c>
      <c r="N207">
        <v>153</v>
      </c>
      <c r="O207" t="s">
        <v>59</v>
      </c>
      <c r="P207">
        <v>40</v>
      </c>
      <c r="Q207">
        <v>50</v>
      </c>
      <c r="R207">
        <v>0</v>
      </c>
      <c r="S207">
        <v>90</v>
      </c>
      <c r="T207">
        <v>84</v>
      </c>
      <c r="U207" t="s">
        <v>35</v>
      </c>
      <c r="V207">
        <f t="shared" si="18"/>
        <v>0</v>
      </c>
      <c r="W207">
        <f t="shared" si="19"/>
        <v>0</v>
      </c>
      <c r="X207">
        <f t="shared" si="20"/>
        <v>63</v>
      </c>
      <c r="Y207">
        <f t="shared" si="21"/>
        <v>0.39215686274509803</v>
      </c>
      <c r="Z207" s="7" t="str">
        <f t="shared" si="22"/>
        <v>Low Sales</v>
      </c>
      <c r="AA207" s="7" t="str">
        <f t="shared" si="23"/>
        <v>Low Margin</v>
      </c>
    </row>
    <row r="208" spans="1:27" x14ac:dyDescent="0.25">
      <c r="A208" t="s">
        <v>84</v>
      </c>
      <c r="B208">
        <v>60</v>
      </c>
      <c r="C208">
        <v>45</v>
      </c>
      <c r="D208" s="1">
        <v>41388</v>
      </c>
      <c r="E208">
        <v>329</v>
      </c>
      <c r="F208">
        <v>99</v>
      </c>
      <c r="G208" t="s">
        <v>39</v>
      </c>
      <c r="H208" t="s">
        <v>36</v>
      </c>
      <c r="I208">
        <v>18</v>
      </c>
      <c r="J208" t="s">
        <v>23</v>
      </c>
      <c r="K208" t="s">
        <v>32</v>
      </c>
      <c r="L208" t="s">
        <v>33</v>
      </c>
      <c r="M208">
        <v>85</v>
      </c>
      <c r="N208">
        <v>169</v>
      </c>
      <c r="O208" t="s">
        <v>60</v>
      </c>
      <c r="P208">
        <v>20</v>
      </c>
      <c r="Q208">
        <v>50</v>
      </c>
      <c r="R208">
        <v>40</v>
      </c>
      <c r="S208">
        <v>70</v>
      </c>
      <c r="T208">
        <v>42</v>
      </c>
      <c r="U208" t="s">
        <v>35</v>
      </c>
      <c r="V208">
        <f t="shared" si="18"/>
        <v>0.50295857988165682</v>
      </c>
      <c r="W208">
        <f t="shared" si="19"/>
        <v>45</v>
      </c>
      <c r="X208">
        <f t="shared" si="20"/>
        <v>99</v>
      </c>
      <c r="Y208">
        <f t="shared" si="21"/>
        <v>0.35502958579881655</v>
      </c>
      <c r="Z208" s="7" t="str">
        <f t="shared" si="22"/>
        <v>Low Sales</v>
      </c>
      <c r="AA208" s="7" t="str">
        <f t="shared" si="23"/>
        <v>High Margin</v>
      </c>
    </row>
    <row r="209" spans="1:27" x14ac:dyDescent="0.25">
      <c r="A209" t="s">
        <v>150</v>
      </c>
      <c r="B209">
        <v>40</v>
      </c>
      <c r="C209">
        <v>10</v>
      </c>
      <c r="D209" s="1">
        <v>41389</v>
      </c>
      <c r="E209">
        <v>536</v>
      </c>
      <c r="F209">
        <v>52</v>
      </c>
      <c r="G209" t="s">
        <v>21</v>
      </c>
      <c r="H209" t="s">
        <v>22</v>
      </c>
      <c r="I209">
        <v>13</v>
      </c>
      <c r="J209" t="s">
        <v>23</v>
      </c>
      <c r="K209" t="s">
        <v>24</v>
      </c>
      <c r="L209" t="s">
        <v>25</v>
      </c>
      <c r="M209">
        <v>40</v>
      </c>
      <c r="N209">
        <v>98</v>
      </c>
      <c r="O209" t="s">
        <v>63</v>
      </c>
      <c r="P209">
        <v>30</v>
      </c>
      <c r="Q209">
        <v>50</v>
      </c>
      <c r="R209">
        <v>30</v>
      </c>
      <c r="S209">
        <v>80</v>
      </c>
      <c r="T209">
        <v>25</v>
      </c>
      <c r="U209" t="s">
        <v>27</v>
      </c>
      <c r="V209">
        <f t="shared" si="18"/>
        <v>0.40816326530612246</v>
      </c>
      <c r="W209">
        <f t="shared" si="19"/>
        <v>10</v>
      </c>
      <c r="X209">
        <f t="shared" si="20"/>
        <v>18</v>
      </c>
      <c r="Y209">
        <f t="shared" si="21"/>
        <v>0.40816326530612246</v>
      </c>
      <c r="Z209" s="7" t="str">
        <f t="shared" si="22"/>
        <v>Low Sales</v>
      </c>
      <c r="AA209" s="7" t="str">
        <f t="shared" si="23"/>
        <v>High Margin</v>
      </c>
    </row>
    <row r="210" spans="1:27" x14ac:dyDescent="0.25">
      <c r="A210" t="s">
        <v>151</v>
      </c>
      <c r="B210">
        <v>36</v>
      </c>
      <c r="C210">
        <v>5</v>
      </c>
      <c r="D210" s="1">
        <v>41390</v>
      </c>
      <c r="E210">
        <v>862</v>
      </c>
      <c r="F210">
        <v>52</v>
      </c>
      <c r="G210" t="s">
        <v>21</v>
      </c>
      <c r="H210" t="s">
        <v>22</v>
      </c>
      <c r="I210">
        <v>10</v>
      </c>
      <c r="J210" t="s">
        <v>23</v>
      </c>
      <c r="K210" t="s">
        <v>24</v>
      </c>
      <c r="L210" t="s">
        <v>25</v>
      </c>
      <c r="M210">
        <v>45</v>
      </c>
      <c r="N210">
        <v>94</v>
      </c>
      <c r="O210" t="s">
        <v>65</v>
      </c>
      <c r="P210">
        <v>30</v>
      </c>
      <c r="Q210">
        <v>50</v>
      </c>
      <c r="R210">
        <v>40</v>
      </c>
      <c r="S210">
        <v>80</v>
      </c>
      <c r="T210">
        <v>22</v>
      </c>
      <c r="U210" t="s">
        <v>27</v>
      </c>
      <c r="V210">
        <f t="shared" si="18"/>
        <v>0.47872340425531917</v>
      </c>
      <c r="W210">
        <f t="shared" si="19"/>
        <v>5</v>
      </c>
      <c r="X210">
        <f t="shared" si="20"/>
        <v>14</v>
      </c>
      <c r="Y210">
        <f t="shared" si="21"/>
        <v>0.38297872340425532</v>
      </c>
      <c r="Z210" s="7" t="str">
        <f t="shared" si="22"/>
        <v>Low Sales</v>
      </c>
      <c r="AA210" s="7" t="str">
        <f t="shared" si="23"/>
        <v>High Margin</v>
      </c>
    </row>
    <row r="211" spans="1:27" x14ac:dyDescent="0.25">
      <c r="A211" t="s">
        <v>152</v>
      </c>
      <c r="B211">
        <v>55</v>
      </c>
      <c r="C211">
        <v>2</v>
      </c>
      <c r="D211" s="1">
        <v>41391</v>
      </c>
      <c r="E211">
        <v>410</v>
      </c>
      <c r="F211">
        <v>69</v>
      </c>
      <c r="G211" t="s">
        <v>21</v>
      </c>
      <c r="H211" t="s">
        <v>31</v>
      </c>
      <c r="I211">
        <v>20</v>
      </c>
      <c r="J211" t="s">
        <v>23</v>
      </c>
      <c r="K211" t="s">
        <v>24</v>
      </c>
      <c r="L211" t="s">
        <v>25</v>
      </c>
      <c r="M211">
        <v>22</v>
      </c>
      <c r="N211">
        <v>132</v>
      </c>
      <c r="O211" t="s">
        <v>62</v>
      </c>
      <c r="P211">
        <v>40</v>
      </c>
      <c r="Q211">
        <v>50</v>
      </c>
      <c r="R211">
        <v>20</v>
      </c>
      <c r="S211">
        <v>90</v>
      </c>
      <c r="T211">
        <v>54</v>
      </c>
      <c r="U211" t="s">
        <v>27</v>
      </c>
      <c r="V211">
        <f t="shared" si="18"/>
        <v>0.16666666666666666</v>
      </c>
      <c r="W211">
        <f t="shared" si="19"/>
        <v>2</v>
      </c>
      <c r="X211">
        <f t="shared" si="20"/>
        <v>42</v>
      </c>
      <c r="Y211">
        <f t="shared" si="21"/>
        <v>0.41666666666666669</v>
      </c>
      <c r="Z211" s="7" t="str">
        <f t="shared" si="22"/>
        <v>Low Sales</v>
      </c>
      <c r="AA211" s="7" t="str">
        <f t="shared" si="23"/>
        <v>High Margin</v>
      </c>
    </row>
    <row r="212" spans="1:27" x14ac:dyDescent="0.25">
      <c r="A212" t="s">
        <v>153</v>
      </c>
      <c r="B212">
        <v>40</v>
      </c>
      <c r="C212">
        <v>10</v>
      </c>
      <c r="D212" s="1">
        <v>41392</v>
      </c>
      <c r="E212">
        <v>536</v>
      </c>
      <c r="F212">
        <v>52</v>
      </c>
      <c r="G212" t="s">
        <v>21</v>
      </c>
      <c r="H212" t="s">
        <v>36</v>
      </c>
      <c r="I212">
        <v>13</v>
      </c>
      <c r="J212" t="s">
        <v>23</v>
      </c>
      <c r="K212" t="s">
        <v>24</v>
      </c>
      <c r="L212" t="s">
        <v>28</v>
      </c>
      <c r="M212">
        <v>40</v>
      </c>
      <c r="N212">
        <v>98</v>
      </c>
      <c r="O212" t="s">
        <v>38</v>
      </c>
      <c r="P212">
        <v>30</v>
      </c>
      <c r="Q212">
        <v>50</v>
      </c>
      <c r="R212">
        <v>30</v>
      </c>
      <c r="S212">
        <v>80</v>
      </c>
      <c r="T212">
        <v>25</v>
      </c>
      <c r="U212" t="s">
        <v>27</v>
      </c>
      <c r="V212">
        <f t="shared" si="18"/>
        <v>0.40816326530612246</v>
      </c>
      <c r="W212">
        <f t="shared" si="19"/>
        <v>10</v>
      </c>
      <c r="X212">
        <f t="shared" si="20"/>
        <v>18</v>
      </c>
      <c r="Y212">
        <f t="shared" si="21"/>
        <v>0.40816326530612246</v>
      </c>
      <c r="Z212" s="7" t="str">
        <f t="shared" si="22"/>
        <v>Low Sales</v>
      </c>
      <c r="AA212" s="7" t="str">
        <f t="shared" si="23"/>
        <v>High Margin</v>
      </c>
    </row>
    <row r="213" spans="1:27" x14ac:dyDescent="0.25">
      <c r="A213" t="s">
        <v>140</v>
      </c>
      <c r="B213">
        <v>28</v>
      </c>
      <c r="C213">
        <v>-6</v>
      </c>
      <c r="D213" s="1">
        <v>41393</v>
      </c>
      <c r="E213">
        <v>875</v>
      </c>
      <c r="F213">
        <v>42</v>
      </c>
      <c r="G213" t="s">
        <v>21</v>
      </c>
      <c r="H213" t="s">
        <v>31</v>
      </c>
      <c r="I213">
        <v>7</v>
      </c>
      <c r="J213" t="s">
        <v>23</v>
      </c>
      <c r="K213" t="s">
        <v>32</v>
      </c>
      <c r="L213" t="s">
        <v>33</v>
      </c>
      <c r="M213">
        <v>34</v>
      </c>
      <c r="N213">
        <v>75</v>
      </c>
      <c r="O213" t="s">
        <v>34</v>
      </c>
      <c r="P213">
        <v>20</v>
      </c>
      <c r="Q213">
        <v>50</v>
      </c>
      <c r="R213">
        <v>40</v>
      </c>
      <c r="S213">
        <v>70</v>
      </c>
      <c r="T213">
        <v>19</v>
      </c>
      <c r="U213" t="s">
        <v>35</v>
      </c>
      <c r="V213">
        <f t="shared" si="18"/>
        <v>0.45333333333333331</v>
      </c>
      <c r="W213">
        <f t="shared" si="19"/>
        <v>-6</v>
      </c>
      <c r="X213">
        <f t="shared" si="20"/>
        <v>5</v>
      </c>
      <c r="Y213">
        <f t="shared" si="21"/>
        <v>0.37333333333333335</v>
      </c>
      <c r="Z213" s="7" t="str">
        <f t="shared" si="22"/>
        <v>Low Sales</v>
      </c>
      <c r="AA213" s="7" t="str">
        <f t="shared" si="23"/>
        <v>High Margin</v>
      </c>
    </row>
    <row r="214" spans="1:27" x14ac:dyDescent="0.25">
      <c r="A214" t="s">
        <v>147</v>
      </c>
      <c r="B214">
        <v>31</v>
      </c>
      <c r="C214">
        <v>2</v>
      </c>
      <c r="D214" s="1">
        <v>41394</v>
      </c>
      <c r="E214">
        <v>856</v>
      </c>
      <c r="F214">
        <v>47</v>
      </c>
      <c r="G214" t="s">
        <v>21</v>
      </c>
      <c r="H214" t="s">
        <v>31</v>
      </c>
      <c r="I214">
        <v>8</v>
      </c>
      <c r="J214" t="s">
        <v>23</v>
      </c>
      <c r="K214" t="s">
        <v>32</v>
      </c>
      <c r="L214" t="s">
        <v>37</v>
      </c>
      <c r="M214">
        <v>42</v>
      </c>
      <c r="N214">
        <v>83</v>
      </c>
      <c r="O214" t="s">
        <v>34</v>
      </c>
      <c r="P214">
        <v>30</v>
      </c>
      <c r="Q214">
        <v>50</v>
      </c>
      <c r="R214">
        <v>40</v>
      </c>
      <c r="S214">
        <v>80</v>
      </c>
      <c r="T214">
        <v>19</v>
      </c>
      <c r="U214" t="s">
        <v>35</v>
      </c>
      <c r="V214">
        <f t="shared" si="18"/>
        <v>0.50602409638554213</v>
      </c>
      <c r="W214">
        <f t="shared" si="19"/>
        <v>2</v>
      </c>
      <c r="X214">
        <f t="shared" si="20"/>
        <v>3</v>
      </c>
      <c r="Y214">
        <f t="shared" si="21"/>
        <v>0.37349397590361444</v>
      </c>
      <c r="Z214" s="7" t="str">
        <f t="shared" si="22"/>
        <v>Low Sales</v>
      </c>
      <c r="AA214" s="7" t="str">
        <f t="shared" si="23"/>
        <v>High Margin</v>
      </c>
    </row>
    <row r="215" spans="1:27" x14ac:dyDescent="0.25">
      <c r="A215" t="s">
        <v>148</v>
      </c>
      <c r="B215">
        <v>32</v>
      </c>
      <c r="C215">
        <v>3</v>
      </c>
      <c r="D215" s="1">
        <v>41395</v>
      </c>
      <c r="E215">
        <v>482</v>
      </c>
      <c r="F215">
        <v>48</v>
      </c>
      <c r="G215" t="s">
        <v>21</v>
      </c>
      <c r="H215" t="s">
        <v>31</v>
      </c>
      <c r="I215">
        <v>8</v>
      </c>
      <c r="J215" t="s">
        <v>23</v>
      </c>
      <c r="K215" t="s">
        <v>32</v>
      </c>
      <c r="L215" t="s">
        <v>37</v>
      </c>
      <c r="M215">
        <v>43</v>
      </c>
      <c r="N215">
        <v>85</v>
      </c>
      <c r="O215" t="s">
        <v>62</v>
      </c>
      <c r="P215">
        <v>30</v>
      </c>
      <c r="Q215">
        <v>50</v>
      </c>
      <c r="R215">
        <v>40</v>
      </c>
      <c r="S215">
        <v>80</v>
      </c>
      <c r="T215">
        <v>19</v>
      </c>
      <c r="U215" t="s">
        <v>35</v>
      </c>
      <c r="V215">
        <f t="shared" si="18"/>
        <v>0.50588235294117645</v>
      </c>
      <c r="W215">
        <f t="shared" si="19"/>
        <v>3</v>
      </c>
      <c r="X215">
        <f t="shared" si="20"/>
        <v>5</v>
      </c>
      <c r="Y215">
        <f t="shared" si="21"/>
        <v>0.37647058823529411</v>
      </c>
      <c r="Z215" s="7" t="str">
        <f t="shared" si="22"/>
        <v>Low Sales</v>
      </c>
      <c r="AA215" s="7" t="str">
        <f t="shared" si="23"/>
        <v>High Margin</v>
      </c>
    </row>
    <row r="216" spans="1:27" x14ac:dyDescent="0.25">
      <c r="A216" t="s">
        <v>154</v>
      </c>
      <c r="B216">
        <v>50</v>
      </c>
      <c r="C216">
        <v>30</v>
      </c>
      <c r="D216" s="1">
        <v>41396</v>
      </c>
      <c r="E216">
        <v>589</v>
      </c>
      <c r="F216">
        <v>73</v>
      </c>
      <c r="G216" t="s">
        <v>21</v>
      </c>
      <c r="H216" t="s">
        <v>36</v>
      </c>
      <c r="I216">
        <v>14</v>
      </c>
      <c r="J216" t="s">
        <v>23</v>
      </c>
      <c r="K216" t="s">
        <v>32</v>
      </c>
      <c r="L216" t="s">
        <v>61</v>
      </c>
      <c r="M216">
        <v>70</v>
      </c>
      <c r="N216">
        <v>131</v>
      </c>
      <c r="O216" t="s">
        <v>38</v>
      </c>
      <c r="P216">
        <v>30</v>
      </c>
      <c r="Q216">
        <v>50</v>
      </c>
      <c r="R216">
        <v>40</v>
      </c>
      <c r="S216">
        <v>80</v>
      </c>
      <c r="T216">
        <v>26</v>
      </c>
      <c r="U216" t="s">
        <v>35</v>
      </c>
      <c r="V216">
        <f t="shared" si="18"/>
        <v>0.53435114503816794</v>
      </c>
      <c r="W216">
        <f t="shared" si="19"/>
        <v>30</v>
      </c>
      <c r="X216">
        <f t="shared" si="20"/>
        <v>51</v>
      </c>
      <c r="Y216">
        <f t="shared" si="21"/>
        <v>0.38167938931297712</v>
      </c>
      <c r="Z216" s="7" t="str">
        <f t="shared" si="22"/>
        <v>Low Sales</v>
      </c>
      <c r="AA216" s="7" t="str">
        <f t="shared" si="23"/>
        <v>High Margin</v>
      </c>
    </row>
    <row r="217" spans="1:27" x14ac:dyDescent="0.25">
      <c r="A217" t="s">
        <v>142</v>
      </c>
      <c r="B217">
        <v>0</v>
      </c>
      <c r="C217">
        <v>6</v>
      </c>
      <c r="D217" s="1">
        <v>41397</v>
      </c>
      <c r="E217">
        <v>387</v>
      </c>
      <c r="F217">
        <v>43</v>
      </c>
      <c r="G217" t="s">
        <v>39</v>
      </c>
      <c r="H217" t="s">
        <v>22</v>
      </c>
      <c r="I217">
        <v>0</v>
      </c>
      <c r="J217" t="s">
        <v>40</v>
      </c>
      <c r="K217" t="s">
        <v>41</v>
      </c>
      <c r="L217" t="s">
        <v>42</v>
      </c>
      <c r="M217">
        <v>46</v>
      </c>
      <c r="N217">
        <v>46</v>
      </c>
      <c r="O217" t="s">
        <v>43</v>
      </c>
      <c r="P217">
        <v>0</v>
      </c>
      <c r="Q217">
        <v>50</v>
      </c>
      <c r="R217">
        <v>40</v>
      </c>
      <c r="S217">
        <v>50</v>
      </c>
      <c r="T217">
        <v>12</v>
      </c>
      <c r="U217" t="s">
        <v>27</v>
      </c>
      <c r="V217">
        <f t="shared" si="18"/>
        <v>1</v>
      </c>
      <c r="W217">
        <f t="shared" si="19"/>
        <v>6</v>
      </c>
      <c r="X217">
        <f t="shared" si="20"/>
        <v>-4</v>
      </c>
      <c r="Y217">
        <f t="shared" si="21"/>
        <v>0</v>
      </c>
      <c r="Z217" s="7" t="str">
        <f t="shared" si="22"/>
        <v>Low Sales</v>
      </c>
      <c r="AA217" s="7" t="str">
        <f t="shared" si="23"/>
        <v>High Margin</v>
      </c>
    </row>
    <row r="218" spans="1:27" x14ac:dyDescent="0.25">
      <c r="A218" t="s">
        <v>107</v>
      </c>
      <c r="B218">
        <v>82</v>
      </c>
      <c r="C218">
        <v>-22</v>
      </c>
      <c r="D218" s="1">
        <v>41398</v>
      </c>
      <c r="E218">
        <v>1804</v>
      </c>
      <c r="F218">
        <v>40</v>
      </c>
      <c r="G218" t="s">
        <v>39</v>
      </c>
      <c r="H218" t="s">
        <v>29</v>
      </c>
      <c r="I218">
        <v>25</v>
      </c>
      <c r="J218" t="s">
        <v>40</v>
      </c>
      <c r="K218" t="s">
        <v>45</v>
      </c>
      <c r="L218" t="s">
        <v>46</v>
      </c>
      <c r="M218">
        <v>-12</v>
      </c>
      <c r="N218">
        <v>130</v>
      </c>
      <c r="O218" t="s">
        <v>64</v>
      </c>
      <c r="P218">
        <v>90</v>
      </c>
      <c r="Q218">
        <v>50</v>
      </c>
      <c r="R218">
        <v>10</v>
      </c>
      <c r="S218">
        <v>140</v>
      </c>
      <c r="T218">
        <v>48</v>
      </c>
      <c r="U218" t="s">
        <v>27</v>
      </c>
      <c r="V218">
        <f t="shared" si="18"/>
        <v>-9.2307692307692313E-2</v>
      </c>
      <c r="W218">
        <f t="shared" si="19"/>
        <v>-22</v>
      </c>
      <c r="X218">
        <f t="shared" si="20"/>
        <v>-10</v>
      </c>
      <c r="Y218">
        <f t="shared" si="21"/>
        <v>0.63076923076923075</v>
      </c>
      <c r="Z218" s="7" t="str">
        <f t="shared" si="22"/>
        <v>Low Sales</v>
      </c>
      <c r="AA218" s="7" t="str">
        <f t="shared" si="23"/>
        <v>Low Margin</v>
      </c>
    </row>
    <row r="219" spans="1:27" x14ac:dyDescent="0.25">
      <c r="A219" t="s">
        <v>142</v>
      </c>
      <c r="B219">
        <v>22</v>
      </c>
      <c r="C219">
        <v>-16</v>
      </c>
      <c r="D219" s="1">
        <v>41399</v>
      </c>
      <c r="E219">
        <v>802</v>
      </c>
      <c r="F219">
        <v>34</v>
      </c>
      <c r="G219" t="s">
        <v>39</v>
      </c>
      <c r="H219" t="s">
        <v>22</v>
      </c>
      <c r="I219">
        <v>6</v>
      </c>
      <c r="J219" t="s">
        <v>40</v>
      </c>
      <c r="K219" t="s">
        <v>41</v>
      </c>
      <c r="L219" t="s">
        <v>53</v>
      </c>
      <c r="M219">
        <v>24</v>
      </c>
      <c r="N219">
        <v>60</v>
      </c>
      <c r="O219" t="s">
        <v>43</v>
      </c>
      <c r="P219">
        <v>20</v>
      </c>
      <c r="Q219">
        <v>50</v>
      </c>
      <c r="R219">
        <v>40</v>
      </c>
      <c r="S219">
        <v>70</v>
      </c>
      <c r="T219">
        <v>18</v>
      </c>
      <c r="U219" t="s">
        <v>35</v>
      </c>
      <c r="V219">
        <f t="shared" si="18"/>
        <v>0.4</v>
      </c>
      <c r="W219">
        <f t="shared" si="19"/>
        <v>-16</v>
      </c>
      <c r="X219">
        <f t="shared" si="20"/>
        <v>-10</v>
      </c>
      <c r="Y219">
        <f t="shared" si="21"/>
        <v>0.36666666666666664</v>
      </c>
      <c r="Z219" s="7" t="str">
        <f t="shared" si="22"/>
        <v>Low Sales</v>
      </c>
      <c r="AA219" s="7" t="str">
        <f t="shared" si="23"/>
        <v>High Margin</v>
      </c>
    </row>
    <row r="220" spans="1:27" x14ac:dyDescent="0.25">
      <c r="A220" t="s">
        <v>107</v>
      </c>
      <c r="B220">
        <v>44</v>
      </c>
      <c r="C220">
        <v>-10</v>
      </c>
      <c r="D220" s="1">
        <v>41400</v>
      </c>
      <c r="E220">
        <v>325</v>
      </c>
      <c r="F220">
        <v>62</v>
      </c>
      <c r="G220" t="s">
        <v>39</v>
      </c>
      <c r="H220" t="s">
        <v>29</v>
      </c>
      <c r="I220">
        <v>40</v>
      </c>
      <c r="J220" t="s">
        <v>40</v>
      </c>
      <c r="K220" t="s">
        <v>41</v>
      </c>
      <c r="L220" t="s">
        <v>53</v>
      </c>
      <c r="M220">
        <v>-10</v>
      </c>
      <c r="N220">
        <v>113</v>
      </c>
      <c r="O220" t="s">
        <v>64</v>
      </c>
      <c r="P220">
        <v>30</v>
      </c>
      <c r="Q220">
        <v>50</v>
      </c>
      <c r="R220">
        <v>0</v>
      </c>
      <c r="S220">
        <v>80</v>
      </c>
      <c r="T220">
        <v>69</v>
      </c>
      <c r="U220" t="s">
        <v>35</v>
      </c>
      <c r="V220">
        <f t="shared" si="18"/>
        <v>-8.8495575221238937E-2</v>
      </c>
      <c r="W220">
        <f t="shared" si="19"/>
        <v>-10</v>
      </c>
      <c r="X220">
        <f t="shared" si="20"/>
        <v>33</v>
      </c>
      <c r="Y220">
        <f t="shared" si="21"/>
        <v>0.38938053097345132</v>
      </c>
      <c r="Z220" s="7" t="str">
        <f t="shared" si="22"/>
        <v>Low Sales</v>
      </c>
      <c r="AA220" s="7" t="str">
        <f t="shared" si="23"/>
        <v>Low Margin</v>
      </c>
    </row>
    <row r="221" spans="1:27" x14ac:dyDescent="0.25">
      <c r="A221" t="s">
        <v>76</v>
      </c>
      <c r="B221">
        <v>33</v>
      </c>
      <c r="C221">
        <v>-16</v>
      </c>
      <c r="D221" s="1">
        <v>41401</v>
      </c>
      <c r="E221">
        <v>243</v>
      </c>
      <c r="F221">
        <v>41</v>
      </c>
      <c r="G221" t="s">
        <v>39</v>
      </c>
      <c r="H221" t="s">
        <v>36</v>
      </c>
      <c r="I221">
        <v>12</v>
      </c>
      <c r="J221" t="s">
        <v>40</v>
      </c>
      <c r="K221" t="s">
        <v>45</v>
      </c>
      <c r="L221" t="s">
        <v>52</v>
      </c>
      <c r="M221">
        <v>-6</v>
      </c>
      <c r="N221">
        <v>79</v>
      </c>
      <c r="O221" t="s">
        <v>48</v>
      </c>
      <c r="P221">
        <v>30</v>
      </c>
      <c r="Q221">
        <v>50</v>
      </c>
      <c r="R221">
        <v>10</v>
      </c>
      <c r="S221">
        <v>80</v>
      </c>
      <c r="T221">
        <v>45</v>
      </c>
      <c r="U221" t="s">
        <v>35</v>
      </c>
      <c r="V221">
        <f t="shared" si="18"/>
        <v>-7.5949367088607597E-2</v>
      </c>
      <c r="W221">
        <f t="shared" si="19"/>
        <v>-16</v>
      </c>
      <c r="X221">
        <f t="shared" si="20"/>
        <v>-1</v>
      </c>
      <c r="Y221">
        <f t="shared" si="21"/>
        <v>0.41772151898734178</v>
      </c>
      <c r="Z221" s="7" t="str">
        <f t="shared" si="22"/>
        <v>Low Sales</v>
      </c>
      <c r="AA221" s="7" t="str">
        <f t="shared" si="23"/>
        <v>Low Margin</v>
      </c>
    </row>
    <row r="222" spans="1:27" x14ac:dyDescent="0.25">
      <c r="A222" t="s">
        <v>94</v>
      </c>
      <c r="B222">
        <v>44</v>
      </c>
      <c r="C222">
        <v>-12</v>
      </c>
      <c r="D222" s="1">
        <v>41402</v>
      </c>
      <c r="E222">
        <v>325</v>
      </c>
      <c r="F222">
        <v>62</v>
      </c>
      <c r="G222" t="s">
        <v>39</v>
      </c>
      <c r="H222" t="s">
        <v>22</v>
      </c>
      <c r="I222">
        <v>40</v>
      </c>
      <c r="J222" t="s">
        <v>23</v>
      </c>
      <c r="K222" t="s">
        <v>24</v>
      </c>
      <c r="L222" t="s">
        <v>57</v>
      </c>
      <c r="M222">
        <v>-12</v>
      </c>
      <c r="N222">
        <v>113</v>
      </c>
      <c r="O222" t="s">
        <v>58</v>
      </c>
      <c r="P222">
        <v>40</v>
      </c>
      <c r="Q222">
        <v>50</v>
      </c>
      <c r="R222">
        <v>0</v>
      </c>
      <c r="S222">
        <v>90</v>
      </c>
      <c r="T222">
        <v>70</v>
      </c>
      <c r="U222" t="s">
        <v>27</v>
      </c>
      <c r="V222">
        <f t="shared" si="18"/>
        <v>-0.10619469026548672</v>
      </c>
      <c r="W222">
        <f t="shared" si="19"/>
        <v>-12</v>
      </c>
      <c r="X222">
        <f t="shared" si="20"/>
        <v>23</v>
      </c>
      <c r="Y222">
        <f t="shared" si="21"/>
        <v>0.38938053097345132</v>
      </c>
      <c r="Z222" s="7" t="str">
        <f t="shared" si="22"/>
        <v>Low Sales</v>
      </c>
      <c r="AA222" s="7" t="str">
        <f t="shared" si="23"/>
        <v>Low Margin</v>
      </c>
    </row>
    <row r="223" spans="1:27" x14ac:dyDescent="0.25">
      <c r="A223" t="s">
        <v>133</v>
      </c>
      <c r="B223">
        <v>31</v>
      </c>
      <c r="C223">
        <v>0</v>
      </c>
      <c r="D223" s="1">
        <v>41403</v>
      </c>
      <c r="E223">
        <v>856</v>
      </c>
      <c r="F223">
        <v>47</v>
      </c>
      <c r="G223" t="s">
        <v>39</v>
      </c>
      <c r="H223" t="s">
        <v>22</v>
      </c>
      <c r="I223">
        <v>8</v>
      </c>
      <c r="J223" t="s">
        <v>23</v>
      </c>
      <c r="K223" t="s">
        <v>24</v>
      </c>
      <c r="L223" t="s">
        <v>25</v>
      </c>
      <c r="M223">
        <v>40</v>
      </c>
      <c r="N223">
        <v>83</v>
      </c>
      <c r="O223" t="s">
        <v>59</v>
      </c>
      <c r="P223">
        <v>20</v>
      </c>
      <c r="Q223">
        <v>50</v>
      </c>
      <c r="R223">
        <v>40</v>
      </c>
      <c r="S223">
        <v>70</v>
      </c>
      <c r="T223">
        <v>20</v>
      </c>
      <c r="U223" t="s">
        <v>27</v>
      </c>
      <c r="V223">
        <f t="shared" si="18"/>
        <v>0.48192771084337349</v>
      </c>
      <c r="W223">
        <f t="shared" si="19"/>
        <v>0</v>
      </c>
      <c r="X223">
        <f t="shared" si="20"/>
        <v>13</v>
      </c>
      <c r="Y223">
        <f t="shared" si="21"/>
        <v>0.37349397590361444</v>
      </c>
      <c r="Z223" s="7" t="str">
        <f t="shared" si="22"/>
        <v>Low Sales</v>
      </c>
      <c r="AA223" s="7" t="str">
        <f t="shared" si="23"/>
        <v>High Margin</v>
      </c>
    </row>
    <row r="224" spans="1:27" x14ac:dyDescent="0.25">
      <c r="A224" t="s">
        <v>135</v>
      </c>
      <c r="B224">
        <v>69</v>
      </c>
      <c r="C224">
        <v>26</v>
      </c>
      <c r="D224" s="1">
        <v>41404</v>
      </c>
      <c r="E224">
        <v>1060</v>
      </c>
      <c r="F224">
        <v>81</v>
      </c>
      <c r="G224" t="s">
        <v>39</v>
      </c>
      <c r="H224" t="s">
        <v>31</v>
      </c>
      <c r="I224">
        <v>21</v>
      </c>
      <c r="J224" t="s">
        <v>23</v>
      </c>
      <c r="K224" t="s">
        <v>24</v>
      </c>
      <c r="L224" t="s">
        <v>28</v>
      </c>
      <c r="M224">
        <v>56</v>
      </c>
      <c r="N224">
        <v>160</v>
      </c>
      <c r="O224" t="s">
        <v>44</v>
      </c>
      <c r="P224">
        <v>50</v>
      </c>
      <c r="Q224">
        <v>50</v>
      </c>
      <c r="R224">
        <v>30</v>
      </c>
      <c r="S224">
        <v>100</v>
      </c>
      <c r="T224">
        <v>43</v>
      </c>
      <c r="U224" t="s">
        <v>27</v>
      </c>
      <c r="V224">
        <f t="shared" si="18"/>
        <v>0.35</v>
      </c>
      <c r="W224">
        <f t="shared" si="19"/>
        <v>26</v>
      </c>
      <c r="X224">
        <f t="shared" si="20"/>
        <v>60</v>
      </c>
      <c r="Y224">
        <f t="shared" si="21"/>
        <v>0.43125000000000002</v>
      </c>
      <c r="Z224" s="7" t="str">
        <f t="shared" si="22"/>
        <v>Low Sales</v>
      </c>
      <c r="AA224" s="7" t="str">
        <f t="shared" si="23"/>
        <v>High Margin</v>
      </c>
    </row>
    <row r="225" spans="1:27" x14ac:dyDescent="0.25">
      <c r="A225" t="s">
        <v>133</v>
      </c>
      <c r="B225">
        <v>49</v>
      </c>
      <c r="C225">
        <v>29</v>
      </c>
      <c r="D225" s="1">
        <v>41405</v>
      </c>
      <c r="E225">
        <v>454</v>
      </c>
      <c r="F225">
        <v>71</v>
      </c>
      <c r="G225" t="s">
        <v>39</v>
      </c>
      <c r="H225" t="s">
        <v>22</v>
      </c>
      <c r="I225">
        <v>15</v>
      </c>
      <c r="J225" t="s">
        <v>23</v>
      </c>
      <c r="K225" t="s">
        <v>32</v>
      </c>
      <c r="L225" t="s">
        <v>33</v>
      </c>
      <c r="M225">
        <v>49</v>
      </c>
      <c r="N225">
        <v>128</v>
      </c>
      <c r="O225" t="s">
        <v>59</v>
      </c>
      <c r="P225">
        <v>40</v>
      </c>
      <c r="Q225">
        <v>50</v>
      </c>
      <c r="R225">
        <v>20</v>
      </c>
      <c r="S225">
        <v>90</v>
      </c>
      <c r="T225">
        <v>38</v>
      </c>
      <c r="U225" t="s">
        <v>35</v>
      </c>
      <c r="V225">
        <f t="shared" si="18"/>
        <v>0.3828125</v>
      </c>
      <c r="W225">
        <f t="shared" si="19"/>
        <v>29</v>
      </c>
      <c r="X225">
        <f t="shared" si="20"/>
        <v>38</v>
      </c>
      <c r="Y225">
        <f t="shared" si="21"/>
        <v>0.3828125</v>
      </c>
      <c r="Z225" s="7" t="str">
        <f t="shared" si="22"/>
        <v>Low Sales</v>
      </c>
      <c r="AA225" s="7" t="str">
        <f t="shared" si="23"/>
        <v>High Margin</v>
      </c>
    </row>
    <row r="226" spans="1:27" x14ac:dyDescent="0.25">
      <c r="A226" t="s">
        <v>100</v>
      </c>
      <c r="B226">
        <v>49</v>
      </c>
      <c r="C226">
        <v>20</v>
      </c>
      <c r="D226" s="1">
        <v>41406</v>
      </c>
      <c r="E226">
        <v>454</v>
      </c>
      <c r="F226">
        <v>71</v>
      </c>
      <c r="G226" t="s">
        <v>39</v>
      </c>
      <c r="H226" t="s">
        <v>36</v>
      </c>
      <c r="I226">
        <v>15</v>
      </c>
      <c r="J226" t="s">
        <v>23</v>
      </c>
      <c r="K226" t="s">
        <v>32</v>
      </c>
      <c r="L226" t="s">
        <v>61</v>
      </c>
      <c r="M226">
        <v>50</v>
      </c>
      <c r="N226">
        <v>128</v>
      </c>
      <c r="O226" t="s">
        <v>60</v>
      </c>
      <c r="P226">
        <v>30</v>
      </c>
      <c r="Q226">
        <v>50</v>
      </c>
      <c r="R226">
        <v>30</v>
      </c>
      <c r="S226">
        <v>80</v>
      </c>
      <c r="T226">
        <v>37</v>
      </c>
      <c r="U226" t="s">
        <v>35</v>
      </c>
      <c r="V226">
        <f t="shared" si="18"/>
        <v>0.390625</v>
      </c>
      <c r="W226">
        <f t="shared" si="19"/>
        <v>20</v>
      </c>
      <c r="X226">
        <f t="shared" si="20"/>
        <v>48</v>
      </c>
      <c r="Y226">
        <f t="shared" si="21"/>
        <v>0.3828125</v>
      </c>
      <c r="Z226" s="7" t="str">
        <f t="shared" si="22"/>
        <v>Low Sales</v>
      </c>
      <c r="AA226" s="7" t="str">
        <f t="shared" si="23"/>
        <v>High Margin</v>
      </c>
    </row>
    <row r="227" spans="1:27" x14ac:dyDescent="0.25">
      <c r="A227" t="s">
        <v>69</v>
      </c>
      <c r="B227">
        <v>43</v>
      </c>
      <c r="C227">
        <v>13</v>
      </c>
      <c r="D227" s="1">
        <v>41407</v>
      </c>
      <c r="E227">
        <v>531</v>
      </c>
      <c r="F227">
        <v>56</v>
      </c>
      <c r="G227" t="s">
        <v>21</v>
      </c>
      <c r="H227" t="s">
        <v>22</v>
      </c>
      <c r="I227">
        <v>14</v>
      </c>
      <c r="J227" t="s">
        <v>40</v>
      </c>
      <c r="K227" t="s">
        <v>45</v>
      </c>
      <c r="L227" t="s">
        <v>52</v>
      </c>
      <c r="M227">
        <v>43</v>
      </c>
      <c r="N227">
        <v>106</v>
      </c>
      <c r="O227" t="s">
        <v>26</v>
      </c>
      <c r="P227">
        <v>40</v>
      </c>
      <c r="Q227">
        <v>50</v>
      </c>
      <c r="R227">
        <v>30</v>
      </c>
      <c r="S227">
        <v>90</v>
      </c>
      <c r="T227">
        <v>27</v>
      </c>
      <c r="U227" t="s">
        <v>35</v>
      </c>
      <c r="V227">
        <f t="shared" si="18"/>
        <v>0.40566037735849059</v>
      </c>
      <c r="W227">
        <f t="shared" si="19"/>
        <v>13</v>
      </c>
      <c r="X227">
        <f t="shared" si="20"/>
        <v>16</v>
      </c>
      <c r="Y227">
        <f t="shared" si="21"/>
        <v>0.40566037735849059</v>
      </c>
      <c r="Z227" s="7" t="str">
        <f t="shared" si="22"/>
        <v>Low Sales</v>
      </c>
      <c r="AA227" s="7" t="str">
        <f t="shared" si="23"/>
        <v>High Margin</v>
      </c>
    </row>
    <row r="228" spans="1:27" x14ac:dyDescent="0.25">
      <c r="A228" t="s">
        <v>155</v>
      </c>
      <c r="B228">
        <v>41</v>
      </c>
      <c r="C228">
        <v>16</v>
      </c>
      <c r="D228" s="1">
        <v>41408</v>
      </c>
      <c r="E228">
        <v>435</v>
      </c>
      <c r="F228">
        <v>60</v>
      </c>
      <c r="G228" t="s">
        <v>21</v>
      </c>
      <c r="H228" t="s">
        <v>22</v>
      </c>
      <c r="I228">
        <v>13</v>
      </c>
      <c r="J228" t="s">
        <v>40</v>
      </c>
      <c r="K228" t="s">
        <v>45</v>
      </c>
      <c r="L228" t="s">
        <v>52</v>
      </c>
      <c r="M228">
        <v>36</v>
      </c>
      <c r="N228">
        <v>108</v>
      </c>
      <c r="O228" t="s">
        <v>65</v>
      </c>
      <c r="P228">
        <v>40</v>
      </c>
      <c r="Q228">
        <v>50</v>
      </c>
      <c r="R228">
        <v>20</v>
      </c>
      <c r="S228">
        <v>90</v>
      </c>
      <c r="T228">
        <v>36</v>
      </c>
      <c r="U228" t="s">
        <v>35</v>
      </c>
      <c r="V228">
        <f t="shared" si="18"/>
        <v>0.33333333333333331</v>
      </c>
      <c r="W228">
        <f t="shared" si="19"/>
        <v>16</v>
      </c>
      <c r="X228">
        <f t="shared" si="20"/>
        <v>18</v>
      </c>
      <c r="Y228">
        <f t="shared" si="21"/>
        <v>0.37962962962962965</v>
      </c>
      <c r="Z228" s="7" t="str">
        <f t="shared" si="22"/>
        <v>Low Sales</v>
      </c>
      <c r="AA228" s="7" t="str">
        <f t="shared" si="23"/>
        <v>High Margin</v>
      </c>
    </row>
    <row r="229" spans="1:27" x14ac:dyDescent="0.25">
      <c r="A229" t="s">
        <v>148</v>
      </c>
      <c r="B229">
        <v>47</v>
      </c>
      <c r="C229">
        <v>-20</v>
      </c>
      <c r="D229" s="1">
        <v>41409</v>
      </c>
      <c r="E229">
        <v>571</v>
      </c>
      <c r="F229">
        <v>52</v>
      </c>
      <c r="G229" t="s">
        <v>21</v>
      </c>
      <c r="H229" t="s">
        <v>31</v>
      </c>
      <c r="I229">
        <v>42</v>
      </c>
      <c r="J229" t="s">
        <v>40</v>
      </c>
      <c r="K229" t="s">
        <v>41</v>
      </c>
      <c r="L229" t="s">
        <v>53</v>
      </c>
      <c r="M229">
        <v>-30</v>
      </c>
      <c r="N229">
        <v>106</v>
      </c>
      <c r="O229" t="s">
        <v>62</v>
      </c>
      <c r="P229">
        <v>40</v>
      </c>
      <c r="Q229">
        <v>50</v>
      </c>
      <c r="R229">
        <v>-10</v>
      </c>
      <c r="S229">
        <v>90</v>
      </c>
      <c r="T229">
        <v>72</v>
      </c>
      <c r="U229" t="s">
        <v>35</v>
      </c>
      <c r="V229">
        <f t="shared" si="18"/>
        <v>-0.28301886792452829</v>
      </c>
      <c r="W229">
        <f t="shared" si="19"/>
        <v>-20</v>
      </c>
      <c r="X229">
        <f t="shared" si="20"/>
        <v>16</v>
      </c>
      <c r="Y229">
        <f t="shared" si="21"/>
        <v>0.44339622641509435</v>
      </c>
      <c r="Z229" s="7" t="str">
        <f t="shared" si="22"/>
        <v>Low Sales</v>
      </c>
      <c r="AA229" s="7" t="str">
        <f t="shared" si="23"/>
        <v>Low Margin</v>
      </c>
    </row>
    <row r="230" spans="1:27" x14ac:dyDescent="0.25">
      <c r="A230" t="s">
        <v>150</v>
      </c>
      <c r="B230">
        <v>43</v>
      </c>
      <c r="C230">
        <v>13</v>
      </c>
      <c r="D230" s="1">
        <v>41410</v>
      </c>
      <c r="E230">
        <v>531</v>
      </c>
      <c r="F230">
        <v>56</v>
      </c>
      <c r="G230" t="s">
        <v>21</v>
      </c>
      <c r="H230" t="s">
        <v>22</v>
      </c>
      <c r="I230">
        <v>14</v>
      </c>
      <c r="J230" t="s">
        <v>23</v>
      </c>
      <c r="K230" t="s">
        <v>24</v>
      </c>
      <c r="L230" t="s">
        <v>25</v>
      </c>
      <c r="M230">
        <v>43</v>
      </c>
      <c r="N230">
        <v>106</v>
      </c>
      <c r="O230" t="s">
        <v>63</v>
      </c>
      <c r="P230">
        <v>40</v>
      </c>
      <c r="Q230">
        <v>50</v>
      </c>
      <c r="R230">
        <v>30</v>
      </c>
      <c r="S230">
        <v>90</v>
      </c>
      <c r="T230">
        <v>27</v>
      </c>
      <c r="U230" t="s">
        <v>27</v>
      </c>
      <c r="V230">
        <f t="shared" si="18"/>
        <v>0.40566037735849059</v>
      </c>
      <c r="W230">
        <f t="shared" si="19"/>
        <v>13</v>
      </c>
      <c r="X230">
        <f t="shared" si="20"/>
        <v>16</v>
      </c>
      <c r="Y230">
        <f t="shared" si="21"/>
        <v>0.40566037735849059</v>
      </c>
      <c r="Z230" s="7" t="str">
        <f t="shared" si="22"/>
        <v>Low Sales</v>
      </c>
      <c r="AA230" s="7" t="str">
        <f t="shared" si="23"/>
        <v>High Margin</v>
      </c>
    </row>
    <row r="231" spans="1:27" x14ac:dyDescent="0.25">
      <c r="A231" t="s">
        <v>153</v>
      </c>
      <c r="B231">
        <v>43</v>
      </c>
      <c r="C231">
        <v>13</v>
      </c>
      <c r="D231" s="1">
        <v>41411</v>
      </c>
      <c r="E231">
        <v>531</v>
      </c>
      <c r="F231">
        <v>56</v>
      </c>
      <c r="G231" t="s">
        <v>21</v>
      </c>
      <c r="H231" t="s">
        <v>36</v>
      </c>
      <c r="I231">
        <v>14</v>
      </c>
      <c r="J231" t="s">
        <v>23</v>
      </c>
      <c r="K231" t="s">
        <v>24</v>
      </c>
      <c r="L231" t="s">
        <v>28</v>
      </c>
      <c r="M231">
        <v>43</v>
      </c>
      <c r="N231">
        <v>106</v>
      </c>
      <c r="O231" t="s">
        <v>38</v>
      </c>
      <c r="P231">
        <v>40</v>
      </c>
      <c r="Q231">
        <v>50</v>
      </c>
      <c r="R231">
        <v>30</v>
      </c>
      <c r="S231">
        <v>90</v>
      </c>
      <c r="T231">
        <v>27</v>
      </c>
      <c r="U231" t="s">
        <v>27</v>
      </c>
      <c r="V231">
        <f t="shared" si="18"/>
        <v>0.40566037735849059</v>
      </c>
      <c r="W231">
        <f t="shared" si="19"/>
        <v>13</v>
      </c>
      <c r="X231">
        <f t="shared" si="20"/>
        <v>16</v>
      </c>
      <c r="Y231">
        <f t="shared" si="21"/>
        <v>0.40566037735849059</v>
      </c>
      <c r="Z231" s="7" t="str">
        <f t="shared" si="22"/>
        <v>Low Sales</v>
      </c>
      <c r="AA231" s="7" t="str">
        <f t="shared" si="23"/>
        <v>High Margin</v>
      </c>
    </row>
    <row r="232" spans="1:27" x14ac:dyDescent="0.25">
      <c r="A232" t="s">
        <v>68</v>
      </c>
      <c r="B232">
        <v>46</v>
      </c>
      <c r="C232">
        <v>-1</v>
      </c>
      <c r="D232" s="1">
        <v>41412</v>
      </c>
      <c r="E232">
        <v>422</v>
      </c>
      <c r="F232">
        <v>57</v>
      </c>
      <c r="G232" t="s">
        <v>21</v>
      </c>
      <c r="H232" t="s">
        <v>22</v>
      </c>
      <c r="I232">
        <v>17</v>
      </c>
      <c r="J232" t="s">
        <v>23</v>
      </c>
      <c r="K232" t="s">
        <v>32</v>
      </c>
      <c r="L232" t="s">
        <v>33</v>
      </c>
      <c r="M232">
        <v>9</v>
      </c>
      <c r="N232">
        <v>110</v>
      </c>
      <c r="O232" t="s">
        <v>26</v>
      </c>
      <c r="P232">
        <v>30</v>
      </c>
      <c r="Q232">
        <v>50</v>
      </c>
      <c r="R232">
        <v>10</v>
      </c>
      <c r="S232">
        <v>80</v>
      </c>
      <c r="T232">
        <v>51</v>
      </c>
      <c r="U232" t="s">
        <v>35</v>
      </c>
      <c r="V232">
        <f t="shared" si="18"/>
        <v>8.1818181818181818E-2</v>
      </c>
      <c r="W232">
        <f t="shared" si="19"/>
        <v>-1</v>
      </c>
      <c r="X232">
        <f t="shared" si="20"/>
        <v>30</v>
      </c>
      <c r="Y232">
        <f t="shared" si="21"/>
        <v>0.41818181818181815</v>
      </c>
      <c r="Z232" s="7" t="str">
        <f t="shared" si="22"/>
        <v>Low Sales</v>
      </c>
      <c r="AA232" s="7" t="str">
        <f t="shared" si="23"/>
        <v>Low Margin</v>
      </c>
    </row>
    <row r="233" spans="1:27" x14ac:dyDescent="0.25">
      <c r="A233" t="s">
        <v>69</v>
      </c>
      <c r="B233">
        <v>53</v>
      </c>
      <c r="C233">
        <v>19</v>
      </c>
      <c r="D233" s="1">
        <v>41413</v>
      </c>
      <c r="E233">
        <v>1054</v>
      </c>
      <c r="F233">
        <v>63</v>
      </c>
      <c r="G233" t="s">
        <v>21</v>
      </c>
      <c r="H233" t="s">
        <v>22</v>
      </c>
      <c r="I233">
        <v>16</v>
      </c>
      <c r="J233" t="s">
        <v>23</v>
      </c>
      <c r="K233" t="s">
        <v>32</v>
      </c>
      <c r="L233" t="s">
        <v>61</v>
      </c>
      <c r="M233">
        <v>39</v>
      </c>
      <c r="N233">
        <v>124</v>
      </c>
      <c r="O233" t="s">
        <v>26</v>
      </c>
      <c r="P233">
        <v>40</v>
      </c>
      <c r="Q233">
        <v>50</v>
      </c>
      <c r="R233">
        <v>20</v>
      </c>
      <c r="S233">
        <v>90</v>
      </c>
      <c r="T233">
        <v>37</v>
      </c>
      <c r="U233" t="s">
        <v>35</v>
      </c>
      <c r="V233">
        <f t="shared" si="18"/>
        <v>0.31451612903225806</v>
      </c>
      <c r="W233">
        <f t="shared" si="19"/>
        <v>19</v>
      </c>
      <c r="X233">
        <f t="shared" si="20"/>
        <v>34</v>
      </c>
      <c r="Y233">
        <f t="shared" si="21"/>
        <v>0.42741935483870969</v>
      </c>
      <c r="Z233" s="7" t="str">
        <f t="shared" si="22"/>
        <v>Low Sales</v>
      </c>
      <c r="AA233" s="7" t="str">
        <f t="shared" si="23"/>
        <v>High Margin</v>
      </c>
    </row>
    <row r="234" spans="1:27" x14ac:dyDescent="0.25">
      <c r="A234" t="s">
        <v>148</v>
      </c>
      <c r="B234">
        <v>33</v>
      </c>
      <c r="C234">
        <v>3</v>
      </c>
      <c r="D234" s="1">
        <v>41414</v>
      </c>
      <c r="E234">
        <v>870</v>
      </c>
      <c r="F234">
        <v>49</v>
      </c>
      <c r="G234" t="s">
        <v>21</v>
      </c>
      <c r="H234" t="s">
        <v>31</v>
      </c>
      <c r="I234">
        <v>9</v>
      </c>
      <c r="J234" t="s">
        <v>23</v>
      </c>
      <c r="K234" t="s">
        <v>32</v>
      </c>
      <c r="L234" t="s">
        <v>33</v>
      </c>
      <c r="M234">
        <v>43</v>
      </c>
      <c r="N234">
        <v>87</v>
      </c>
      <c r="O234" t="s">
        <v>62</v>
      </c>
      <c r="P234">
        <v>30</v>
      </c>
      <c r="Q234">
        <v>50</v>
      </c>
      <c r="R234">
        <v>40</v>
      </c>
      <c r="S234">
        <v>80</v>
      </c>
      <c r="T234">
        <v>20</v>
      </c>
      <c r="U234" t="s">
        <v>35</v>
      </c>
      <c r="V234">
        <f t="shared" si="18"/>
        <v>0.4942528735632184</v>
      </c>
      <c r="W234">
        <f t="shared" si="19"/>
        <v>3</v>
      </c>
      <c r="X234">
        <f t="shared" si="20"/>
        <v>7</v>
      </c>
      <c r="Y234">
        <f t="shared" si="21"/>
        <v>0.37931034482758619</v>
      </c>
      <c r="Z234" s="7" t="str">
        <f t="shared" si="22"/>
        <v>Low Sales</v>
      </c>
      <c r="AA234" s="7" t="str">
        <f t="shared" si="23"/>
        <v>High Margin</v>
      </c>
    </row>
    <row r="235" spans="1:27" x14ac:dyDescent="0.25">
      <c r="A235" t="s">
        <v>156</v>
      </c>
      <c r="B235">
        <v>34</v>
      </c>
      <c r="C235">
        <v>5</v>
      </c>
      <c r="D235" s="1">
        <v>41415</v>
      </c>
      <c r="E235">
        <v>863</v>
      </c>
      <c r="F235">
        <v>51</v>
      </c>
      <c r="G235" t="s">
        <v>21</v>
      </c>
      <c r="H235" t="s">
        <v>31</v>
      </c>
      <c r="I235">
        <v>9</v>
      </c>
      <c r="J235" t="s">
        <v>23</v>
      </c>
      <c r="K235" t="s">
        <v>32</v>
      </c>
      <c r="L235" t="s">
        <v>37</v>
      </c>
      <c r="M235">
        <v>45</v>
      </c>
      <c r="N235">
        <v>91</v>
      </c>
      <c r="O235" t="s">
        <v>34</v>
      </c>
      <c r="P235">
        <v>30</v>
      </c>
      <c r="Q235">
        <v>50</v>
      </c>
      <c r="R235">
        <v>40</v>
      </c>
      <c r="S235">
        <v>80</v>
      </c>
      <c r="T235">
        <v>21</v>
      </c>
      <c r="U235" t="s">
        <v>35</v>
      </c>
      <c r="V235">
        <f t="shared" si="18"/>
        <v>0.49450549450549453</v>
      </c>
      <c r="W235">
        <f t="shared" si="19"/>
        <v>5</v>
      </c>
      <c r="X235">
        <f t="shared" si="20"/>
        <v>11</v>
      </c>
      <c r="Y235">
        <f t="shared" si="21"/>
        <v>0.37362637362637363</v>
      </c>
      <c r="Z235" s="7" t="str">
        <f t="shared" si="22"/>
        <v>Low Sales</v>
      </c>
      <c r="AA235" s="7" t="str">
        <f t="shared" si="23"/>
        <v>High Margin</v>
      </c>
    </row>
    <row r="236" spans="1:27" x14ac:dyDescent="0.25">
      <c r="A236" t="s">
        <v>114</v>
      </c>
      <c r="B236">
        <v>0</v>
      </c>
      <c r="C236">
        <v>7</v>
      </c>
      <c r="D236" s="1">
        <v>41416</v>
      </c>
      <c r="E236">
        <v>344</v>
      </c>
      <c r="F236">
        <v>43</v>
      </c>
      <c r="G236" t="s">
        <v>39</v>
      </c>
      <c r="H236" t="s">
        <v>22</v>
      </c>
      <c r="I236">
        <v>0</v>
      </c>
      <c r="J236" t="s">
        <v>40</v>
      </c>
      <c r="K236" t="s">
        <v>41</v>
      </c>
      <c r="L236" t="s">
        <v>42</v>
      </c>
      <c r="M236">
        <v>47</v>
      </c>
      <c r="N236">
        <v>46</v>
      </c>
      <c r="O236" t="s">
        <v>43</v>
      </c>
      <c r="P236">
        <v>0</v>
      </c>
      <c r="Q236">
        <v>50</v>
      </c>
      <c r="R236">
        <v>40</v>
      </c>
      <c r="S236">
        <v>50</v>
      </c>
      <c r="T236">
        <v>11</v>
      </c>
      <c r="U236" t="s">
        <v>27</v>
      </c>
      <c r="V236">
        <f t="shared" si="18"/>
        <v>1.0217391304347827</v>
      </c>
      <c r="W236">
        <f t="shared" si="19"/>
        <v>7</v>
      </c>
      <c r="X236">
        <f t="shared" si="20"/>
        <v>-4</v>
      </c>
      <c r="Y236">
        <f t="shared" si="21"/>
        <v>0</v>
      </c>
      <c r="Z236" s="7" t="str">
        <f t="shared" si="22"/>
        <v>Low Sales</v>
      </c>
      <c r="AA236" s="7" t="str">
        <f t="shared" si="23"/>
        <v>High Margin</v>
      </c>
    </row>
    <row r="237" spans="1:27" x14ac:dyDescent="0.25">
      <c r="A237" t="s">
        <v>79</v>
      </c>
      <c r="B237">
        <v>43</v>
      </c>
      <c r="C237">
        <v>20</v>
      </c>
      <c r="D237" s="1">
        <v>41417</v>
      </c>
      <c r="E237">
        <v>466</v>
      </c>
      <c r="F237">
        <v>63</v>
      </c>
      <c r="G237" t="s">
        <v>39</v>
      </c>
      <c r="H237" t="s">
        <v>29</v>
      </c>
      <c r="I237">
        <v>13</v>
      </c>
      <c r="J237" t="s">
        <v>40</v>
      </c>
      <c r="K237" t="s">
        <v>41</v>
      </c>
      <c r="L237" t="s">
        <v>42</v>
      </c>
      <c r="M237">
        <v>40</v>
      </c>
      <c r="N237">
        <v>113</v>
      </c>
      <c r="O237" t="s">
        <v>55</v>
      </c>
      <c r="P237">
        <v>30</v>
      </c>
      <c r="Q237">
        <v>50</v>
      </c>
      <c r="R237">
        <v>20</v>
      </c>
      <c r="S237">
        <v>80</v>
      </c>
      <c r="T237">
        <v>36</v>
      </c>
      <c r="U237" t="s">
        <v>27</v>
      </c>
      <c r="V237">
        <f t="shared" si="18"/>
        <v>0.35398230088495575</v>
      </c>
      <c r="W237">
        <f t="shared" si="19"/>
        <v>20</v>
      </c>
      <c r="X237">
        <f t="shared" si="20"/>
        <v>33</v>
      </c>
      <c r="Y237">
        <f t="shared" si="21"/>
        <v>0.38053097345132741</v>
      </c>
      <c r="Z237" s="7" t="str">
        <f t="shared" si="22"/>
        <v>Low Sales</v>
      </c>
      <c r="AA237" s="7" t="str">
        <f t="shared" si="23"/>
        <v>High Margin</v>
      </c>
    </row>
    <row r="238" spans="1:27" x14ac:dyDescent="0.25">
      <c r="A238" t="s">
        <v>76</v>
      </c>
      <c r="B238">
        <v>31</v>
      </c>
      <c r="C238">
        <v>-18</v>
      </c>
      <c r="D238" s="1">
        <v>41418</v>
      </c>
      <c r="E238">
        <v>1009</v>
      </c>
      <c r="F238">
        <v>38</v>
      </c>
      <c r="G238" t="s">
        <v>39</v>
      </c>
      <c r="H238" t="s">
        <v>36</v>
      </c>
      <c r="I238">
        <v>9</v>
      </c>
      <c r="J238" t="s">
        <v>40</v>
      </c>
      <c r="K238" t="s">
        <v>45</v>
      </c>
      <c r="L238" t="s">
        <v>46</v>
      </c>
      <c r="M238">
        <v>12</v>
      </c>
      <c r="N238">
        <v>74</v>
      </c>
      <c r="O238" t="s">
        <v>48</v>
      </c>
      <c r="P238">
        <v>30</v>
      </c>
      <c r="Q238">
        <v>50</v>
      </c>
      <c r="R238">
        <v>30</v>
      </c>
      <c r="S238">
        <v>80</v>
      </c>
      <c r="T238">
        <v>30</v>
      </c>
      <c r="U238" t="s">
        <v>27</v>
      </c>
      <c r="V238">
        <f t="shared" si="18"/>
        <v>0.16216216216216217</v>
      </c>
      <c r="W238">
        <f t="shared" si="19"/>
        <v>-18</v>
      </c>
      <c r="X238">
        <f t="shared" si="20"/>
        <v>-6</v>
      </c>
      <c r="Y238">
        <f t="shared" si="21"/>
        <v>0.41891891891891891</v>
      </c>
      <c r="Z238" s="7" t="str">
        <f t="shared" si="22"/>
        <v>Low Sales</v>
      </c>
      <c r="AA238" s="7" t="str">
        <f t="shared" si="23"/>
        <v>High Margin</v>
      </c>
    </row>
    <row r="239" spans="1:27" x14ac:dyDescent="0.25">
      <c r="A239" t="s">
        <v>142</v>
      </c>
      <c r="B239">
        <v>23</v>
      </c>
      <c r="C239">
        <v>-15</v>
      </c>
      <c r="D239" s="1">
        <v>41419</v>
      </c>
      <c r="E239">
        <v>807</v>
      </c>
      <c r="F239">
        <v>35</v>
      </c>
      <c r="G239" t="s">
        <v>39</v>
      </c>
      <c r="H239" t="s">
        <v>22</v>
      </c>
      <c r="I239">
        <v>6</v>
      </c>
      <c r="J239" t="s">
        <v>40</v>
      </c>
      <c r="K239" t="s">
        <v>41</v>
      </c>
      <c r="L239" t="s">
        <v>53</v>
      </c>
      <c r="M239">
        <v>25</v>
      </c>
      <c r="N239">
        <v>62</v>
      </c>
      <c r="O239" t="s">
        <v>43</v>
      </c>
      <c r="P239">
        <v>20</v>
      </c>
      <c r="Q239">
        <v>50</v>
      </c>
      <c r="R239">
        <v>40</v>
      </c>
      <c r="S239">
        <v>70</v>
      </c>
      <c r="T239">
        <v>18</v>
      </c>
      <c r="U239" t="s">
        <v>35</v>
      </c>
      <c r="V239">
        <f t="shared" si="18"/>
        <v>0.40322580645161288</v>
      </c>
      <c r="W239">
        <f t="shared" si="19"/>
        <v>-15</v>
      </c>
      <c r="X239">
        <f t="shared" si="20"/>
        <v>-8</v>
      </c>
      <c r="Y239">
        <f t="shared" si="21"/>
        <v>0.37096774193548387</v>
      </c>
      <c r="Z239" s="7" t="str">
        <f t="shared" si="22"/>
        <v>Low Sales</v>
      </c>
      <c r="AA239" s="7" t="str">
        <f t="shared" si="23"/>
        <v>High Margin</v>
      </c>
    </row>
    <row r="240" spans="1:27" x14ac:dyDescent="0.25">
      <c r="A240" t="s">
        <v>97</v>
      </c>
      <c r="B240">
        <v>41</v>
      </c>
      <c r="C240">
        <v>26</v>
      </c>
      <c r="D240" s="1">
        <v>41420</v>
      </c>
      <c r="E240">
        <v>320</v>
      </c>
      <c r="F240">
        <v>66</v>
      </c>
      <c r="G240" t="s">
        <v>39</v>
      </c>
      <c r="H240" t="s">
        <v>29</v>
      </c>
      <c r="I240">
        <v>12</v>
      </c>
      <c r="J240" t="s">
        <v>40</v>
      </c>
      <c r="K240" t="s">
        <v>41</v>
      </c>
      <c r="L240" t="s">
        <v>53</v>
      </c>
      <c r="M240">
        <v>46</v>
      </c>
      <c r="N240">
        <v>114</v>
      </c>
      <c r="O240" t="s">
        <v>55</v>
      </c>
      <c r="P240">
        <v>30</v>
      </c>
      <c r="Q240">
        <v>50</v>
      </c>
      <c r="R240">
        <v>20</v>
      </c>
      <c r="S240">
        <v>80</v>
      </c>
      <c r="T240">
        <v>35</v>
      </c>
      <c r="U240" t="s">
        <v>35</v>
      </c>
      <c r="V240">
        <f t="shared" si="18"/>
        <v>0.40350877192982454</v>
      </c>
      <c r="W240">
        <f t="shared" si="19"/>
        <v>26</v>
      </c>
      <c r="X240">
        <f t="shared" si="20"/>
        <v>34</v>
      </c>
      <c r="Y240">
        <f t="shared" si="21"/>
        <v>0.35964912280701755</v>
      </c>
      <c r="Z240" s="7" t="str">
        <f t="shared" si="22"/>
        <v>Low Sales</v>
      </c>
      <c r="AA240" s="7" t="str">
        <f t="shared" si="23"/>
        <v>High Margin</v>
      </c>
    </row>
    <row r="241" spans="1:27" x14ac:dyDescent="0.25">
      <c r="A241" t="s">
        <v>85</v>
      </c>
      <c r="B241">
        <v>46</v>
      </c>
      <c r="C241">
        <v>-1</v>
      </c>
      <c r="D241" s="1">
        <v>41421</v>
      </c>
      <c r="E241">
        <v>422</v>
      </c>
      <c r="F241">
        <v>57</v>
      </c>
      <c r="G241" t="s">
        <v>39</v>
      </c>
      <c r="H241" t="s">
        <v>36</v>
      </c>
      <c r="I241">
        <v>17</v>
      </c>
      <c r="J241" t="s">
        <v>40</v>
      </c>
      <c r="K241" t="s">
        <v>41</v>
      </c>
      <c r="L241" t="s">
        <v>54</v>
      </c>
      <c r="M241">
        <v>9</v>
      </c>
      <c r="N241">
        <v>110</v>
      </c>
      <c r="O241" t="s">
        <v>56</v>
      </c>
      <c r="P241">
        <v>40</v>
      </c>
      <c r="Q241">
        <v>50</v>
      </c>
      <c r="R241">
        <v>10</v>
      </c>
      <c r="S241">
        <v>90</v>
      </c>
      <c r="T241">
        <v>51</v>
      </c>
      <c r="U241" t="s">
        <v>35</v>
      </c>
      <c r="V241">
        <f t="shared" si="18"/>
        <v>8.1818181818181818E-2</v>
      </c>
      <c r="W241">
        <f t="shared" si="19"/>
        <v>-1</v>
      </c>
      <c r="X241">
        <f t="shared" si="20"/>
        <v>20</v>
      </c>
      <c r="Y241">
        <f t="shared" si="21"/>
        <v>0.41818181818181815</v>
      </c>
      <c r="Z241" s="7" t="str">
        <f t="shared" si="22"/>
        <v>Low Sales</v>
      </c>
      <c r="AA241" s="7" t="str">
        <f t="shared" si="23"/>
        <v>Low Margin</v>
      </c>
    </row>
    <row r="242" spans="1:27" x14ac:dyDescent="0.25">
      <c r="A242" t="s">
        <v>82</v>
      </c>
      <c r="B242">
        <v>43</v>
      </c>
      <c r="C242">
        <v>22</v>
      </c>
      <c r="D242" s="1">
        <v>41422</v>
      </c>
      <c r="E242">
        <v>466</v>
      </c>
      <c r="F242">
        <v>63</v>
      </c>
      <c r="G242" t="s">
        <v>39</v>
      </c>
      <c r="H242" t="s">
        <v>22</v>
      </c>
      <c r="I242">
        <v>13</v>
      </c>
      <c r="J242" t="s">
        <v>23</v>
      </c>
      <c r="K242" t="s">
        <v>32</v>
      </c>
      <c r="L242" t="s">
        <v>33</v>
      </c>
      <c r="M242">
        <v>42</v>
      </c>
      <c r="N242">
        <v>113</v>
      </c>
      <c r="O242" t="s">
        <v>59</v>
      </c>
      <c r="P242">
        <v>30</v>
      </c>
      <c r="Q242">
        <v>50</v>
      </c>
      <c r="R242">
        <v>20</v>
      </c>
      <c r="S242">
        <v>80</v>
      </c>
      <c r="T242">
        <v>35</v>
      </c>
      <c r="U242" t="s">
        <v>35</v>
      </c>
      <c r="V242">
        <f t="shared" si="18"/>
        <v>0.37168141592920356</v>
      </c>
      <c r="W242">
        <f t="shared" si="19"/>
        <v>22</v>
      </c>
      <c r="X242">
        <f t="shared" si="20"/>
        <v>33</v>
      </c>
      <c r="Y242">
        <f t="shared" si="21"/>
        <v>0.38053097345132741</v>
      </c>
      <c r="Z242" s="7" t="str">
        <f t="shared" si="22"/>
        <v>Low Sales</v>
      </c>
      <c r="AA242" s="7" t="str">
        <f t="shared" si="23"/>
        <v>High Margin</v>
      </c>
    </row>
    <row r="243" spans="1:27" x14ac:dyDescent="0.25">
      <c r="A243" t="s">
        <v>135</v>
      </c>
      <c r="B243">
        <v>33</v>
      </c>
      <c r="C243">
        <v>2</v>
      </c>
      <c r="D243" s="1">
        <v>41423</v>
      </c>
      <c r="E243">
        <v>818</v>
      </c>
      <c r="F243">
        <v>49</v>
      </c>
      <c r="G243" t="s">
        <v>39</v>
      </c>
      <c r="H243" t="s">
        <v>31</v>
      </c>
      <c r="I243">
        <v>9</v>
      </c>
      <c r="J243" t="s">
        <v>23</v>
      </c>
      <c r="K243" t="s">
        <v>32</v>
      </c>
      <c r="L243" t="s">
        <v>37</v>
      </c>
      <c r="M243">
        <v>42</v>
      </c>
      <c r="N243">
        <v>87</v>
      </c>
      <c r="O243" t="s">
        <v>44</v>
      </c>
      <c r="P243">
        <v>30</v>
      </c>
      <c r="Q243">
        <v>50</v>
      </c>
      <c r="R243">
        <v>40</v>
      </c>
      <c r="S243">
        <v>80</v>
      </c>
      <c r="T243">
        <v>21</v>
      </c>
      <c r="U243" t="s">
        <v>35</v>
      </c>
      <c r="V243">
        <f t="shared" si="18"/>
        <v>0.48275862068965519</v>
      </c>
      <c r="W243">
        <f t="shared" si="19"/>
        <v>2</v>
      </c>
      <c r="X243">
        <f t="shared" si="20"/>
        <v>7</v>
      </c>
      <c r="Y243">
        <f t="shared" si="21"/>
        <v>0.37931034482758619</v>
      </c>
      <c r="Z243" s="7" t="str">
        <f t="shared" si="22"/>
        <v>Low Sales</v>
      </c>
      <c r="AA243" s="7" t="str">
        <f t="shared" si="23"/>
        <v>High Margin</v>
      </c>
    </row>
    <row r="244" spans="1:27" x14ac:dyDescent="0.25">
      <c r="A244" t="s">
        <v>77</v>
      </c>
      <c r="B244">
        <v>49</v>
      </c>
      <c r="C244">
        <v>-6</v>
      </c>
      <c r="D244" s="1">
        <v>41424</v>
      </c>
      <c r="E244">
        <v>335</v>
      </c>
      <c r="F244">
        <v>69</v>
      </c>
      <c r="G244" t="s">
        <v>39</v>
      </c>
      <c r="H244" t="s">
        <v>36</v>
      </c>
      <c r="I244">
        <v>44</v>
      </c>
      <c r="J244" t="s">
        <v>23</v>
      </c>
      <c r="K244" t="s">
        <v>32</v>
      </c>
      <c r="L244" t="s">
        <v>33</v>
      </c>
      <c r="M244">
        <v>-6</v>
      </c>
      <c r="N244">
        <v>126</v>
      </c>
      <c r="O244" t="s">
        <v>49</v>
      </c>
      <c r="P244">
        <v>30</v>
      </c>
      <c r="Q244">
        <v>50</v>
      </c>
      <c r="R244">
        <v>0</v>
      </c>
      <c r="S244">
        <v>80</v>
      </c>
      <c r="T244">
        <v>73</v>
      </c>
      <c r="U244" t="s">
        <v>35</v>
      </c>
      <c r="V244">
        <f t="shared" si="18"/>
        <v>-4.7619047619047616E-2</v>
      </c>
      <c r="W244">
        <f t="shared" si="19"/>
        <v>-6</v>
      </c>
      <c r="X244">
        <f t="shared" si="20"/>
        <v>46</v>
      </c>
      <c r="Y244">
        <f t="shared" si="21"/>
        <v>0.3888888888888889</v>
      </c>
      <c r="Z244" s="7" t="str">
        <f t="shared" si="22"/>
        <v>Low Sales</v>
      </c>
      <c r="AA244" s="7" t="str">
        <f t="shared" si="23"/>
        <v>Low Margin</v>
      </c>
    </row>
    <row r="245" spans="1:27" x14ac:dyDescent="0.25">
      <c r="A245" t="s">
        <v>98</v>
      </c>
      <c r="B245">
        <v>55</v>
      </c>
      <c r="C245">
        <v>6</v>
      </c>
      <c r="D245" s="1">
        <v>41425</v>
      </c>
      <c r="E245">
        <v>627</v>
      </c>
      <c r="F245">
        <v>76</v>
      </c>
      <c r="G245" t="s">
        <v>39</v>
      </c>
      <c r="H245" t="s">
        <v>36</v>
      </c>
      <c r="I245">
        <v>49</v>
      </c>
      <c r="J245" t="s">
        <v>23</v>
      </c>
      <c r="K245" t="s">
        <v>32</v>
      </c>
      <c r="L245" t="s">
        <v>37</v>
      </c>
      <c r="M245">
        <v>-4</v>
      </c>
      <c r="N245">
        <v>140</v>
      </c>
      <c r="O245" t="s">
        <v>60</v>
      </c>
      <c r="P245">
        <v>40</v>
      </c>
      <c r="Q245">
        <v>50</v>
      </c>
      <c r="R245">
        <v>-10</v>
      </c>
      <c r="S245">
        <v>90</v>
      </c>
      <c r="T245">
        <v>79</v>
      </c>
      <c r="U245" t="s">
        <v>35</v>
      </c>
      <c r="V245">
        <f t="shared" si="18"/>
        <v>-2.8571428571428571E-2</v>
      </c>
      <c r="W245">
        <f t="shared" si="19"/>
        <v>6</v>
      </c>
      <c r="X245">
        <f t="shared" si="20"/>
        <v>50</v>
      </c>
      <c r="Y245">
        <f t="shared" si="21"/>
        <v>0.39285714285714285</v>
      </c>
      <c r="Z245" s="7" t="str">
        <f t="shared" si="22"/>
        <v>Low Sales</v>
      </c>
      <c r="AA245" s="7" t="str">
        <f t="shared" si="23"/>
        <v>Low Margin</v>
      </c>
    </row>
    <row r="246" spans="1:27" x14ac:dyDescent="0.25">
      <c r="A246" t="s">
        <v>157</v>
      </c>
      <c r="B246">
        <v>39</v>
      </c>
      <c r="C246">
        <v>-13</v>
      </c>
      <c r="D246" s="1">
        <v>41426</v>
      </c>
      <c r="E246">
        <v>541</v>
      </c>
      <c r="F246">
        <v>51</v>
      </c>
      <c r="G246" t="s">
        <v>21</v>
      </c>
      <c r="H246" t="s">
        <v>22</v>
      </c>
      <c r="I246">
        <v>12</v>
      </c>
      <c r="J246" t="s">
        <v>23</v>
      </c>
      <c r="K246" t="s">
        <v>24</v>
      </c>
      <c r="L246" t="s">
        <v>25</v>
      </c>
      <c r="M246">
        <v>27</v>
      </c>
      <c r="N246">
        <v>90</v>
      </c>
      <c r="O246" t="s">
        <v>63</v>
      </c>
      <c r="P246">
        <v>20</v>
      </c>
      <c r="Q246">
        <v>40</v>
      </c>
      <c r="R246">
        <v>40</v>
      </c>
      <c r="S246">
        <v>60</v>
      </c>
      <c r="T246">
        <v>24</v>
      </c>
      <c r="U246" t="s">
        <v>27</v>
      </c>
      <c r="V246">
        <f t="shared" si="18"/>
        <v>0.3</v>
      </c>
      <c r="W246">
        <f t="shared" si="19"/>
        <v>-13</v>
      </c>
      <c r="X246">
        <f t="shared" si="20"/>
        <v>30</v>
      </c>
      <c r="Y246">
        <f t="shared" si="21"/>
        <v>0.43333333333333335</v>
      </c>
      <c r="Z246" s="7" t="str">
        <f t="shared" si="22"/>
        <v>Low Sales</v>
      </c>
      <c r="AA246" s="7" t="str">
        <f t="shared" si="23"/>
        <v>High Margin</v>
      </c>
    </row>
    <row r="247" spans="1:27" x14ac:dyDescent="0.25">
      <c r="A247" t="s">
        <v>132</v>
      </c>
      <c r="B247">
        <v>39</v>
      </c>
      <c r="C247">
        <v>-14</v>
      </c>
      <c r="D247" s="1">
        <v>41427</v>
      </c>
      <c r="E247">
        <v>541</v>
      </c>
      <c r="F247">
        <v>51</v>
      </c>
      <c r="G247" t="s">
        <v>21</v>
      </c>
      <c r="H247" t="s">
        <v>36</v>
      </c>
      <c r="I247">
        <v>12</v>
      </c>
      <c r="J247" t="s">
        <v>23</v>
      </c>
      <c r="K247" t="s">
        <v>24</v>
      </c>
      <c r="L247" t="s">
        <v>28</v>
      </c>
      <c r="M247">
        <v>26</v>
      </c>
      <c r="N247">
        <v>90</v>
      </c>
      <c r="O247" t="s">
        <v>38</v>
      </c>
      <c r="P247">
        <v>20</v>
      </c>
      <c r="Q247">
        <v>40</v>
      </c>
      <c r="R247">
        <v>40</v>
      </c>
      <c r="S247">
        <v>60</v>
      </c>
      <c r="T247">
        <v>25</v>
      </c>
      <c r="U247" t="s">
        <v>27</v>
      </c>
      <c r="V247">
        <f t="shared" si="18"/>
        <v>0.28888888888888886</v>
      </c>
      <c r="W247">
        <f t="shared" si="19"/>
        <v>-14</v>
      </c>
      <c r="X247">
        <f t="shared" si="20"/>
        <v>30</v>
      </c>
      <c r="Y247">
        <f t="shared" si="21"/>
        <v>0.43333333333333335</v>
      </c>
      <c r="Z247" s="7" t="str">
        <f t="shared" si="22"/>
        <v>Low Sales</v>
      </c>
      <c r="AA247" s="7" t="str">
        <f t="shared" si="23"/>
        <v>High Margin</v>
      </c>
    </row>
    <row r="248" spans="1:27" x14ac:dyDescent="0.25">
      <c r="A248" t="s">
        <v>107</v>
      </c>
      <c r="B248">
        <v>86</v>
      </c>
      <c r="C248">
        <v>-36</v>
      </c>
      <c r="D248" s="1">
        <v>41428</v>
      </c>
      <c r="E248">
        <v>1698</v>
      </c>
      <c r="F248">
        <v>23</v>
      </c>
      <c r="G248" t="s">
        <v>39</v>
      </c>
      <c r="H248" t="s">
        <v>29</v>
      </c>
      <c r="I248">
        <v>26</v>
      </c>
      <c r="J248" t="s">
        <v>40</v>
      </c>
      <c r="K248" t="s">
        <v>45</v>
      </c>
      <c r="L248" t="s">
        <v>46</v>
      </c>
      <c r="M248">
        <v>-26</v>
      </c>
      <c r="N248">
        <v>109</v>
      </c>
      <c r="O248" t="s">
        <v>64</v>
      </c>
      <c r="P248">
        <v>110</v>
      </c>
      <c r="Q248">
        <v>40</v>
      </c>
      <c r="R248">
        <v>10</v>
      </c>
      <c r="S248">
        <v>150</v>
      </c>
      <c r="T248">
        <v>49</v>
      </c>
      <c r="U248" t="s">
        <v>27</v>
      </c>
      <c r="V248">
        <f t="shared" si="18"/>
        <v>-0.23853211009174313</v>
      </c>
      <c r="W248">
        <f t="shared" si="19"/>
        <v>-36</v>
      </c>
      <c r="X248">
        <f t="shared" si="20"/>
        <v>-41</v>
      </c>
      <c r="Y248">
        <f t="shared" si="21"/>
        <v>0.78899082568807344</v>
      </c>
      <c r="Z248" s="7" t="str">
        <f t="shared" si="22"/>
        <v>Low Sales</v>
      </c>
      <c r="AA248" s="7" t="str">
        <f t="shared" si="23"/>
        <v>Low Margin</v>
      </c>
    </row>
    <row r="249" spans="1:27" x14ac:dyDescent="0.25">
      <c r="A249" t="s">
        <v>79</v>
      </c>
      <c r="B249">
        <v>46</v>
      </c>
      <c r="C249">
        <v>-10</v>
      </c>
      <c r="D249" s="1">
        <v>41429</v>
      </c>
      <c r="E249">
        <v>449</v>
      </c>
      <c r="F249">
        <v>67</v>
      </c>
      <c r="G249" t="s">
        <v>39</v>
      </c>
      <c r="H249" t="s">
        <v>29</v>
      </c>
      <c r="I249">
        <v>14</v>
      </c>
      <c r="J249" t="s">
        <v>40</v>
      </c>
      <c r="K249" t="s">
        <v>41</v>
      </c>
      <c r="L249" t="s">
        <v>42</v>
      </c>
      <c r="M249">
        <v>30</v>
      </c>
      <c r="N249">
        <v>113</v>
      </c>
      <c r="O249" t="s">
        <v>55</v>
      </c>
      <c r="P249">
        <v>20</v>
      </c>
      <c r="Q249">
        <v>40</v>
      </c>
      <c r="R249">
        <v>40</v>
      </c>
      <c r="S249">
        <v>60</v>
      </c>
      <c r="T249">
        <v>37</v>
      </c>
      <c r="U249" t="s">
        <v>27</v>
      </c>
      <c r="V249">
        <f t="shared" si="18"/>
        <v>0.26548672566371684</v>
      </c>
      <c r="W249">
        <f t="shared" si="19"/>
        <v>-10</v>
      </c>
      <c r="X249">
        <f t="shared" si="20"/>
        <v>53</v>
      </c>
      <c r="Y249">
        <f t="shared" si="21"/>
        <v>0.40707964601769914</v>
      </c>
      <c r="Z249" s="7" t="str">
        <f t="shared" si="22"/>
        <v>Low Sales</v>
      </c>
      <c r="AA249" s="7" t="str">
        <f t="shared" si="23"/>
        <v>High Margin</v>
      </c>
    </row>
    <row r="250" spans="1:27" x14ac:dyDescent="0.25">
      <c r="A250" t="s">
        <v>142</v>
      </c>
      <c r="B250">
        <v>31</v>
      </c>
      <c r="C250">
        <v>-23</v>
      </c>
      <c r="D250" s="1">
        <v>41430</v>
      </c>
      <c r="E250">
        <v>1000</v>
      </c>
      <c r="F250">
        <v>37</v>
      </c>
      <c r="G250" t="s">
        <v>39</v>
      </c>
      <c r="H250" t="s">
        <v>22</v>
      </c>
      <c r="I250">
        <v>9</v>
      </c>
      <c r="J250" t="s">
        <v>40</v>
      </c>
      <c r="K250" t="s">
        <v>45</v>
      </c>
      <c r="L250" t="s">
        <v>52</v>
      </c>
      <c r="M250">
        <v>7</v>
      </c>
      <c r="N250">
        <v>68</v>
      </c>
      <c r="O250" t="s">
        <v>43</v>
      </c>
      <c r="P250">
        <v>20</v>
      </c>
      <c r="Q250">
        <v>40</v>
      </c>
      <c r="R250">
        <v>30</v>
      </c>
      <c r="S250">
        <v>60</v>
      </c>
      <c r="T250">
        <v>30</v>
      </c>
      <c r="U250" t="s">
        <v>35</v>
      </c>
      <c r="V250">
        <f t="shared" si="18"/>
        <v>0.10294117647058823</v>
      </c>
      <c r="W250">
        <f t="shared" si="19"/>
        <v>-23</v>
      </c>
      <c r="X250">
        <f t="shared" si="20"/>
        <v>8</v>
      </c>
      <c r="Y250">
        <f t="shared" si="21"/>
        <v>0.45588235294117646</v>
      </c>
      <c r="Z250" s="7" t="str">
        <f t="shared" si="22"/>
        <v>Low Sales</v>
      </c>
      <c r="AA250" s="7" t="str">
        <f t="shared" si="23"/>
        <v>Low Margin</v>
      </c>
    </row>
    <row r="251" spans="1:27" x14ac:dyDescent="0.25">
      <c r="A251" t="s">
        <v>107</v>
      </c>
      <c r="B251">
        <v>45</v>
      </c>
      <c r="C251">
        <v>-16</v>
      </c>
      <c r="D251" s="1">
        <v>41431</v>
      </c>
      <c r="E251">
        <v>320</v>
      </c>
      <c r="F251">
        <v>64</v>
      </c>
      <c r="G251" t="s">
        <v>39</v>
      </c>
      <c r="H251" t="s">
        <v>29</v>
      </c>
      <c r="I251">
        <v>41</v>
      </c>
      <c r="J251" t="s">
        <v>40</v>
      </c>
      <c r="K251" t="s">
        <v>41</v>
      </c>
      <c r="L251" t="s">
        <v>53</v>
      </c>
      <c r="M251">
        <v>-6</v>
      </c>
      <c r="N251">
        <v>109</v>
      </c>
      <c r="O251" t="s">
        <v>64</v>
      </c>
      <c r="P251">
        <v>20</v>
      </c>
      <c r="Q251">
        <v>40</v>
      </c>
      <c r="R251">
        <v>10</v>
      </c>
      <c r="S251">
        <v>60</v>
      </c>
      <c r="T251">
        <v>70</v>
      </c>
      <c r="U251" t="s">
        <v>35</v>
      </c>
      <c r="V251">
        <f t="shared" si="18"/>
        <v>-5.5045871559633031E-2</v>
      </c>
      <c r="W251">
        <f t="shared" si="19"/>
        <v>-16</v>
      </c>
      <c r="X251">
        <f t="shared" si="20"/>
        <v>49</v>
      </c>
      <c r="Y251">
        <f t="shared" si="21"/>
        <v>0.41284403669724773</v>
      </c>
      <c r="Z251" s="7" t="str">
        <f t="shared" si="22"/>
        <v>Low Sales</v>
      </c>
      <c r="AA251" s="7" t="str">
        <f t="shared" si="23"/>
        <v>Low Margin</v>
      </c>
    </row>
    <row r="252" spans="1:27" x14ac:dyDescent="0.25">
      <c r="A252" t="s">
        <v>83</v>
      </c>
      <c r="B252">
        <v>32</v>
      </c>
      <c r="C252">
        <v>-12</v>
      </c>
      <c r="D252" s="1">
        <v>41432</v>
      </c>
      <c r="E252">
        <v>833</v>
      </c>
      <c r="F252">
        <v>47</v>
      </c>
      <c r="G252" t="s">
        <v>39</v>
      </c>
      <c r="H252" t="s">
        <v>36</v>
      </c>
      <c r="I252">
        <v>8</v>
      </c>
      <c r="J252" t="s">
        <v>40</v>
      </c>
      <c r="K252" t="s">
        <v>41</v>
      </c>
      <c r="L252" t="s">
        <v>54</v>
      </c>
      <c r="M252">
        <v>28</v>
      </c>
      <c r="N252">
        <v>79</v>
      </c>
      <c r="O252" t="s">
        <v>49</v>
      </c>
      <c r="P252">
        <v>20</v>
      </c>
      <c r="Q252">
        <v>40</v>
      </c>
      <c r="R252">
        <v>40</v>
      </c>
      <c r="S252">
        <v>60</v>
      </c>
      <c r="T252">
        <v>19</v>
      </c>
      <c r="U252" t="s">
        <v>35</v>
      </c>
      <c r="V252">
        <f t="shared" si="18"/>
        <v>0.35443037974683544</v>
      </c>
      <c r="W252">
        <f t="shared" si="19"/>
        <v>-12</v>
      </c>
      <c r="X252">
        <f t="shared" si="20"/>
        <v>19</v>
      </c>
      <c r="Y252">
        <f t="shared" si="21"/>
        <v>0.4050632911392405</v>
      </c>
      <c r="Z252" s="7" t="str">
        <f t="shared" si="22"/>
        <v>Low Sales</v>
      </c>
      <c r="AA252" s="7" t="str">
        <f t="shared" si="23"/>
        <v>High Margin</v>
      </c>
    </row>
    <row r="253" spans="1:27" x14ac:dyDescent="0.25">
      <c r="A253" t="s">
        <v>107</v>
      </c>
      <c r="B253">
        <v>31</v>
      </c>
      <c r="C253">
        <v>-24</v>
      </c>
      <c r="D253" s="1">
        <v>41433</v>
      </c>
      <c r="E253">
        <v>1000</v>
      </c>
      <c r="F253">
        <v>37</v>
      </c>
      <c r="G253" t="s">
        <v>39</v>
      </c>
      <c r="H253" t="s">
        <v>29</v>
      </c>
      <c r="I253">
        <v>9</v>
      </c>
      <c r="J253" t="s">
        <v>23</v>
      </c>
      <c r="K253" t="s">
        <v>24</v>
      </c>
      <c r="L253" t="s">
        <v>25</v>
      </c>
      <c r="M253">
        <v>6</v>
      </c>
      <c r="N253">
        <v>68</v>
      </c>
      <c r="O253" t="s">
        <v>64</v>
      </c>
      <c r="P253">
        <v>10</v>
      </c>
      <c r="Q253">
        <v>40</v>
      </c>
      <c r="R253">
        <v>30</v>
      </c>
      <c r="S253">
        <v>50</v>
      </c>
      <c r="T253">
        <v>31</v>
      </c>
      <c r="U253" t="s">
        <v>27</v>
      </c>
      <c r="V253">
        <f t="shared" si="18"/>
        <v>8.8235294117647065E-2</v>
      </c>
      <c r="W253">
        <f t="shared" si="19"/>
        <v>-24</v>
      </c>
      <c r="X253">
        <f t="shared" si="20"/>
        <v>18</v>
      </c>
      <c r="Y253">
        <f t="shared" si="21"/>
        <v>0.45588235294117646</v>
      </c>
      <c r="Z253" s="7" t="str">
        <f t="shared" si="22"/>
        <v>Low Sales</v>
      </c>
      <c r="AA253" s="7" t="str">
        <f t="shared" si="23"/>
        <v>Low Margin</v>
      </c>
    </row>
    <row r="254" spans="1:27" x14ac:dyDescent="0.25">
      <c r="A254" t="s">
        <v>122</v>
      </c>
      <c r="B254">
        <v>39</v>
      </c>
      <c r="C254">
        <v>-17</v>
      </c>
      <c r="D254" s="1">
        <v>41434</v>
      </c>
      <c r="E254">
        <v>244</v>
      </c>
      <c r="F254">
        <v>53</v>
      </c>
      <c r="G254" t="s">
        <v>39</v>
      </c>
      <c r="H254" t="s">
        <v>22</v>
      </c>
      <c r="I254">
        <v>12</v>
      </c>
      <c r="J254" t="s">
        <v>23</v>
      </c>
      <c r="K254" t="s">
        <v>32</v>
      </c>
      <c r="L254" t="s">
        <v>33</v>
      </c>
      <c r="M254">
        <v>13</v>
      </c>
      <c r="N254">
        <v>92</v>
      </c>
      <c r="O254" t="s">
        <v>58</v>
      </c>
      <c r="P254">
        <v>20</v>
      </c>
      <c r="Q254">
        <v>40</v>
      </c>
      <c r="R254">
        <v>30</v>
      </c>
      <c r="S254">
        <v>60</v>
      </c>
      <c r="T254">
        <v>40</v>
      </c>
      <c r="U254" t="s">
        <v>35</v>
      </c>
      <c r="V254">
        <f t="shared" si="18"/>
        <v>0.14130434782608695</v>
      </c>
      <c r="W254">
        <f t="shared" si="19"/>
        <v>-17</v>
      </c>
      <c r="X254">
        <f t="shared" si="20"/>
        <v>32</v>
      </c>
      <c r="Y254">
        <f t="shared" si="21"/>
        <v>0.42391304347826086</v>
      </c>
      <c r="Z254" s="7" t="str">
        <f t="shared" si="22"/>
        <v>Low Sales</v>
      </c>
      <c r="AA254" s="7" t="str">
        <f t="shared" si="23"/>
        <v>High Margin</v>
      </c>
    </row>
    <row r="255" spans="1:27" x14ac:dyDescent="0.25">
      <c r="A255" t="s">
        <v>135</v>
      </c>
      <c r="B255">
        <v>24</v>
      </c>
      <c r="C255">
        <v>-22</v>
      </c>
      <c r="D255" s="1">
        <v>41435</v>
      </c>
      <c r="E255">
        <v>806</v>
      </c>
      <c r="F255">
        <v>36</v>
      </c>
      <c r="G255" t="s">
        <v>39</v>
      </c>
      <c r="H255" t="s">
        <v>31</v>
      </c>
      <c r="I255">
        <v>6</v>
      </c>
      <c r="J255" t="s">
        <v>23</v>
      </c>
      <c r="K255" t="s">
        <v>32</v>
      </c>
      <c r="L255" t="s">
        <v>37</v>
      </c>
      <c r="M255">
        <v>18</v>
      </c>
      <c r="N255">
        <v>60</v>
      </c>
      <c r="O255" t="s">
        <v>44</v>
      </c>
      <c r="P255">
        <v>20</v>
      </c>
      <c r="Q255">
        <v>40</v>
      </c>
      <c r="R255">
        <v>40</v>
      </c>
      <c r="S255">
        <v>60</v>
      </c>
      <c r="T255">
        <v>18</v>
      </c>
      <c r="U255" t="s">
        <v>35</v>
      </c>
      <c r="V255">
        <f t="shared" si="18"/>
        <v>0.3</v>
      </c>
      <c r="W255">
        <f t="shared" si="19"/>
        <v>-22</v>
      </c>
      <c r="X255">
        <f t="shared" si="20"/>
        <v>0</v>
      </c>
      <c r="Y255">
        <f t="shared" si="21"/>
        <v>0.4</v>
      </c>
      <c r="Z255" s="7" t="str">
        <f t="shared" si="22"/>
        <v>Low Sales</v>
      </c>
      <c r="AA255" s="7" t="str">
        <f t="shared" si="23"/>
        <v>High Margin</v>
      </c>
    </row>
    <row r="256" spans="1:27" x14ac:dyDescent="0.25">
      <c r="A256" t="s">
        <v>78</v>
      </c>
      <c r="B256">
        <v>0</v>
      </c>
      <c r="C256">
        <v>-8</v>
      </c>
      <c r="D256" s="1">
        <v>41436</v>
      </c>
      <c r="E256">
        <v>430</v>
      </c>
      <c r="F256">
        <v>43</v>
      </c>
      <c r="G256" t="s">
        <v>39</v>
      </c>
      <c r="H256" t="s">
        <v>31</v>
      </c>
      <c r="I256">
        <v>0</v>
      </c>
      <c r="J256" t="s">
        <v>23</v>
      </c>
      <c r="K256" t="s">
        <v>32</v>
      </c>
      <c r="L256" t="s">
        <v>37</v>
      </c>
      <c r="M256">
        <v>32</v>
      </c>
      <c r="N256">
        <v>43</v>
      </c>
      <c r="O256" t="s">
        <v>51</v>
      </c>
      <c r="P256">
        <v>0</v>
      </c>
      <c r="Q256">
        <v>40</v>
      </c>
      <c r="R256">
        <v>40</v>
      </c>
      <c r="S256">
        <v>40</v>
      </c>
      <c r="T256">
        <v>11</v>
      </c>
      <c r="U256" t="s">
        <v>35</v>
      </c>
      <c r="V256">
        <f t="shared" si="18"/>
        <v>0.7441860465116279</v>
      </c>
      <c r="W256">
        <f t="shared" si="19"/>
        <v>-8</v>
      </c>
      <c r="X256">
        <f t="shared" si="20"/>
        <v>3</v>
      </c>
      <c r="Y256">
        <f t="shared" si="21"/>
        <v>0</v>
      </c>
      <c r="Z256" s="7" t="str">
        <f t="shared" si="22"/>
        <v>Low Sales</v>
      </c>
      <c r="AA256" s="7" t="str">
        <f t="shared" si="23"/>
        <v>High Margin</v>
      </c>
    </row>
    <row r="257" spans="1:27" x14ac:dyDescent="0.25">
      <c r="A257" t="s">
        <v>83</v>
      </c>
      <c r="B257">
        <v>45</v>
      </c>
      <c r="C257">
        <v>-26</v>
      </c>
      <c r="D257" s="1">
        <v>41437</v>
      </c>
      <c r="E257">
        <v>320</v>
      </c>
      <c r="F257">
        <v>64</v>
      </c>
      <c r="G257" t="s">
        <v>39</v>
      </c>
      <c r="H257" t="s">
        <v>36</v>
      </c>
      <c r="I257">
        <v>41</v>
      </c>
      <c r="J257" t="s">
        <v>23</v>
      </c>
      <c r="K257" t="s">
        <v>32</v>
      </c>
      <c r="L257" t="s">
        <v>33</v>
      </c>
      <c r="M257">
        <v>-6</v>
      </c>
      <c r="N257">
        <v>109</v>
      </c>
      <c r="O257" t="s">
        <v>49</v>
      </c>
      <c r="P257">
        <v>10</v>
      </c>
      <c r="Q257">
        <v>40</v>
      </c>
      <c r="R257">
        <v>20</v>
      </c>
      <c r="S257">
        <v>50</v>
      </c>
      <c r="T257">
        <v>70</v>
      </c>
      <c r="U257" t="s">
        <v>35</v>
      </c>
      <c r="V257">
        <f t="shared" si="18"/>
        <v>-5.5045871559633031E-2</v>
      </c>
      <c r="W257">
        <f t="shared" si="19"/>
        <v>-26</v>
      </c>
      <c r="X257">
        <f t="shared" si="20"/>
        <v>59</v>
      </c>
      <c r="Y257">
        <f t="shared" si="21"/>
        <v>0.41284403669724773</v>
      </c>
      <c r="Z257" s="7" t="str">
        <f t="shared" si="22"/>
        <v>Low Sales</v>
      </c>
      <c r="AA257" s="7" t="str">
        <f t="shared" si="23"/>
        <v>Low Margin</v>
      </c>
    </row>
    <row r="258" spans="1:27" x14ac:dyDescent="0.25">
      <c r="A258" t="s">
        <v>100</v>
      </c>
      <c r="B258">
        <v>60</v>
      </c>
      <c r="C258">
        <v>-10</v>
      </c>
      <c r="D258" s="1">
        <v>41438</v>
      </c>
      <c r="E258">
        <v>606</v>
      </c>
      <c r="F258">
        <v>84</v>
      </c>
      <c r="G258" t="s">
        <v>39</v>
      </c>
      <c r="H258" t="s">
        <v>36</v>
      </c>
      <c r="I258">
        <v>54</v>
      </c>
      <c r="J258" t="s">
        <v>23</v>
      </c>
      <c r="K258" t="s">
        <v>32</v>
      </c>
      <c r="L258" t="s">
        <v>37</v>
      </c>
      <c r="M258">
        <v>0</v>
      </c>
      <c r="N258">
        <v>144</v>
      </c>
      <c r="O258" t="s">
        <v>60</v>
      </c>
      <c r="P258">
        <v>20</v>
      </c>
      <c r="Q258">
        <v>40</v>
      </c>
      <c r="R258">
        <v>10</v>
      </c>
      <c r="S258">
        <v>60</v>
      </c>
      <c r="T258">
        <v>84</v>
      </c>
      <c r="U258" t="s">
        <v>35</v>
      </c>
      <c r="V258">
        <f t="shared" ref="V258:V321" si="24">M258/N258</f>
        <v>0</v>
      </c>
      <c r="W258">
        <f t="shared" ref="W258:W321" si="25">M258-R258</f>
        <v>-10</v>
      </c>
      <c r="X258">
        <f t="shared" ref="X258:X321" si="26">N258-S258</f>
        <v>84</v>
      </c>
      <c r="Y258">
        <f t="shared" ref="Y258:Y321" si="27">B258/N258</f>
        <v>0.41666666666666669</v>
      </c>
      <c r="Z258" s="7" t="str">
        <f t="shared" ref="Z258:Z321" si="28">IF(N258&gt;=AVERAGE(N258:N1319),"High Sales","Low Sales")</f>
        <v>Low Sales</v>
      </c>
      <c r="AA258" s="7" t="str">
        <f t="shared" ref="AA258:AA321" si="29">IF(V258&gt;=AVERAGE(V258:V1319), "High Margin", "Low Margin")</f>
        <v>Low Margin</v>
      </c>
    </row>
    <row r="259" spans="1:27" x14ac:dyDescent="0.25">
      <c r="A259" t="s">
        <v>158</v>
      </c>
      <c r="B259">
        <v>32</v>
      </c>
      <c r="C259">
        <v>-1</v>
      </c>
      <c r="D259" s="1">
        <v>41439</v>
      </c>
      <c r="E259">
        <v>482</v>
      </c>
      <c r="F259">
        <v>48</v>
      </c>
      <c r="G259" t="s">
        <v>21</v>
      </c>
      <c r="H259" t="s">
        <v>22</v>
      </c>
      <c r="I259">
        <v>8</v>
      </c>
      <c r="J259" t="s">
        <v>23</v>
      </c>
      <c r="K259" t="s">
        <v>24</v>
      </c>
      <c r="L259" t="s">
        <v>57</v>
      </c>
      <c r="M259">
        <v>29</v>
      </c>
      <c r="N259">
        <v>80</v>
      </c>
      <c r="O259" t="s">
        <v>65</v>
      </c>
      <c r="P259">
        <v>30</v>
      </c>
      <c r="Q259">
        <v>40</v>
      </c>
      <c r="R259">
        <v>30</v>
      </c>
      <c r="S259">
        <v>70</v>
      </c>
      <c r="T259">
        <v>19</v>
      </c>
      <c r="U259" t="s">
        <v>27</v>
      </c>
      <c r="V259">
        <f t="shared" si="24"/>
        <v>0.36249999999999999</v>
      </c>
      <c r="W259">
        <f t="shared" si="25"/>
        <v>-1</v>
      </c>
      <c r="X259">
        <f t="shared" si="26"/>
        <v>10</v>
      </c>
      <c r="Y259">
        <f t="shared" si="27"/>
        <v>0.4</v>
      </c>
      <c r="Z259" s="7" t="str">
        <f t="shared" si="28"/>
        <v>Low Sales</v>
      </c>
      <c r="AA259" s="7" t="str">
        <f t="shared" si="29"/>
        <v>High Margin</v>
      </c>
    </row>
    <row r="260" spans="1:27" x14ac:dyDescent="0.25">
      <c r="A260" t="s">
        <v>127</v>
      </c>
      <c r="B260">
        <v>54</v>
      </c>
      <c r="C260">
        <v>3</v>
      </c>
      <c r="D260" s="1">
        <v>41440</v>
      </c>
      <c r="E260">
        <v>391</v>
      </c>
      <c r="F260">
        <v>67</v>
      </c>
      <c r="G260" t="s">
        <v>21</v>
      </c>
      <c r="H260" t="s">
        <v>31</v>
      </c>
      <c r="I260">
        <v>20</v>
      </c>
      <c r="J260" t="s">
        <v>23</v>
      </c>
      <c r="K260" t="s">
        <v>24</v>
      </c>
      <c r="L260" t="s">
        <v>25</v>
      </c>
      <c r="M260">
        <v>13</v>
      </c>
      <c r="N260">
        <v>121</v>
      </c>
      <c r="O260" t="s">
        <v>34</v>
      </c>
      <c r="P260">
        <v>40</v>
      </c>
      <c r="Q260">
        <v>40</v>
      </c>
      <c r="R260">
        <v>10</v>
      </c>
      <c r="S260">
        <v>80</v>
      </c>
      <c r="T260">
        <v>54</v>
      </c>
      <c r="U260" t="s">
        <v>27</v>
      </c>
      <c r="V260">
        <f t="shared" si="24"/>
        <v>0.10743801652892562</v>
      </c>
      <c r="W260">
        <f t="shared" si="25"/>
        <v>3</v>
      </c>
      <c r="X260">
        <f t="shared" si="26"/>
        <v>41</v>
      </c>
      <c r="Y260">
        <f t="shared" si="27"/>
        <v>0.4462809917355372</v>
      </c>
      <c r="Z260" s="7" t="str">
        <f t="shared" si="28"/>
        <v>Low Sales</v>
      </c>
      <c r="AA260" s="7" t="str">
        <f t="shared" si="29"/>
        <v>Low Margin</v>
      </c>
    </row>
    <row r="261" spans="1:27" x14ac:dyDescent="0.25">
      <c r="A261" t="s">
        <v>133</v>
      </c>
      <c r="B261">
        <v>22</v>
      </c>
      <c r="C261">
        <v>-19</v>
      </c>
      <c r="D261" s="1">
        <v>41441</v>
      </c>
      <c r="E261">
        <v>570</v>
      </c>
      <c r="F261">
        <v>30</v>
      </c>
      <c r="G261" t="s">
        <v>39</v>
      </c>
      <c r="H261" t="s">
        <v>22</v>
      </c>
      <c r="I261">
        <v>7</v>
      </c>
      <c r="J261" t="s">
        <v>40</v>
      </c>
      <c r="K261" t="s">
        <v>41</v>
      </c>
      <c r="L261" t="s">
        <v>42</v>
      </c>
      <c r="M261">
        <v>11</v>
      </c>
      <c r="N261">
        <v>52</v>
      </c>
      <c r="O261" t="s">
        <v>59</v>
      </c>
      <c r="P261">
        <v>20</v>
      </c>
      <c r="Q261">
        <v>40</v>
      </c>
      <c r="R261">
        <v>30</v>
      </c>
      <c r="S261">
        <v>60</v>
      </c>
      <c r="T261">
        <v>19</v>
      </c>
      <c r="U261" t="s">
        <v>27</v>
      </c>
      <c r="V261">
        <f t="shared" si="24"/>
        <v>0.21153846153846154</v>
      </c>
      <c r="W261">
        <f t="shared" si="25"/>
        <v>-19</v>
      </c>
      <c r="X261">
        <f t="shared" si="26"/>
        <v>-8</v>
      </c>
      <c r="Y261">
        <f t="shared" si="27"/>
        <v>0.42307692307692307</v>
      </c>
      <c r="Z261" s="7" t="str">
        <f t="shared" si="28"/>
        <v>Low Sales</v>
      </c>
      <c r="AA261" s="7" t="str">
        <f t="shared" si="29"/>
        <v>High Margin</v>
      </c>
    </row>
    <row r="262" spans="1:27" x14ac:dyDescent="0.25">
      <c r="A262" t="s">
        <v>107</v>
      </c>
      <c r="B262">
        <v>35</v>
      </c>
      <c r="C262">
        <v>-12</v>
      </c>
      <c r="D262" s="1">
        <v>41442</v>
      </c>
      <c r="E262">
        <v>248</v>
      </c>
      <c r="F262">
        <v>47</v>
      </c>
      <c r="G262" t="s">
        <v>39</v>
      </c>
      <c r="H262" t="s">
        <v>29</v>
      </c>
      <c r="I262">
        <v>11</v>
      </c>
      <c r="J262" t="s">
        <v>40</v>
      </c>
      <c r="K262" t="s">
        <v>41</v>
      </c>
      <c r="L262" t="s">
        <v>42</v>
      </c>
      <c r="M262">
        <v>8</v>
      </c>
      <c r="N262">
        <v>82</v>
      </c>
      <c r="O262" t="s">
        <v>64</v>
      </c>
      <c r="P262">
        <v>20</v>
      </c>
      <c r="Q262">
        <v>40</v>
      </c>
      <c r="R262">
        <v>20</v>
      </c>
      <c r="S262">
        <v>60</v>
      </c>
      <c r="T262">
        <v>39</v>
      </c>
      <c r="U262" t="s">
        <v>27</v>
      </c>
      <c r="V262">
        <f t="shared" si="24"/>
        <v>9.7560975609756101E-2</v>
      </c>
      <c r="W262">
        <f t="shared" si="25"/>
        <v>-12</v>
      </c>
      <c r="X262">
        <f t="shared" si="26"/>
        <v>22</v>
      </c>
      <c r="Y262">
        <f t="shared" si="27"/>
        <v>0.42682926829268292</v>
      </c>
      <c r="Z262" s="7" t="str">
        <f t="shared" si="28"/>
        <v>Low Sales</v>
      </c>
      <c r="AA262" s="7" t="str">
        <f t="shared" si="29"/>
        <v>Low Margin</v>
      </c>
    </row>
    <row r="263" spans="1:27" x14ac:dyDescent="0.25">
      <c r="A263" t="s">
        <v>76</v>
      </c>
      <c r="B263">
        <v>29</v>
      </c>
      <c r="C263">
        <v>-15</v>
      </c>
      <c r="D263" s="1">
        <v>41443</v>
      </c>
      <c r="E263">
        <v>1003</v>
      </c>
      <c r="F263">
        <v>35</v>
      </c>
      <c r="G263" t="s">
        <v>39</v>
      </c>
      <c r="H263" t="s">
        <v>36</v>
      </c>
      <c r="I263">
        <v>8</v>
      </c>
      <c r="J263" t="s">
        <v>40</v>
      </c>
      <c r="K263" t="s">
        <v>45</v>
      </c>
      <c r="L263" t="s">
        <v>46</v>
      </c>
      <c r="M263">
        <v>5</v>
      </c>
      <c r="N263">
        <v>64</v>
      </c>
      <c r="O263" t="s">
        <v>48</v>
      </c>
      <c r="P263">
        <v>30</v>
      </c>
      <c r="Q263">
        <v>40</v>
      </c>
      <c r="R263">
        <v>20</v>
      </c>
      <c r="S263">
        <v>70</v>
      </c>
      <c r="T263">
        <v>30</v>
      </c>
      <c r="U263" t="s">
        <v>27</v>
      </c>
      <c r="V263">
        <f t="shared" si="24"/>
        <v>7.8125E-2</v>
      </c>
      <c r="W263">
        <f t="shared" si="25"/>
        <v>-15</v>
      </c>
      <c r="X263">
        <f t="shared" si="26"/>
        <v>-6</v>
      </c>
      <c r="Y263">
        <f t="shared" si="27"/>
        <v>0.453125</v>
      </c>
      <c r="Z263" s="7" t="str">
        <f t="shared" si="28"/>
        <v>Low Sales</v>
      </c>
      <c r="AA263" s="7" t="str">
        <f t="shared" si="29"/>
        <v>Low Margin</v>
      </c>
    </row>
    <row r="264" spans="1:27" x14ac:dyDescent="0.25">
      <c r="A264" t="s">
        <v>114</v>
      </c>
      <c r="B264">
        <v>29</v>
      </c>
      <c r="C264">
        <v>-15</v>
      </c>
      <c r="D264" s="1">
        <v>41444</v>
      </c>
      <c r="E264">
        <v>1003</v>
      </c>
      <c r="F264">
        <v>35</v>
      </c>
      <c r="G264" t="s">
        <v>39</v>
      </c>
      <c r="H264" t="s">
        <v>22</v>
      </c>
      <c r="I264">
        <v>8</v>
      </c>
      <c r="J264" t="s">
        <v>40</v>
      </c>
      <c r="K264" t="s">
        <v>45</v>
      </c>
      <c r="L264" t="s">
        <v>52</v>
      </c>
      <c r="M264">
        <v>5</v>
      </c>
      <c r="N264">
        <v>64</v>
      </c>
      <c r="O264" t="s">
        <v>43</v>
      </c>
      <c r="P264">
        <v>20</v>
      </c>
      <c r="Q264">
        <v>40</v>
      </c>
      <c r="R264">
        <v>20</v>
      </c>
      <c r="S264">
        <v>60</v>
      </c>
      <c r="T264">
        <v>30</v>
      </c>
      <c r="U264" t="s">
        <v>35</v>
      </c>
      <c r="V264">
        <f t="shared" si="24"/>
        <v>7.8125E-2</v>
      </c>
      <c r="W264">
        <f t="shared" si="25"/>
        <v>-15</v>
      </c>
      <c r="X264">
        <f t="shared" si="26"/>
        <v>4</v>
      </c>
      <c r="Y264">
        <f t="shared" si="27"/>
        <v>0.453125</v>
      </c>
      <c r="Z264" s="7" t="str">
        <f t="shared" si="28"/>
        <v>Low Sales</v>
      </c>
      <c r="AA264" s="7" t="str">
        <f t="shared" si="29"/>
        <v>Low Margin</v>
      </c>
    </row>
    <row r="265" spans="1:27" x14ac:dyDescent="0.25">
      <c r="A265" t="s">
        <v>78</v>
      </c>
      <c r="B265">
        <v>34</v>
      </c>
      <c r="C265">
        <v>-3</v>
      </c>
      <c r="D265" s="1">
        <v>41445</v>
      </c>
      <c r="E265">
        <v>211</v>
      </c>
      <c r="F265">
        <v>42</v>
      </c>
      <c r="G265" t="s">
        <v>39</v>
      </c>
      <c r="H265" t="s">
        <v>31</v>
      </c>
      <c r="I265">
        <v>12</v>
      </c>
      <c r="J265" t="s">
        <v>40</v>
      </c>
      <c r="K265" t="s">
        <v>41</v>
      </c>
      <c r="L265" t="s">
        <v>66</v>
      </c>
      <c r="M265">
        <v>-3</v>
      </c>
      <c r="N265">
        <v>76</v>
      </c>
      <c r="O265" t="s">
        <v>51</v>
      </c>
      <c r="P265">
        <v>30</v>
      </c>
      <c r="Q265">
        <v>40</v>
      </c>
      <c r="R265">
        <v>0</v>
      </c>
      <c r="S265">
        <v>70</v>
      </c>
      <c r="T265">
        <v>45</v>
      </c>
      <c r="U265" t="s">
        <v>35</v>
      </c>
      <c r="V265">
        <f t="shared" si="24"/>
        <v>-3.9473684210526314E-2</v>
      </c>
      <c r="W265">
        <f t="shared" si="25"/>
        <v>-3</v>
      </c>
      <c r="X265">
        <f t="shared" si="26"/>
        <v>6</v>
      </c>
      <c r="Y265">
        <f t="shared" si="27"/>
        <v>0.44736842105263158</v>
      </c>
      <c r="Z265" s="7" t="str">
        <f t="shared" si="28"/>
        <v>Low Sales</v>
      </c>
      <c r="AA265" s="7" t="str">
        <f t="shared" si="29"/>
        <v>Low Margin</v>
      </c>
    </row>
    <row r="266" spans="1:27" x14ac:dyDescent="0.25">
      <c r="A266" t="s">
        <v>75</v>
      </c>
      <c r="B266">
        <v>32</v>
      </c>
      <c r="C266">
        <v>-1</v>
      </c>
      <c r="D266" s="1">
        <v>41446</v>
      </c>
      <c r="E266">
        <v>482</v>
      </c>
      <c r="F266">
        <v>48</v>
      </c>
      <c r="G266" t="s">
        <v>39</v>
      </c>
      <c r="H266" t="s">
        <v>29</v>
      </c>
      <c r="I266">
        <v>8</v>
      </c>
      <c r="J266" t="s">
        <v>40</v>
      </c>
      <c r="K266" t="s">
        <v>41</v>
      </c>
      <c r="L266" t="s">
        <v>53</v>
      </c>
      <c r="M266">
        <v>29</v>
      </c>
      <c r="N266">
        <v>80</v>
      </c>
      <c r="O266" t="s">
        <v>47</v>
      </c>
      <c r="P266">
        <v>20</v>
      </c>
      <c r="Q266">
        <v>40</v>
      </c>
      <c r="R266">
        <v>30</v>
      </c>
      <c r="S266">
        <v>60</v>
      </c>
      <c r="T266">
        <v>19</v>
      </c>
      <c r="U266" t="s">
        <v>35</v>
      </c>
      <c r="V266">
        <f t="shared" si="24"/>
        <v>0.36249999999999999</v>
      </c>
      <c r="W266">
        <f t="shared" si="25"/>
        <v>-1</v>
      </c>
      <c r="X266">
        <f t="shared" si="26"/>
        <v>20</v>
      </c>
      <c r="Y266">
        <f t="shared" si="27"/>
        <v>0.4</v>
      </c>
      <c r="Z266" s="7" t="str">
        <f t="shared" si="28"/>
        <v>Low Sales</v>
      </c>
      <c r="AA266" s="7" t="str">
        <f t="shared" si="29"/>
        <v>High Margin</v>
      </c>
    </row>
    <row r="267" spans="1:27" x14ac:dyDescent="0.25">
      <c r="A267" t="s">
        <v>76</v>
      </c>
      <c r="B267">
        <v>0</v>
      </c>
      <c r="C267">
        <v>1</v>
      </c>
      <c r="D267" s="1">
        <v>41447</v>
      </c>
      <c r="E267">
        <v>387</v>
      </c>
      <c r="F267">
        <v>43</v>
      </c>
      <c r="G267" t="s">
        <v>39</v>
      </c>
      <c r="H267" t="s">
        <v>36</v>
      </c>
      <c r="I267">
        <v>0</v>
      </c>
      <c r="J267" t="s">
        <v>40</v>
      </c>
      <c r="K267" t="s">
        <v>41</v>
      </c>
      <c r="L267" t="s">
        <v>54</v>
      </c>
      <c r="M267">
        <v>31</v>
      </c>
      <c r="N267">
        <v>43</v>
      </c>
      <c r="O267" t="s">
        <v>48</v>
      </c>
      <c r="P267">
        <v>0</v>
      </c>
      <c r="Q267">
        <v>40</v>
      </c>
      <c r="R267">
        <v>30</v>
      </c>
      <c r="S267">
        <v>40</v>
      </c>
      <c r="T267">
        <v>12</v>
      </c>
      <c r="U267" t="s">
        <v>35</v>
      </c>
      <c r="V267">
        <f t="shared" si="24"/>
        <v>0.72093023255813948</v>
      </c>
      <c r="W267">
        <f t="shared" si="25"/>
        <v>1</v>
      </c>
      <c r="X267">
        <f t="shared" si="26"/>
        <v>3</v>
      </c>
      <c r="Y267">
        <f t="shared" si="27"/>
        <v>0</v>
      </c>
      <c r="Z267" s="7" t="str">
        <f t="shared" si="28"/>
        <v>Low Sales</v>
      </c>
      <c r="AA267" s="7" t="str">
        <f t="shared" si="29"/>
        <v>High Margin</v>
      </c>
    </row>
    <row r="268" spans="1:27" x14ac:dyDescent="0.25">
      <c r="A268" t="s">
        <v>77</v>
      </c>
      <c r="B268">
        <v>33</v>
      </c>
      <c r="C268">
        <v>-3</v>
      </c>
      <c r="D268" s="1">
        <v>41448</v>
      </c>
      <c r="E268">
        <v>836</v>
      </c>
      <c r="F268">
        <v>48</v>
      </c>
      <c r="G268" t="s">
        <v>39</v>
      </c>
      <c r="H268" t="s">
        <v>36</v>
      </c>
      <c r="I268">
        <v>9</v>
      </c>
      <c r="J268" t="s">
        <v>40</v>
      </c>
      <c r="K268" t="s">
        <v>41</v>
      </c>
      <c r="L268" t="s">
        <v>54</v>
      </c>
      <c r="M268">
        <v>27</v>
      </c>
      <c r="N268">
        <v>81</v>
      </c>
      <c r="O268" t="s">
        <v>49</v>
      </c>
      <c r="P268">
        <v>30</v>
      </c>
      <c r="Q268">
        <v>40</v>
      </c>
      <c r="R268">
        <v>30</v>
      </c>
      <c r="S268">
        <v>70</v>
      </c>
      <c r="T268">
        <v>21</v>
      </c>
      <c r="U268" t="s">
        <v>35</v>
      </c>
      <c r="V268">
        <f t="shared" si="24"/>
        <v>0.33333333333333331</v>
      </c>
      <c r="W268">
        <f t="shared" si="25"/>
        <v>-3</v>
      </c>
      <c r="X268">
        <f t="shared" si="26"/>
        <v>11</v>
      </c>
      <c r="Y268">
        <f t="shared" si="27"/>
        <v>0.40740740740740738</v>
      </c>
      <c r="Z268" s="7" t="str">
        <f t="shared" si="28"/>
        <v>Low Sales</v>
      </c>
      <c r="AA268" s="7" t="str">
        <f t="shared" si="29"/>
        <v>High Margin</v>
      </c>
    </row>
    <row r="269" spans="1:27" x14ac:dyDescent="0.25">
      <c r="A269" t="s">
        <v>81</v>
      </c>
      <c r="B269">
        <v>82</v>
      </c>
      <c r="C269">
        <v>-9</v>
      </c>
      <c r="D269" s="1">
        <v>41449</v>
      </c>
      <c r="E269">
        <v>1804</v>
      </c>
      <c r="F269">
        <v>40</v>
      </c>
      <c r="G269" t="s">
        <v>39</v>
      </c>
      <c r="H269" t="s">
        <v>22</v>
      </c>
      <c r="I269">
        <v>25</v>
      </c>
      <c r="J269" t="s">
        <v>23</v>
      </c>
      <c r="K269" t="s">
        <v>24</v>
      </c>
      <c r="L269" t="s">
        <v>25</v>
      </c>
      <c r="M269">
        <v>-9</v>
      </c>
      <c r="N269">
        <v>122</v>
      </c>
      <c r="O269" t="s">
        <v>58</v>
      </c>
      <c r="P269">
        <v>70</v>
      </c>
      <c r="Q269">
        <v>40</v>
      </c>
      <c r="R269">
        <v>0</v>
      </c>
      <c r="S269">
        <v>110</v>
      </c>
      <c r="T269">
        <v>49</v>
      </c>
      <c r="U269" t="s">
        <v>27</v>
      </c>
      <c r="V269">
        <f t="shared" si="24"/>
        <v>-7.3770491803278687E-2</v>
      </c>
      <c r="W269">
        <f t="shared" si="25"/>
        <v>-9</v>
      </c>
      <c r="X269">
        <f t="shared" si="26"/>
        <v>12</v>
      </c>
      <c r="Y269">
        <f t="shared" si="27"/>
        <v>0.67213114754098358</v>
      </c>
      <c r="Z269" s="7" t="str">
        <f t="shared" si="28"/>
        <v>Low Sales</v>
      </c>
      <c r="AA269" s="7" t="str">
        <f t="shared" si="29"/>
        <v>Low Margin</v>
      </c>
    </row>
    <row r="270" spans="1:27" x14ac:dyDescent="0.25">
      <c r="A270" t="s">
        <v>83</v>
      </c>
      <c r="B270">
        <v>82</v>
      </c>
      <c r="C270">
        <v>-8</v>
      </c>
      <c r="D270" s="1">
        <v>41450</v>
      </c>
      <c r="E270">
        <v>1804</v>
      </c>
      <c r="F270">
        <v>40</v>
      </c>
      <c r="G270" t="s">
        <v>39</v>
      </c>
      <c r="H270" t="s">
        <v>36</v>
      </c>
      <c r="I270">
        <v>25</v>
      </c>
      <c r="J270" t="s">
        <v>23</v>
      </c>
      <c r="K270" t="s">
        <v>24</v>
      </c>
      <c r="L270" t="s">
        <v>28</v>
      </c>
      <c r="M270">
        <v>-8</v>
      </c>
      <c r="N270">
        <v>122</v>
      </c>
      <c r="O270" t="s">
        <v>49</v>
      </c>
      <c r="P270">
        <v>70</v>
      </c>
      <c r="Q270">
        <v>40</v>
      </c>
      <c r="R270">
        <v>0</v>
      </c>
      <c r="S270">
        <v>110</v>
      </c>
      <c r="T270">
        <v>48</v>
      </c>
      <c r="U270" t="s">
        <v>27</v>
      </c>
      <c r="V270">
        <f t="shared" si="24"/>
        <v>-6.5573770491803282E-2</v>
      </c>
      <c r="W270">
        <f t="shared" si="25"/>
        <v>-8</v>
      </c>
      <c r="X270">
        <f t="shared" si="26"/>
        <v>12</v>
      </c>
      <c r="Y270">
        <f t="shared" si="27"/>
        <v>0.67213114754098358</v>
      </c>
      <c r="Z270" s="7" t="str">
        <f t="shared" si="28"/>
        <v>Low Sales</v>
      </c>
      <c r="AA270" s="7" t="str">
        <f t="shared" si="29"/>
        <v>Low Margin</v>
      </c>
    </row>
    <row r="271" spans="1:27" x14ac:dyDescent="0.25">
      <c r="A271" t="s">
        <v>108</v>
      </c>
      <c r="B271">
        <v>35</v>
      </c>
      <c r="C271">
        <v>-1</v>
      </c>
      <c r="D271" s="1">
        <v>41451</v>
      </c>
      <c r="E271">
        <v>248</v>
      </c>
      <c r="F271">
        <v>47</v>
      </c>
      <c r="G271" t="s">
        <v>39</v>
      </c>
      <c r="H271" t="s">
        <v>22</v>
      </c>
      <c r="I271">
        <v>11</v>
      </c>
      <c r="J271" t="s">
        <v>23</v>
      </c>
      <c r="K271" t="s">
        <v>32</v>
      </c>
      <c r="L271" t="s">
        <v>33</v>
      </c>
      <c r="M271">
        <v>9</v>
      </c>
      <c r="N271">
        <v>82</v>
      </c>
      <c r="O271" t="s">
        <v>58</v>
      </c>
      <c r="P271">
        <v>20</v>
      </c>
      <c r="Q271">
        <v>40</v>
      </c>
      <c r="R271">
        <v>10</v>
      </c>
      <c r="S271">
        <v>60</v>
      </c>
      <c r="T271">
        <v>38</v>
      </c>
      <c r="U271" t="s">
        <v>35</v>
      </c>
      <c r="V271">
        <f t="shared" si="24"/>
        <v>0.10975609756097561</v>
      </c>
      <c r="W271">
        <f t="shared" si="25"/>
        <v>-1</v>
      </c>
      <c r="X271">
        <f t="shared" si="26"/>
        <v>22</v>
      </c>
      <c r="Y271">
        <f t="shared" si="27"/>
        <v>0.42682926829268292</v>
      </c>
      <c r="Z271" s="7" t="str">
        <f t="shared" si="28"/>
        <v>Low Sales</v>
      </c>
      <c r="AA271" s="7" t="str">
        <f t="shared" si="29"/>
        <v>Low Margin</v>
      </c>
    </row>
    <row r="272" spans="1:27" x14ac:dyDescent="0.25">
      <c r="A272" t="s">
        <v>122</v>
      </c>
      <c r="B272">
        <v>34</v>
      </c>
      <c r="C272">
        <v>-3</v>
      </c>
      <c r="D272" s="1">
        <v>41452</v>
      </c>
      <c r="E272">
        <v>211</v>
      </c>
      <c r="F272">
        <v>42</v>
      </c>
      <c r="G272" t="s">
        <v>39</v>
      </c>
      <c r="H272" t="s">
        <v>22</v>
      </c>
      <c r="I272">
        <v>12</v>
      </c>
      <c r="J272" t="s">
        <v>23</v>
      </c>
      <c r="K272" t="s">
        <v>32</v>
      </c>
      <c r="L272" t="s">
        <v>61</v>
      </c>
      <c r="M272">
        <v>-3</v>
      </c>
      <c r="N272">
        <v>76</v>
      </c>
      <c r="O272" t="s">
        <v>58</v>
      </c>
      <c r="P272">
        <v>20</v>
      </c>
      <c r="Q272">
        <v>40</v>
      </c>
      <c r="R272">
        <v>0</v>
      </c>
      <c r="S272">
        <v>60</v>
      </c>
      <c r="T272">
        <v>45</v>
      </c>
      <c r="U272" t="s">
        <v>35</v>
      </c>
      <c r="V272">
        <f t="shared" si="24"/>
        <v>-3.9473684210526314E-2</v>
      </c>
      <c r="W272">
        <f t="shared" si="25"/>
        <v>-3</v>
      </c>
      <c r="X272">
        <f t="shared" si="26"/>
        <v>16</v>
      </c>
      <c r="Y272">
        <f t="shared" si="27"/>
        <v>0.44736842105263158</v>
      </c>
      <c r="Z272" s="7" t="str">
        <f t="shared" si="28"/>
        <v>Low Sales</v>
      </c>
      <c r="AA272" s="7" t="str">
        <f t="shared" si="29"/>
        <v>Low Margin</v>
      </c>
    </row>
    <row r="273" spans="1:27" x14ac:dyDescent="0.25">
      <c r="A273" t="s">
        <v>94</v>
      </c>
      <c r="B273">
        <v>33</v>
      </c>
      <c r="C273">
        <v>-4</v>
      </c>
      <c r="D273" s="1">
        <v>41453</v>
      </c>
      <c r="E273">
        <v>243</v>
      </c>
      <c r="F273">
        <v>41</v>
      </c>
      <c r="G273" t="s">
        <v>39</v>
      </c>
      <c r="H273" t="s">
        <v>22</v>
      </c>
      <c r="I273">
        <v>12</v>
      </c>
      <c r="J273" t="s">
        <v>23</v>
      </c>
      <c r="K273" t="s">
        <v>32</v>
      </c>
      <c r="L273" t="s">
        <v>37</v>
      </c>
      <c r="M273">
        <v>-4</v>
      </c>
      <c r="N273">
        <v>74</v>
      </c>
      <c r="O273" t="s">
        <v>58</v>
      </c>
      <c r="P273">
        <v>20</v>
      </c>
      <c r="Q273">
        <v>40</v>
      </c>
      <c r="R273">
        <v>0</v>
      </c>
      <c r="S273">
        <v>60</v>
      </c>
      <c r="T273">
        <v>45</v>
      </c>
      <c r="U273" t="s">
        <v>35</v>
      </c>
      <c r="V273">
        <f t="shared" si="24"/>
        <v>-5.4054054054054057E-2</v>
      </c>
      <c r="W273">
        <f t="shared" si="25"/>
        <v>-4</v>
      </c>
      <c r="X273">
        <f t="shared" si="26"/>
        <v>14</v>
      </c>
      <c r="Y273">
        <f t="shared" si="27"/>
        <v>0.44594594594594594</v>
      </c>
      <c r="Z273" s="7" t="str">
        <f t="shared" si="28"/>
        <v>Low Sales</v>
      </c>
      <c r="AA273" s="7" t="str">
        <f t="shared" si="29"/>
        <v>Low Margin</v>
      </c>
    </row>
    <row r="274" spans="1:27" x14ac:dyDescent="0.25">
      <c r="A274" t="s">
        <v>78</v>
      </c>
      <c r="B274">
        <v>0</v>
      </c>
      <c r="C274">
        <v>2</v>
      </c>
      <c r="D274" s="1">
        <v>41454</v>
      </c>
      <c r="E274">
        <v>387</v>
      </c>
      <c r="F274">
        <v>43</v>
      </c>
      <c r="G274" t="s">
        <v>39</v>
      </c>
      <c r="H274" t="s">
        <v>31</v>
      </c>
      <c r="I274">
        <v>0</v>
      </c>
      <c r="J274" t="s">
        <v>23</v>
      </c>
      <c r="K274" t="s">
        <v>32</v>
      </c>
      <c r="L274" t="s">
        <v>37</v>
      </c>
      <c r="M274">
        <v>32</v>
      </c>
      <c r="N274">
        <v>43</v>
      </c>
      <c r="O274" t="s">
        <v>51</v>
      </c>
      <c r="P274">
        <v>0</v>
      </c>
      <c r="Q274">
        <v>40</v>
      </c>
      <c r="R274">
        <v>30</v>
      </c>
      <c r="S274">
        <v>40</v>
      </c>
      <c r="T274">
        <v>11</v>
      </c>
      <c r="U274" t="s">
        <v>35</v>
      </c>
      <c r="V274">
        <f t="shared" si="24"/>
        <v>0.7441860465116279</v>
      </c>
      <c r="W274">
        <f t="shared" si="25"/>
        <v>2</v>
      </c>
      <c r="X274">
        <f t="shared" si="26"/>
        <v>3</v>
      </c>
      <c r="Y274">
        <f t="shared" si="27"/>
        <v>0</v>
      </c>
      <c r="Z274" s="7" t="str">
        <f t="shared" si="28"/>
        <v>Low Sales</v>
      </c>
      <c r="AA274" s="7" t="str">
        <f t="shared" si="29"/>
        <v>High Margin</v>
      </c>
    </row>
    <row r="275" spans="1:27" x14ac:dyDescent="0.25">
      <c r="A275" t="s">
        <v>77</v>
      </c>
      <c r="B275">
        <v>44</v>
      </c>
      <c r="C275">
        <v>3</v>
      </c>
      <c r="D275" s="1">
        <v>41455</v>
      </c>
      <c r="E275">
        <v>325</v>
      </c>
      <c r="F275">
        <v>62</v>
      </c>
      <c r="G275" t="s">
        <v>39</v>
      </c>
      <c r="H275" t="s">
        <v>36</v>
      </c>
      <c r="I275">
        <v>40</v>
      </c>
      <c r="J275" t="s">
        <v>23</v>
      </c>
      <c r="K275" t="s">
        <v>32</v>
      </c>
      <c r="L275" t="s">
        <v>33</v>
      </c>
      <c r="M275">
        <v>-7</v>
      </c>
      <c r="N275">
        <v>106</v>
      </c>
      <c r="O275" t="s">
        <v>49</v>
      </c>
      <c r="P275">
        <v>30</v>
      </c>
      <c r="Q275">
        <v>40</v>
      </c>
      <c r="R275">
        <v>-10</v>
      </c>
      <c r="S275">
        <v>70</v>
      </c>
      <c r="T275">
        <v>69</v>
      </c>
      <c r="U275" t="s">
        <v>35</v>
      </c>
      <c r="V275">
        <f t="shared" si="24"/>
        <v>-6.6037735849056603E-2</v>
      </c>
      <c r="W275">
        <f t="shared" si="25"/>
        <v>3</v>
      </c>
      <c r="X275">
        <f t="shared" si="26"/>
        <v>36</v>
      </c>
      <c r="Y275">
        <f t="shared" si="27"/>
        <v>0.41509433962264153</v>
      </c>
      <c r="Z275" s="7" t="str">
        <f t="shared" si="28"/>
        <v>Low Sales</v>
      </c>
      <c r="AA275" s="7" t="str">
        <f t="shared" si="29"/>
        <v>Low Margin</v>
      </c>
    </row>
    <row r="276" spans="1:27" x14ac:dyDescent="0.25">
      <c r="A276" t="s">
        <v>158</v>
      </c>
      <c r="B276">
        <v>29</v>
      </c>
      <c r="C276">
        <v>-5</v>
      </c>
      <c r="D276" s="1">
        <v>41456</v>
      </c>
      <c r="E276">
        <v>490</v>
      </c>
      <c r="F276">
        <v>44</v>
      </c>
      <c r="G276" t="s">
        <v>21</v>
      </c>
      <c r="H276" t="s">
        <v>22</v>
      </c>
      <c r="I276">
        <v>8</v>
      </c>
      <c r="J276" t="s">
        <v>23</v>
      </c>
      <c r="K276" t="s">
        <v>24</v>
      </c>
      <c r="L276" t="s">
        <v>57</v>
      </c>
      <c r="M276">
        <v>25</v>
      </c>
      <c r="N276">
        <v>73</v>
      </c>
      <c r="O276" t="s">
        <v>65</v>
      </c>
      <c r="P276">
        <v>20</v>
      </c>
      <c r="Q276">
        <v>40</v>
      </c>
      <c r="R276">
        <v>30</v>
      </c>
      <c r="S276">
        <v>60</v>
      </c>
      <c r="T276">
        <v>19</v>
      </c>
      <c r="U276" t="s">
        <v>27</v>
      </c>
      <c r="V276">
        <f t="shared" si="24"/>
        <v>0.34246575342465752</v>
      </c>
      <c r="W276">
        <f t="shared" si="25"/>
        <v>-5</v>
      </c>
      <c r="X276">
        <f t="shared" si="26"/>
        <v>13</v>
      </c>
      <c r="Y276">
        <f t="shared" si="27"/>
        <v>0.39726027397260272</v>
      </c>
      <c r="Z276" s="7" t="str">
        <f t="shared" si="28"/>
        <v>Low Sales</v>
      </c>
      <c r="AA276" s="7" t="str">
        <f t="shared" si="29"/>
        <v>High Margin</v>
      </c>
    </row>
    <row r="277" spans="1:27" x14ac:dyDescent="0.25">
      <c r="A277" t="s">
        <v>155</v>
      </c>
      <c r="B277">
        <v>33</v>
      </c>
      <c r="C277">
        <v>-1</v>
      </c>
      <c r="D277" s="1">
        <v>41457</v>
      </c>
      <c r="E277">
        <v>870</v>
      </c>
      <c r="F277">
        <v>49</v>
      </c>
      <c r="G277" t="s">
        <v>21</v>
      </c>
      <c r="H277" t="s">
        <v>22</v>
      </c>
      <c r="I277">
        <v>9</v>
      </c>
      <c r="J277" t="s">
        <v>23</v>
      </c>
      <c r="K277" t="s">
        <v>24</v>
      </c>
      <c r="L277" t="s">
        <v>25</v>
      </c>
      <c r="M277">
        <v>29</v>
      </c>
      <c r="N277">
        <v>82</v>
      </c>
      <c r="O277" t="s">
        <v>65</v>
      </c>
      <c r="P277">
        <v>30</v>
      </c>
      <c r="Q277">
        <v>40</v>
      </c>
      <c r="R277">
        <v>30</v>
      </c>
      <c r="S277">
        <v>70</v>
      </c>
      <c r="T277">
        <v>20</v>
      </c>
      <c r="U277" t="s">
        <v>27</v>
      </c>
      <c r="V277">
        <f t="shared" si="24"/>
        <v>0.35365853658536583</v>
      </c>
      <c r="W277">
        <f t="shared" si="25"/>
        <v>-1</v>
      </c>
      <c r="X277">
        <f t="shared" si="26"/>
        <v>12</v>
      </c>
      <c r="Y277">
        <f t="shared" si="27"/>
        <v>0.40243902439024393</v>
      </c>
      <c r="Z277" s="7" t="str">
        <f t="shared" si="28"/>
        <v>Low Sales</v>
      </c>
      <c r="AA277" s="7" t="str">
        <f t="shared" si="29"/>
        <v>High Margin</v>
      </c>
    </row>
    <row r="278" spans="1:27" x14ac:dyDescent="0.25">
      <c r="A278" t="s">
        <v>131</v>
      </c>
      <c r="B278">
        <v>46</v>
      </c>
      <c r="C278">
        <v>-3</v>
      </c>
      <c r="D278" s="1">
        <v>41458</v>
      </c>
      <c r="E278">
        <v>422</v>
      </c>
      <c r="F278">
        <v>57</v>
      </c>
      <c r="G278" t="s">
        <v>21</v>
      </c>
      <c r="H278" t="s">
        <v>31</v>
      </c>
      <c r="I278">
        <v>17</v>
      </c>
      <c r="J278" t="s">
        <v>23</v>
      </c>
      <c r="K278" t="s">
        <v>24</v>
      </c>
      <c r="L278" t="s">
        <v>25</v>
      </c>
      <c r="M278">
        <v>7</v>
      </c>
      <c r="N278">
        <v>103</v>
      </c>
      <c r="O278" t="s">
        <v>62</v>
      </c>
      <c r="P278">
        <v>30</v>
      </c>
      <c r="Q278">
        <v>40</v>
      </c>
      <c r="R278">
        <v>10</v>
      </c>
      <c r="S278">
        <v>70</v>
      </c>
      <c r="T278">
        <v>50</v>
      </c>
      <c r="U278" t="s">
        <v>27</v>
      </c>
      <c r="V278">
        <f t="shared" si="24"/>
        <v>6.7961165048543687E-2</v>
      </c>
      <c r="W278">
        <f t="shared" si="25"/>
        <v>-3</v>
      </c>
      <c r="X278">
        <f t="shared" si="26"/>
        <v>33</v>
      </c>
      <c r="Y278">
        <f t="shared" si="27"/>
        <v>0.44660194174757284</v>
      </c>
      <c r="Z278" s="7" t="str">
        <f t="shared" si="28"/>
        <v>Low Sales</v>
      </c>
      <c r="AA278" s="7" t="str">
        <f t="shared" si="29"/>
        <v>Low Margin</v>
      </c>
    </row>
    <row r="279" spans="1:27" x14ac:dyDescent="0.25">
      <c r="A279" t="s">
        <v>159</v>
      </c>
      <c r="B279">
        <v>30</v>
      </c>
      <c r="C279">
        <v>-4</v>
      </c>
      <c r="D279" s="1">
        <v>41459</v>
      </c>
      <c r="E279">
        <v>882</v>
      </c>
      <c r="F279">
        <v>45</v>
      </c>
      <c r="G279" t="s">
        <v>21</v>
      </c>
      <c r="H279" t="s">
        <v>31</v>
      </c>
      <c r="I279">
        <v>8</v>
      </c>
      <c r="J279" t="s">
        <v>23</v>
      </c>
      <c r="K279" t="s">
        <v>32</v>
      </c>
      <c r="L279" t="s">
        <v>33</v>
      </c>
      <c r="M279">
        <v>26</v>
      </c>
      <c r="N279">
        <v>75</v>
      </c>
      <c r="O279" t="s">
        <v>34</v>
      </c>
      <c r="P279">
        <v>30</v>
      </c>
      <c r="Q279">
        <v>40</v>
      </c>
      <c r="R279">
        <v>30</v>
      </c>
      <c r="S279">
        <v>70</v>
      </c>
      <c r="T279">
        <v>19</v>
      </c>
      <c r="U279" t="s">
        <v>35</v>
      </c>
      <c r="V279">
        <f t="shared" si="24"/>
        <v>0.34666666666666668</v>
      </c>
      <c r="W279">
        <f t="shared" si="25"/>
        <v>-4</v>
      </c>
      <c r="X279">
        <f t="shared" si="26"/>
        <v>5</v>
      </c>
      <c r="Y279">
        <f t="shared" si="27"/>
        <v>0.4</v>
      </c>
      <c r="Z279" s="7" t="str">
        <f t="shared" si="28"/>
        <v>Low Sales</v>
      </c>
      <c r="AA279" s="7" t="str">
        <f t="shared" si="29"/>
        <v>High Margin</v>
      </c>
    </row>
    <row r="280" spans="1:27" x14ac:dyDescent="0.25">
      <c r="A280" t="s">
        <v>152</v>
      </c>
      <c r="B280">
        <v>29</v>
      </c>
      <c r="C280">
        <v>-5</v>
      </c>
      <c r="D280" s="1">
        <v>41460</v>
      </c>
      <c r="E280">
        <v>490</v>
      </c>
      <c r="F280">
        <v>44</v>
      </c>
      <c r="G280" t="s">
        <v>21</v>
      </c>
      <c r="H280" t="s">
        <v>31</v>
      </c>
      <c r="I280">
        <v>8</v>
      </c>
      <c r="J280" t="s">
        <v>23</v>
      </c>
      <c r="K280" t="s">
        <v>32</v>
      </c>
      <c r="L280" t="s">
        <v>37</v>
      </c>
      <c r="M280">
        <v>25</v>
      </c>
      <c r="N280">
        <v>73</v>
      </c>
      <c r="O280" t="s">
        <v>62</v>
      </c>
      <c r="P280">
        <v>30</v>
      </c>
      <c r="Q280">
        <v>40</v>
      </c>
      <c r="R280">
        <v>30</v>
      </c>
      <c r="S280">
        <v>70</v>
      </c>
      <c r="T280">
        <v>19</v>
      </c>
      <c r="U280" t="s">
        <v>35</v>
      </c>
      <c r="V280">
        <f t="shared" si="24"/>
        <v>0.34246575342465752</v>
      </c>
      <c r="W280">
        <f t="shared" si="25"/>
        <v>-5</v>
      </c>
      <c r="X280">
        <f t="shared" si="26"/>
        <v>3</v>
      </c>
      <c r="Y280">
        <f t="shared" si="27"/>
        <v>0.39726027397260272</v>
      </c>
      <c r="Z280" s="7" t="str">
        <f t="shared" si="28"/>
        <v>Low Sales</v>
      </c>
      <c r="AA280" s="7" t="str">
        <f t="shared" si="29"/>
        <v>High Margin</v>
      </c>
    </row>
    <row r="281" spans="1:27" x14ac:dyDescent="0.25">
      <c r="A281" t="s">
        <v>82</v>
      </c>
      <c r="B281">
        <v>24</v>
      </c>
      <c r="C281">
        <v>-17</v>
      </c>
      <c r="D281" s="1">
        <v>41461</v>
      </c>
      <c r="E281">
        <v>567</v>
      </c>
      <c r="F281">
        <v>32</v>
      </c>
      <c r="G281" t="s">
        <v>39</v>
      </c>
      <c r="H281" t="s">
        <v>22</v>
      </c>
      <c r="I281">
        <v>7</v>
      </c>
      <c r="J281" t="s">
        <v>40</v>
      </c>
      <c r="K281" t="s">
        <v>41</v>
      </c>
      <c r="L281" t="s">
        <v>42</v>
      </c>
      <c r="M281">
        <v>13</v>
      </c>
      <c r="N281">
        <v>56</v>
      </c>
      <c r="O281" t="s">
        <v>59</v>
      </c>
      <c r="P281">
        <v>30</v>
      </c>
      <c r="Q281">
        <v>40</v>
      </c>
      <c r="R281">
        <v>30</v>
      </c>
      <c r="S281">
        <v>70</v>
      </c>
      <c r="T281">
        <v>19</v>
      </c>
      <c r="U281" t="s">
        <v>27</v>
      </c>
      <c r="V281">
        <f t="shared" si="24"/>
        <v>0.23214285714285715</v>
      </c>
      <c r="W281">
        <f t="shared" si="25"/>
        <v>-17</v>
      </c>
      <c r="X281">
        <f t="shared" si="26"/>
        <v>-14</v>
      </c>
      <c r="Y281">
        <f t="shared" si="27"/>
        <v>0.42857142857142855</v>
      </c>
      <c r="Z281" s="7" t="str">
        <f t="shared" si="28"/>
        <v>Low Sales</v>
      </c>
      <c r="AA281" s="7" t="str">
        <f t="shared" si="29"/>
        <v>High Margin</v>
      </c>
    </row>
    <row r="282" spans="1:27" x14ac:dyDescent="0.25">
      <c r="A282" t="s">
        <v>116</v>
      </c>
      <c r="B282">
        <v>0</v>
      </c>
      <c r="C282">
        <v>1</v>
      </c>
      <c r="D282" s="1">
        <v>41462</v>
      </c>
      <c r="E282">
        <v>344</v>
      </c>
      <c r="F282">
        <v>43</v>
      </c>
      <c r="G282" t="s">
        <v>39</v>
      </c>
      <c r="H282" t="s">
        <v>36</v>
      </c>
      <c r="I282">
        <v>0</v>
      </c>
      <c r="J282" t="s">
        <v>40</v>
      </c>
      <c r="K282" t="s">
        <v>41</v>
      </c>
      <c r="L282" t="s">
        <v>54</v>
      </c>
      <c r="M282">
        <v>31</v>
      </c>
      <c r="N282">
        <v>43</v>
      </c>
      <c r="O282" t="s">
        <v>48</v>
      </c>
      <c r="P282">
        <v>0</v>
      </c>
      <c r="Q282">
        <v>40</v>
      </c>
      <c r="R282">
        <v>30</v>
      </c>
      <c r="S282">
        <v>40</v>
      </c>
      <c r="T282">
        <v>12</v>
      </c>
      <c r="U282" t="s">
        <v>35</v>
      </c>
      <c r="V282">
        <f t="shared" si="24"/>
        <v>0.72093023255813948</v>
      </c>
      <c r="W282">
        <f t="shared" si="25"/>
        <v>1</v>
      </c>
      <c r="X282">
        <f t="shared" si="26"/>
        <v>3</v>
      </c>
      <c r="Y282">
        <f t="shared" si="27"/>
        <v>0</v>
      </c>
      <c r="Z282" s="7" t="str">
        <f t="shared" si="28"/>
        <v>Low Sales</v>
      </c>
      <c r="AA282" s="7" t="str">
        <f t="shared" si="29"/>
        <v>High Margin</v>
      </c>
    </row>
    <row r="283" spans="1:27" x14ac:dyDescent="0.25">
      <c r="A283" t="s">
        <v>77</v>
      </c>
      <c r="B283">
        <v>31</v>
      </c>
      <c r="C283">
        <v>-4</v>
      </c>
      <c r="D283" s="1">
        <v>41463</v>
      </c>
      <c r="E283">
        <v>844</v>
      </c>
      <c r="F283">
        <v>46</v>
      </c>
      <c r="G283" t="s">
        <v>39</v>
      </c>
      <c r="H283" t="s">
        <v>36</v>
      </c>
      <c r="I283">
        <v>8</v>
      </c>
      <c r="J283" t="s">
        <v>40</v>
      </c>
      <c r="K283" t="s">
        <v>41</v>
      </c>
      <c r="L283" t="s">
        <v>54</v>
      </c>
      <c r="M283">
        <v>26</v>
      </c>
      <c r="N283">
        <v>77</v>
      </c>
      <c r="O283" t="s">
        <v>49</v>
      </c>
      <c r="P283">
        <v>30</v>
      </c>
      <c r="Q283">
        <v>40</v>
      </c>
      <c r="R283">
        <v>30</v>
      </c>
      <c r="S283">
        <v>70</v>
      </c>
      <c r="T283">
        <v>20</v>
      </c>
      <c r="U283" t="s">
        <v>35</v>
      </c>
      <c r="V283">
        <f t="shared" si="24"/>
        <v>0.33766233766233766</v>
      </c>
      <c r="W283">
        <f t="shared" si="25"/>
        <v>-4</v>
      </c>
      <c r="X283">
        <f t="shared" si="26"/>
        <v>7</v>
      </c>
      <c r="Y283">
        <f t="shared" si="27"/>
        <v>0.40259740259740262</v>
      </c>
      <c r="Z283" s="7" t="str">
        <f t="shared" si="28"/>
        <v>Low Sales</v>
      </c>
      <c r="AA283" s="7" t="str">
        <f t="shared" si="29"/>
        <v>High Margin</v>
      </c>
    </row>
    <row r="284" spans="1:27" x14ac:dyDescent="0.25">
      <c r="A284" t="s">
        <v>133</v>
      </c>
      <c r="B284">
        <v>34</v>
      </c>
      <c r="C284">
        <v>0</v>
      </c>
      <c r="D284" s="1">
        <v>41464</v>
      </c>
      <c r="E284">
        <v>863</v>
      </c>
      <c r="F284">
        <v>51</v>
      </c>
      <c r="G284" t="s">
        <v>39</v>
      </c>
      <c r="H284" t="s">
        <v>22</v>
      </c>
      <c r="I284">
        <v>9</v>
      </c>
      <c r="J284" t="s">
        <v>23</v>
      </c>
      <c r="K284" t="s">
        <v>24</v>
      </c>
      <c r="L284" t="s">
        <v>25</v>
      </c>
      <c r="M284">
        <v>30</v>
      </c>
      <c r="N284">
        <v>85</v>
      </c>
      <c r="O284" t="s">
        <v>59</v>
      </c>
      <c r="P284">
        <v>30</v>
      </c>
      <c r="Q284">
        <v>40</v>
      </c>
      <c r="R284">
        <v>30</v>
      </c>
      <c r="S284">
        <v>70</v>
      </c>
      <c r="T284">
        <v>21</v>
      </c>
      <c r="U284" t="s">
        <v>27</v>
      </c>
      <c r="V284">
        <f t="shared" si="24"/>
        <v>0.35294117647058826</v>
      </c>
      <c r="W284">
        <f t="shared" si="25"/>
        <v>0</v>
      </c>
      <c r="X284">
        <f t="shared" si="26"/>
        <v>15</v>
      </c>
      <c r="Y284">
        <f t="shared" si="27"/>
        <v>0.4</v>
      </c>
      <c r="Z284" s="7" t="str">
        <f t="shared" si="28"/>
        <v>Low Sales</v>
      </c>
      <c r="AA284" s="7" t="str">
        <f t="shared" si="29"/>
        <v>High Margin</v>
      </c>
    </row>
    <row r="285" spans="1:27" x14ac:dyDescent="0.25">
      <c r="A285" t="s">
        <v>78</v>
      </c>
      <c r="B285">
        <v>39</v>
      </c>
      <c r="C285">
        <v>-8</v>
      </c>
      <c r="D285" s="1">
        <v>41465</v>
      </c>
      <c r="E285">
        <v>250</v>
      </c>
      <c r="F285">
        <v>49</v>
      </c>
      <c r="G285" t="s">
        <v>39</v>
      </c>
      <c r="H285" t="s">
        <v>31</v>
      </c>
      <c r="I285">
        <v>14</v>
      </c>
      <c r="J285" t="s">
        <v>23</v>
      </c>
      <c r="K285" t="s">
        <v>24</v>
      </c>
      <c r="L285" t="s">
        <v>25</v>
      </c>
      <c r="M285">
        <v>2</v>
      </c>
      <c r="N285">
        <v>88</v>
      </c>
      <c r="O285" t="s">
        <v>51</v>
      </c>
      <c r="P285">
        <v>20</v>
      </c>
      <c r="Q285">
        <v>40</v>
      </c>
      <c r="R285">
        <v>10</v>
      </c>
      <c r="S285">
        <v>60</v>
      </c>
      <c r="T285">
        <v>47</v>
      </c>
      <c r="U285" t="s">
        <v>27</v>
      </c>
      <c r="V285">
        <f t="shared" si="24"/>
        <v>2.2727272727272728E-2</v>
      </c>
      <c r="W285">
        <f t="shared" si="25"/>
        <v>-8</v>
      </c>
      <c r="X285">
        <f t="shared" si="26"/>
        <v>28</v>
      </c>
      <c r="Y285">
        <f t="shared" si="27"/>
        <v>0.44318181818181818</v>
      </c>
      <c r="Z285" s="7" t="str">
        <f t="shared" si="28"/>
        <v>Low Sales</v>
      </c>
      <c r="AA285" s="7" t="str">
        <f t="shared" si="29"/>
        <v>Low Margin</v>
      </c>
    </row>
    <row r="286" spans="1:27" x14ac:dyDescent="0.25">
      <c r="A286" t="s">
        <v>107</v>
      </c>
      <c r="B286">
        <v>31</v>
      </c>
      <c r="C286">
        <v>-13</v>
      </c>
      <c r="D286" s="1">
        <v>41466</v>
      </c>
      <c r="E286">
        <v>1009</v>
      </c>
      <c r="F286">
        <v>38</v>
      </c>
      <c r="G286" t="s">
        <v>39</v>
      </c>
      <c r="H286" t="s">
        <v>29</v>
      </c>
      <c r="I286">
        <v>9</v>
      </c>
      <c r="J286" t="s">
        <v>23</v>
      </c>
      <c r="K286" t="s">
        <v>24</v>
      </c>
      <c r="L286" t="s">
        <v>25</v>
      </c>
      <c r="M286">
        <v>7</v>
      </c>
      <c r="N286">
        <v>69</v>
      </c>
      <c r="O286" t="s">
        <v>64</v>
      </c>
      <c r="P286">
        <v>20</v>
      </c>
      <c r="Q286">
        <v>40</v>
      </c>
      <c r="R286">
        <v>20</v>
      </c>
      <c r="S286">
        <v>60</v>
      </c>
      <c r="T286">
        <v>31</v>
      </c>
      <c r="U286" t="s">
        <v>27</v>
      </c>
      <c r="V286">
        <f t="shared" si="24"/>
        <v>0.10144927536231885</v>
      </c>
      <c r="W286">
        <f t="shared" si="25"/>
        <v>-13</v>
      </c>
      <c r="X286">
        <f t="shared" si="26"/>
        <v>9</v>
      </c>
      <c r="Y286">
        <f t="shared" si="27"/>
        <v>0.44927536231884058</v>
      </c>
      <c r="Z286" s="7" t="str">
        <f t="shared" si="28"/>
        <v>Low Sales</v>
      </c>
      <c r="AA286" s="7" t="str">
        <f t="shared" si="29"/>
        <v>Low Margin</v>
      </c>
    </row>
    <row r="287" spans="1:27" x14ac:dyDescent="0.25">
      <c r="A287" t="s">
        <v>81</v>
      </c>
      <c r="B287">
        <v>38</v>
      </c>
      <c r="C287">
        <v>1</v>
      </c>
      <c r="D287" s="1">
        <v>41467</v>
      </c>
      <c r="E287">
        <v>256</v>
      </c>
      <c r="F287">
        <v>51</v>
      </c>
      <c r="G287" t="s">
        <v>39</v>
      </c>
      <c r="H287" t="s">
        <v>22</v>
      </c>
      <c r="I287">
        <v>12</v>
      </c>
      <c r="J287" t="s">
        <v>23</v>
      </c>
      <c r="K287" t="s">
        <v>32</v>
      </c>
      <c r="L287" t="s">
        <v>33</v>
      </c>
      <c r="M287">
        <v>11</v>
      </c>
      <c r="N287">
        <v>89</v>
      </c>
      <c r="O287" t="s">
        <v>58</v>
      </c>
      <c r="P287">
        <v>30</v>
      </c>
      <c r="Q287">
        <v>40</v>
      </c>
      <c r="R287">
        <v>10</v>
      </c>
      <c r="S287">
        <v>70</v>
      </c>
      <c r="T287">
        <v>40</v>
      </c>
      <c r="U287" t="s">
        <v>35</v>
      </c>
      <c r="V287">
        <f t="shared" si="24"/>
        <v>0.12359550561797752</v>
      </c>
      <c r="W287">
        <f t="shared" si="25"/>
        <v>1</v>
      </c>
      <c r="X287">
        <f t="shared" si="26"/>
        <v>19</v>
      </c>
      <c r="Y287">
        <f t="shared" si="27"/>
        <v>0.42696629213483145</v>
      </c>
      <c r="Z287" s="7" t="str">
        <f t="shared" si="28"/>
        <v>Low Sales</v>
      </c>
      <c r="AA287" s="7" t="str">
        <f t="shared" si="29"/>
        <v>High Margin</v>
      </c>
    </row>
    <row r="288" spans="1:27" x14ac:dyDescent="0.25">
      <c r="A288" t="s">
        <v>122</v>
      </c>
      <c r="B288">
        <v>39</v>
      </c>
      <c r="C288">
        <v>2</v>
      </c>
      <c r="D288" s="1">
        <v>41468</v>
      </c>
      <c r="E288">
        <v>250</v>
      </c>
      <c r="F288">
        <v>49</v>
      </c>
      <c r="G288" t="s">
        <v>39</v>
      </c>
      <c r="H288" t="s">
        <v>22</v>
      </c>
      <c r="I288">
        <v>14</v>
      </c>
      <c r="J288" t="s">
        <v>23</v>
      </c>
      <c r="K288" t="s">
        <v>32</v>
      </c>
      <c r="L288" t="s">
        <v>37</v>
      </c>
      <c r="M288">
        <v>2</v>
      </c>
      <c r="N288">
        <v>88</v>
      </c>
      <c r="O288" t="s">
        <v>58</v>
      </c>
      <c r="P288">
        <v>30</v>
      </c>
      <c r="Q288">
        <v>40</v>
      </c>
      <c r="R288">
        <v>0</v>
      </c>
      <c r="S288">
        <v>70</v>
      </c>
      <c r="T288">
        <v>47</v>
      </c>
      <c r="U288" t="s">
        <v>35</v>
      </c>
      <c r="V288">
        <f t="shared" si="24"/>
        <v>2.2727272727272728E-2</v>
      </c>
      <c r="W288">
        <f t="shared" si="25"/>
        <v>2</v>
      </c>
      <c r="X288">
        <f t="shared" si="26"/>
        <v>18</v>
      </c>
      <c r="Y288">
        <f t="shared" si="27"/>
        <v>0.44318181818181818</v>
      </c>
      <c r="Z288" s="7" t="str">
        <f t="shared" si="28"/>
        <v>Low Sales</v>
      </c>
      <c r="AA288" s="7" t="str">
        <f t="shared" si="29"/>
        <v>Low Margin</v>
      </c>
    </row>
    <row r="289" spans="1:27" x14ac:dyDescent="0.25">
      <c r="A289" t="s">
        <v>78</v>
      </c>
      <c r="B289">
        <v>0</v>
      </c>
      <c r="C289">
        <v>2</v>
      </c>
      <c r="D289" s="1">
        <v>41469</v>
      </c>
      <c r="E289">
        <v>344</v>
      </c>
      <c r="F289">
        <v>43</v>
      </c>
      <c r="G289" t="s">
        <v>39</v>
      </c>
      <c r="H289" t="s">
        <v>31</v>
      </c>
      <c r="I289">
        <v>0</v>
      </c>
      <c r="J289" t="s">
        <v>23</v>
      </c>
      <c r="K289" t="s">
        <v>32</v>
      </c>
      <c r="L289" t="s">
        <v>37</v>
      </c>
      <c r="M289">
        <v>32</v>
      </c>
      <c r="N289">
        <v>43</v>
      </c>
      <c r="O289" t="s">
        <v>51</v>
      </c>
      <c r="P289">
        <v>0</v>
      </c>
      <c r="Q289">
        <v>40</v>
      </c>
      <c r="R289">
        <v>30</v>
      </c>
      <c r="S289">
        <v>40</v>
      </c>
      <c r="T289">
        <v>11</v>
      </c>
      <c r="U289" t="s">
        <v>35</v>
      </c>
      <c r="V289">
        <f t="shared" si="24"/>
        <v>0.7441860465116279</v>
      </c>
      <c r="W289">
        <f t="shared" si="25"/>
        <v>2</v>
      </c>
      <c r="X289">
        <f t="shared" si="26"/>
        <v>3</v>
      </c>
      <c r="Y289">
        <f t="shared" si="27"/>
        <v>0</v>
      </c>
      <c r="Z289" s="7" t="str">
        <f t="shared" si="28"/>
        <v>Low Sales</v>
      </c>
      <c r="AA289" s="7" t="str">
        <f t="shared" si="29"/>
        <v>High Margin</v>
      </c>
    </row>
    <row r="290" spans="1:27" x14ac:dyDescent="0.25">
      <c r="A290" t="s">
        <v>98</v>
      </c>
      <c r="B290">
        <v>41</v>
      </c>
      <c r="C290">
        <v>10</v>
      </c>
      <c r="D290" s="1">
        <v>41470</v>
      </c>
      <c r="E290">
        <v>320</v>
      </c>
      <c r="F290">
        <v>66</v>
      </c>
      <c r="G290" t="s">
        <v>39</v>
      </c>
      <c r="H290" t="s">
        <v>36</v>
      </c>
      <c r="I290">
        <v>12</v>
      </c>
      <c r="J290" t="s">
        <v>23</v>
      </c>
      <c r="K290" t="s">
        <v>32</v>
      </c>
      <c r="L290" t="s">
        <v>33</v>
      </c>
      <c r="M290">
        <v>30</v>
      </c>
      <c r="N290">
        <v>107</v>
      </c>
      <c r="O290" t="s">
        <v>60</v>
      </c>
      <c r="P290">
        <v>30</v>
      </c>
      <c r="Q290">
        <v>40</v>
      </c>
      <c r="R290">
        <v>20</v>
      </c>
      <c r="S290">
        <v>70</v>
      </c>
      <c r="T290">
        <v>36</v>
      </c>
      <c r="U290" t="s">
        <v>35</v>
      </c>
      <c r="V290">
        <f t="shared" si="24"/>
        <v>0.28037383177570091</v>
      </c>
      <c r="W290">
        <f t="shared" si="25"/>
        <v>10</v>
      </c>
      <c r="X290">
        <f t="shared" si="26"/>
        <v>37</v>
      </c>
      <c r="Y290">
        <f t="shared" si="27"/>
        <v>0.38317757009345793</v>
      </c>
      <c r="Z290" s="7" t="str">
        <f t="shared" si="28"/>
        <v>Low Sales</v>
      </c>
      <c r="AA290" s="7" t="str">
        <f t="shared" si="29"/>
        <v>High Margin</v>
      </c>
    </row>
    <row r="291" spans="1:27" x14ac:dyDescent="0.25">
      <c r="A291" t="s">
        <v>83</v>
      </c>
      <c r="B291">
        <v>38</v>
      </c>
      <c r="C291">
        <v>2</v>
      </c>
      <c r="D291" s="1">
        <v>41471</v>
      </c>
      <c r="E291">
        <v>256</v>
      </c>
      <c r="F291">
        <v>51</v>
      </c>
      <c r="G291" t="s">
        <v>39</v>
      </c>
      <c r="H291" t="s">
        <v>36</v>
      </c>
      <c r="I291">
        <v>12</v>
      </c>
      <c r="J291" t="s">
        <v>23</v>
      </c>
      <c r="K291" t="s">
        <v>32</v>
      </c>
      <c r="L291" t="s">
        <v>61</v>
      </c>
      <c r="M291">
        <v>12</v>
      </c>
      <c r="N291">
        <v>89</v>
      </c>
      <c r="O291" t="s">
        <v>49</v>
      </c>
      <c r="P291">
        <v>20</v>
      </c>
      <c r="Q291">
        <v>40</v>
      </c>
      <c r="R291">
        <v>10</v>
      </c>
      <c r="S291">
        <v>60</v>
      </c>
      <c r="T291">
        <v>39</v>
      </c>
      <c r="U291" t="s">
        <v>35</v>
      </c>
      <c r="V291">
        <f t="shared" si="24"/>
        <v>0.1348314606741573</v>
      </c>
      <c r="W291">
        <f t="shared" si="25"/>
        <v>2</v>
      </c>
      <c r="X291">
        <f t="shared" si="26"/>
        <v>29</v>
      </c>
      <c r="Y291">
        <f t="shared" si="27"/>
        <v>0.42696629213483145</v>
      </c>
      <c r="Z291" s="7" t="str">
        <f t="shared" si="28"/>
        <v>Low Sales</v>
      </c>
      <c r="AA291" s="7" t="str">
        <f t="shared" si="29"/>
        <v>High Margin</v>
      </c>
    </row>
    <row r="292" spans="1:27" x14ac:dyDescent="0.25">
      <c r="A292" t="s">
        <v>98</v>
      </c>
      <c r="B292">
        <v>43</v>
      </c>
      <c r="C292">
        <v>8</v>
      </c>
      <c r="D292" s="1">
        <v>41472</v>
      </c>
      <c r="E292">
        <v>466</v>
      </c>
      <c r="F292">
        <v>63</v>
      </c>
      <c r="G292" t="s">
        <v>39</v>
      </c>
      <c r="H292" t="s">
        <v>36</v>
      </c>
      <c r="I292">
        <v>13</v>
      </c>
      <c r="J292" t="s">
        <v>23</v>
      </c>
      <c r="K292" t="s">
        <v>32</v>
      </c>
      <c r="L292" t="s">
        <v>61</v>
      </c>
      <c r="M292">
        <v>28</v>
      </c>
      <c r="N292">
        <v>106</v>
      </c>
      <c r="O292" t="s">
        <v>60</v>
      </c>
      <c r="P292">
        <v>30</v>
      </c>
      <c r="Q292">
        <v>40</v>
      </c>
      <c r="R292">
        <v>20</v>
      </c>
      <c r="S292">
        <v>70</v>
      </c>
      <c r="T292">
        <v>35</v>
      </c>
      <c r="U292" t="s">
        <v>35</v>
      </c>
      <c r="V292">
        <f t="shared" si="24"/>
        <v>0.26415094339622641</v>
      </c>
      <c r="W292">
        <f t="shared" si="25"/>
        <v>8</v>
      </c>
      <c r="X292">
        <f t="shared" si="26"/>
        <v>36</v>
      </c>
      <c r="Y292">
        <f t="shared" si="27"/>
        <v>0.40566037735849059</v>
      </c>
      <c r="Z292" s="7" t="str">
        <f t="shared" si="28"/>
        <v>Low Sales</v>
      </c>
      <c r="AA292" s="7" t="str">
        <f t="shared" si="29"/>
        <v>High Margin</v>
      </c>
    </row>
    <row r="293" spans="1:27" x14ac:dyDescent="0.25">
      <c r="A293" t="s">
        <v>150</v>
      </c>
      <c r="B293">
        <v>39</v>
      </c>
      <c r="C293">
        <v>0</v>
      </c>
      <c r="D293" s="1">
        <v>41473</v>
      </c>
      <c r="E293">
        <v>541</v>
      </c>
      <c r="F293">
        <v>51</v>
      </c>
      <c r="G293" t="s">
        <v>21</v>
      </c>
      <c r="H293" t="s">
        <v>22</v>
      </c>
      <c r="I293">
        <v>12</v>
      </c>
      <c r="J293" t="s">
        <v>23</v>
      </c>
      <c r="K293" t="s">
        <v>24</v>
      </c>
      <c r="L293" t="s">
        <v>25</v>
      </c>
      <c r="M293">
        <v>40</v>
      </c>
      <c r="N293">
        <v>96</v>
      </c>
      <c r="O293" t="s">
        <v>63</v>
      </c>
      <c r="P293">
        <v>20</v>
      </c>
      <c r="Q293">
        <v>40</v>
      </c>
      <c r="R293">
        <v>40</v>
      </c>
      <c r="S293">
        <v>60</v>
      </c>
      <c r="T293">
        <v>24</v>
      </c>
      <c r="U293" t="s">
        <v>27</v>
      </c>
      <c r="V293">
        <f t="shared" si="24"/>
        <v>0.41666666666666669</v>
      </c>
      <c r="W293">
        <f t="shared" si="25"/>
        <v>0</v>
      </c>
      <c r="X293">
        <f t="shared" si="26"/>
        <v>36</v>
      </c>
      <c r="Y293">
        <f t="shared" si="27"/>
        <v>0.40625</v>
      </c>
      <c r="Z293" s="7" t="str">
        <f t="shared" si="28"/>
        <v>Low Sales</v>
      </c>
      <c r="AA293" s="7" t="str">
        <f t="shared" si="29"/>
        <v>High Margin</v>
      </c>
    </row>
    <row r="294" spans="1:27" x14ac:dyDescent="0.25">
      <c r="A294" t="s">
        <v>160</v>
      </c>
      <c r="B294">
        <v>39</v>
      </c>
      <c r="C294">
        <v>-1</v>
      </c>
      <c r="D294" s="1">
        <v>41474</v>
      </c>
      <c r="E294">
        <v>541</v>
      </c>
      <c r="F294">
        <v>51</v>
      </c>
      <c r="G294" t="s">
        <v>21</v>
      </c>
      <c r="H294" t="s">
        <v>36</v>
      </c>
      <c r="I294">
        <v>12</v>
      </c>
      <c r="J294" t="s">
        <v>23</v>
      </c>
      <c r="K294" t="s">
        <v>24</v>
      </c>
      <c r="L294" t="s">
        <v>28</v>
      </c>
      <c r="M294">
        <v>39</v>
      </c>
      <c r="N294">
        <v>96</v>
      </c>
      <c r="O294" t="s">
        <v>38</v>
      </c>
      <c r="P294">
        <v>20</v>
      </c>
      <c r="Q294">
        <v>40</v>
      </c>
      <c r="R294">
        <v>40</v>
      </c>
      <c r="S294">
        <v>60</v>
      </c>
      <c r="T294">
        <v>25</v>
      </c>
      <c r="U294" t="s">
        <v>27</v>
      </c>
      <c r="V294">
        <f t="shared" si="24"/>
        <v>0.40625</v>
      </c>
      <c r="W294">
        <f t="shared" si="25"/>
        <v>-1</v>
      </c>
      <c r="X294">
        <f t="shared" si="26"/>
        <v>36</v>
      </c>
      <c r="Y294">
        <f t="shared" si="27"/>
        <v>0.40625</v>
      </c>
      <c r="Z294" s="7" t="str">
        <f t="shared" si="28"/>
        <v>Low Sales</v>
      </c>
      <c r="AA294" s="7" t="str">
        <f t="shared" si="29"/>
        <v>High Margin</v>
      </c>
    </row>
    <row r="295" spans="1:27" x14ac:dyDescent="0.25">
      <c r="A295" t="s">
        <v>107</v>
      </c>
      <c r="B295">
        <v>86</v>
      </c>
      <c r="C295">
        <v>-49</v>
      </c>
      <c r="D295" s="1">
        <v>41475</v>
      </c>
      <c r="E295">
        <v>1698</v>
      </c>
      <c r="F295">
        <v>23</v>
      </c>
      <c r="G295" t="s">
        <v>39</v>
      </c>
      <c r="H295" t="s">
        <v>29</v>
      </c>
      <c r="I295">
        <v>26</v>
      </c>
      <c r="J295" t="s">
        <v>40</v>
      </c>
      <c r="K295" t="s">
        <v>45</v>
      </c>
      <c r="L295" t="s">
        <v>46</v>
      </c>
      <c r="M295">
        <v>-39</v>
      </c>
      <c r="N295">
        <v>116</v>
      </c>
      <c r="O295" t="s">
        <v>64</v>
      </c>
      <c r="P295">
        <v>110</v>
      </c>
      <c r="Q295">
        <v>40</v>
      </c>
      <c r="R295">
        <v>10</v>
      </c>
      <c r="S295">
        <v>150</v>
      </c>
      <c r="T295">
        <v>49</v>
      </c>
      <c r="U295" t="s">
        <v>27</v>
      </c>
      <c r="V295">
        <f t="shared" si="24"/>
        <v>-0.33620689655172414</v>
      </c>
      <c r="W295">
        <f t="shared" si="25"/>
        <v>-49</v>
      </c>
      <c r="X295">
        <f t="shared" si="26"/>
        <v>-34</v>
      </c>
      <c r="Y295">
        <f t="shared" si="27"/>
        <v>0.74137931034482762</v>
      </c>
      <c r="Z295" s="7" t="str">
        <f t="shared" si="28"/>
        <v>Low Sales</v>
      </c>
      <c r="AA295" s="7" t="str">
        <f t="shared" si="29"/>
        <v>Low Margin</v>
      </c>
    </row>
    <row r="296" spans="1:27" x14ac:dyDescent="0.25">
      <c r="A296" t="s">
        <v>79</v>
      </c>
      <c r="B296">
        <v>46</v>
      </c>
      <c r="C296">
        <v>5</v>
      </c>
      <c r="D296" s="1">
        <v>41476</v>
      </c>
      <c r="E296">
        <v>449</v>
      </c>
      <c r="F296">
        <v>67</v>
      </c>
      <c r="G296" t="s">
        <v>39</v>
      </c>
      <c r="H296" t="s">
        <v>29</v>
      </c>
      <c r="I296">
        <v>14</v>
      </c>
      <c r="J296" t="s">
        <v>40</v>
      </c>
      <c r="K296" t="s">
        <v>41</v>
      </c>
      <c r="L296" t="s">
        <v>42</v>
      </c>
      <c r="M296">
        <v>45</v>
      </c>
      <c r="N296">
        <v>120</v>
      </c>
      <c r="O296" t="s">
        <v>55</v>
      </c>
      <c r="P296">
        <v>20</v>
      </c>
      <c r="Q296">
        <v>40</v>
      </c>
      <c r="R296">
        <v>40</v>
      </c>
      <c r="S296">
        <v>60</v>
      </c>
      <c r="T296">
        <v>37</v>
      </c>
      <c r="U296" t="s">
        <v>27</v>
      </c>
      <c r="V296">
        <f t="shared" si="24"/>
        <v>0.375</v>
      </c>
      <c r="W296">
        <f t="shared" si="25"/>
        <v>5</v>
      </c>
      <c r="X296">
        <f t="shared" si="26"/>
        <v>60</v>
      </c>
      <c r="Y296">
        <f t="shared" si="27"/>
        <v>0.38333333333333336</v>
      </c>
      <c r="Z296" s="7" t="str">
        <f t="shared" si="28"/>
        <v>Low Sales</v>
      </c>
      <c r="AA296" s="7" t="str">
        <f t="shared" si="29"/>
        <v>High Margin</v>
      </c>
    </row>
    <row r="297" spans="1:27" x14ac:dyDescent="0.25">
      <c r="A297" t="s">
        <v>142</v>
      </c>
      <c r="B297">
        <v>31</v>
      </c>
      <c r="C297">
        <v>-20</v>
      </c>
      <c r="D297" s="1">
        <v>41477</v>
      </c>
      <c r="E297">
        <v>1000</v>
      </c>
      <c r="F297">
        <v>37</v>
      </c>
      <c r="G297" t="s">
        <v>39</v>
      </c>
      <c r="H297" t="s">
        <v>22</v>
      </c>
      <c r="I297">
        <v>9</v>
      </c>
      <c r="J297" t="s">
        <v>40</v>
      </c>
      <c r="K297" t="s">
        <v>45</v>
      </c>
      <c r="L297" t="s">
        <v>52</v>
      </c>
      <c r="M297">
        <v>10</v>
      </c>
      <c r="N297">
        <v>72</v>
      </c>
      <c r="O297" t="s">
        <v>43</v>
      </c>
      <c r="P297">
        <v>20</v>
      </c>
      <c r="Q297">
        <v>40</v>
      </c>
      <c r="R297">
        <v>30</v>
      </c>
      <c r="S297">
        <v>60</v>
      </c>
      <c r="T297">
        <v>30</v>
      </c>
      <c r="U297" t="s">
        <v>35</v>
      </c>
      <c r="V297">
        <f t="shared" si="24"/>
        <v>0.1388888888888889</v>
      </c>
      <c r="W297">
        <f t="shared" si="25"/>
        <v>-20</v>
      </c>
      <c r="X297">
        <f t="shared" si="26"/>
        <v>12</v>
      </c>
      <c r="Y297">
        <f t="shared" si="27"/>
        <v>0.43055555555555558</v>
      </c>
      <c r="Z297" s="7" t="str">
        <f t="shared" si="28"/>
        <v>Low Sales</v>
      </c>
      <c r="AA297" s="7" t="str">
        <f t="shared" si="29"/>
        <v>High Margin</v>
      </c>
    </row>
    <row r="298" spans="1:27" x14ac:dyDescent="0.25">
      <c r="A298" t="s">
        <v>107</v>
      </c>
      <c r="B298">
        <v>45</v>
      </c>
      <c r="C298">
        <v>-19</v>
      </c>
      <c r="D298" s="1">
        <v>41478</v>
      </c>
      <c r="E298">
        <v>320</v>
      </c>
      <c r="F298">
        <v>64</v>
      </c>
      <c r="G298" t="s">
        <v>39</v>
      </c>
      <c r="H298" t="s">
        <v>29</v>
      </c>
      <c r="I298">
        <v>41</v>
      </c>
      <c r="J298" t="s">
        <v>40</v>
      </c>
      <c r="K298" t="s">
        <v>41</v>
      </c>
      <c r="L298" t="s">
        <v>53</v>
      </c>
      <c r="M298">
        <v>-9</v>
      </c>
      <c r="N298">
        <v>116</v>
      </c>
      <c r="O298" t="s">
        <v>64</v>
      </c>
      <c r="P298">
        <v>20</v>
      </c>
      <c r="Q298">
        <v>40</v>
      </c>
      <c r="R298">
        <v>10</v>
      </c>
      <c r="S298">
        <v>60</v>
      </c>
      <c r="T298">
        <v>70</v>
      </c>
      <c r="U298" t="s">
        <v>35</v>
      </c>
      <c r="V298">
        <f t="shared" si="24"/>
        <v>-7.7586206896551727E-2</v>
      </c>
      <c r="W298">
        <f t="shared" si="25"/>
        <v>-19</v>
      </c>
      <c r="X298">
        <f t="shared" si="26"/>
        <v>56</v>
      </c>
      <c r="Y298">
        <f t="shared" si="27"/>
        <v>0.38793103448275862</v>
      </c>
      <c r="Z298" s="7" t="str">
        <f t="shared" si="28"/>
        <v>Low Sales</v>
      </c>
      <c r="AA298" s="7" t="str">
        <f t="shared" si="29"/>
        <v>Low Margin</v>
      </c>
    </row>
    <row r="299" spans="1:27" x14ac:dyDescent="0.25">
      <c r="A299" t="s">
        <v>77</v>
      </c>
      <c r="B299">
        <v>32</v>
      </c>
      <c r="C299">
        <v>2</v>
      </c>
      <c r="D299" s="1">
        <v>41479</v>
      </c>
      <c r="E299">
        <v>833</v>
      </c>
      <c r="F299">
        <v>47</v>
      </c>
      <c r="G299" t="s">
        <v>39</v>
      </c>
      <c r="H299" t="s">
        <v>36</v>
      </c>
      <c r="I299">
        <v>8</v>
      </c>
      <c r="J299" t="s">
        <v>40</v>
      </c>
      <c r="K299" t="s">
        <v>41</v>
      </c>
      <c r="L299" t="s">
        <v>54</v>
      </c>
      <c r="M299">
        <v>42</v>
      </c>
      <c r="N299">
        <v>84</v>
      </c>
      <c r="O299" t="s">
        <v>49</v>
      </c>
      <c r="P299">
        <v>20</v>
      </c>
      <c r="Q299">
        <v>40</v>
      </c>
      <c r="R299">
        <v>40</v>
      </c>
      <c r="S299">
        <v>60</v>
      </c>
      <c r="T299">
        <v>19</v>
      </c>
      <c r="U299" t="s">
        <v>35</v>
      </c>
      <c r="V299">
        <f t="shared" si="24"/>
        <v>0.5</v>
      </c>
      <c r="W299">
        <f t="shared" si="25"/>
        <v>2</v>
      </c>
      <c r="X299">
        <f t="shared" si="26"/>
        <v>24</v>
      </c>
      <c r="Y299">
        <f t="shared" si="27"/>
        <v>0.38095238095238093</v>
      </c>
      <c r="Z299" s="7" t="str">
        <f t="shared" si="28"/>
        <v>Low Sales</v>
      </c>
      <c r="AA299" s="7" t="str">
        <f t="shared" si="29"/>
        <v>High Margin</v>
      </c>
    </row>
    <row r="300" spans="1:27" x14ac:dyDescent="0.25">
      <c r="A300" t="s">
        <v>107</v>
      </c>
      <c r="B300">
        <v>31</v>
      </c>
      <c r="C300">
        <v>-21</v>
      </c>
      <c r="D300" s="1">
        <v>41480</v>
      </c>
      <c r="E300">
        <v>1000</v>
      </c>
      <c r="F300">
        <v>37</v>
      </c>
      <c r="G300" t="s">
        <v>39</v>
      </c>
      <c r="H300" t="s">
        <v>29</v>
      </c>
      <c r="I300">
        <v>9</v>
      </c>
      <c r="J300" t="s">
        <v>23</v>
      </c>
      <c r="K300" t="s">
        <v>24</v>
      </c>
      <c r="L300" t="s">
        <v>25</v>
      </c>
      <c r="M300">
        <v>9</v>
      </c>
      <c r="N300">
        <v>72</v>
      </c>
      <c r="O300" t="s">
        <v>64</v>
      </c>
      <c r="P300">
        <v>10</v>
      </c>
      <c r="Q300">
        <v>40</v>
      </c>
      <c r="R300">
        <v>30</v>
      </c>
      <c r="S300">
        <v>50</v>
      </c>
      <c r="T300">
        <v>31</v>
      </c>
      <c r="U300" t="s">
        <v>27</v>
      </c>
      <c r="V300">
        <f t="shared" si="24"/>
        <v>0.125</v>
      </c>
      <c r="W300">
        <f t="shared" si="25"/>
        <v>-21</v>
      </c>
      <c r="X300">
        <f t="shared" si="26"/>
        <v>22</v>
      </c>
      <c r="Y300">
        <f t="shared" si="27"/>
        <v>0.43055555555555558</v>
      </c>
      <c r="Z300" s="7" t="str">
        <f t="shared" si="28"/>
        <v>Low Sales</v>
      </c>
      <c r="AA300" s="7" t="str">
        <f t="shared" si="29"/>
        <v>High Margin</v>
      </c>
    </row>
    <row r="301" spans="1:27" x14ac:dyDescent="0.25">
      <c r="A301" t="s">
        <v>94</v>
      </c>
      <c r="B301">
        <v>39</v>
      </c>
      <c r="C301">
        <v>-11</v>
      </c>
      <c r="D301" s="1">
        <v>41481</v>
      </c>
      <c r="E301">
        <v>244</v>
      </c>
      <c r="F301">
        <v>53</v>
      </c>
      <c r="G301" t="s">
        <v>39</v>
      </c>
      <c r="H301" t="s">
        <v>22</v>
      </c>
      <c r="I301">
        <v>12</v>
      </c>
      <c r="J301" t="s">
        <v>23</v>
      </c>
      <c r="K301" t="s">
        <v>32</v>
      </c>
      <c r="L301" t="s">
        <v>33</v>
      </c>
      <c r="M301">
        <v>19</v>
      </c>
      <c r="N301">
        <v>98</v>
      </c>
      <c r="O301" t="s">
        <v>58</v>
      </c>
      <c r="P301">
        <v>20</v>
      </c>
      <c r="Q301">
        <v>40</v>
      </c>
      <c r="R301">
        <v>30</v>
      </c>
      <c r="S301">
        <v>60</v>
      </c>
      <c r="T301">
        <v>40</v>
      </c>
      <c r="U301" t="s">
        <v>35</v>
      </c>
      <c r="V301">
        <f t="shared" si="24"/>
        <v>0.19387755102040816</v>
      </c>
      <c r="W301">
        <f t="shared" si="25"/>
        <v>-11</v>
      </c>
      <c r="X301">
        <f t="shared" si="26"/>
        <v>38</v>
      </c>
      <c r="Y301">
        <f t="shared" si="27"/>
        <v>0.39795918367346939</v>
      </c>
      <c r="Z301" s="7" t="str">
        <f t="shared" si="28"/>
        <v>Low Sales</v>
      </c>
      <c r="AA301" s="7" t="str">
        <f t="shared" si="29"/>
        <v>High Margin</v>
      </c>
    </row>
    <row r="302" spans="1:27" x14ac:dyDescent="0.25">
      <c r="A302" t="s">
        <v>99</v>
      </c>
      <c r="B302">
        <v>24</v>
      </c>
      <c r="C302">
        <v>-13</v>
      </c>
      <c r="D302" s="1">
        <v>41482</v>
      </c>
      <c r="E302">
        <v>806</v>
      </c>
      <c r="F302">
        <v>36</v>
      </c>
      <c r="G302" t="s">
        <v>39</v>
      </c>
      <c r="H302" t="s">
        <v>31</v>
      </c>
      <c r="I302">
        <v>6</v>
      </c>
      <c r="J302" t="s">
        <v>23</v>
      </c>
      <c r="K302" t="s">
        <v>32</v>
      </c>
      <c r="L302" t="s">
        <v>37</v>
      </c>
      <c r="M302">
        <v>27</v>
      </c>
      <c r="N302">
        <v>64</v>
      </c>
      <c r="O302" t="s">
        <v>44</v>
      </c>
      <c r="P302">
        <v>20</v>
      </c>
      <c r="Q302">
        <v>40</v>
      </c>
      <c r="R302">
        <v>40</v>
      </c>
      <c r="S302">
        <v>60</v>
      </c>
      <c r="T302">
        <v>18</v>
      </c>
      <c r="U302" t="s">
        <v>35</v>
      </c>
      <c r="V302">
        <f t="shared" si="24"/>
        <v>0.421875</v>
      </c>
      <c r="W302">
        <f t="shared" si="25"/>
        <v>-13</v>
      </c>
      <c r="X302">
        <f t="shared" si="26"/>
        <v>4</v>
      </c>
      <c r="Y302">
        <f t="shared" si="27"/>
        <v>0.375</v>
      </c>
      <c r="Z302" s="7" t="str">
        <f t="shared" si="28"/>
        <v>Low Sales</v>
      </c>
      <c r="AA302" s="7" t="str">
        <f t="shared" si="29"/>
        <v>High Margin</v>
      </c>
    </row>
    <row r="303" spans="1:27" x14ac:dyDescent="0.25">
      <c r="A303" t="s">
        <v>78</v>
      </c>
      <c r="B303">
        <v>0</v>
      </c>
      <c r="C303">
        <v>7</v>
      </c>
      <c r="D303" s="1">
        <v>41483</v>
      </c>
      <c r="E303">
        <v>430</v>
      </c>
      <c r="F303">
        <v>43</v>
      </c>
      <c r="G303" t="s">
        <v>39</v>
      </c>
      <c r="H303" t="s">
        <v>31</v>
      </c>
      <c r="I303">
        <v>0</v>
      </c>
      <c r="J303" t="s">
        <v>23</v>
      </c>
      <c r="K303" t="s">
        <v>32</v>
      </c>
      <c r="L303" t="s">
        <v>37</v>
      </c>
      <c r="M303">
        <v>47</v>
      </c>
      <c r="N303">
        <v>46</v>
      </c>
      <c r="O303" t="s">
        <v>51</v>
      </c>
      <c r="P303">
        <v>0</v>
      </c>
      <c r="Q303">
        <v>40</v>
      </c>
      <c r="R303">
        <v>40</v>
      </c>
      <c r="S303">
        <v>40</v>
      </c>
      <c r="T303">
        <v>11</v>
      </c>
      <c r="U303" t="s">
        <v>35</v>
      </c>
      <c r="V303">
        <f t="shared" si="24"/>
        <v>1.0217391304347827</v>
      </c>
      <c r="W303">
        <f t="shared" si="25"/>
        <v>7</v>
      </c>
      <c r="X303">
        <f t="shared" si="26"/>
        <v>6</v>
      </c>
      <c r="Y303">
        <f t="shared" si="27"/>
        <v>0</v>
      </c>
      <c r="Z303" s="7" t="str">
        <f t="shared" si="28"/>
        <v>Low Sales</v>
      </c>
      <c r="AA303" s="7" t="str">
        <f t="shared" si="29"/>
        <v>High Margin</v>
      </c>
    </row>
    <row r="304" spans="1:27" x14ac:dyDescent="0.25">
      <c r="A304" t="s">
        <v>77</v>
      </c>
      <c r="B304">
        <v>45</v>
      </c>
      <c r="C304">
        <v>-29</v>
      </c>
      <c r="D304" s="1">
        <v>41484</v>
      </c>
      <c r="E304">
        <v>320</v>
      </c>
      <c r="F304">
        <v>64</v>
      </c>
      <c r="G304" t="s">
        <v>39</v>
      </c>
      <c r="H304" t="s">
        <v>36</v>
      </c>
      <c r="I304">
        <v>41</v>
      </c>
      <c r="J304" t="s">
        <v>23</v>
      </c>
      <c r="K304" t="s">
        <v>32</v>
      </c>
      <c r="L304" t="s">
        <v>33</v>
      </c>
      <c r="M304">
        <v>-9</v>
      </c>
      <c r="N304">
        <v>116</v>
      </c>
      <c r="O304" t="s">
        <v>49</v>
      </c>
      <c r="P304">
        <v>10</v>
      </c>
      <c r="Q304">
        <v>40</v>
      </c>
      <c r="R304">
        <v>20</v>
      </c>
      <c r="S304">
        <v>50</v>
      </c>
      <c r="T304">
        <v>70</v>
      </c>
      <c r="U304" t="s">
        <v>35</v>
      </c>
      <c r="V304">
        <f t="shared" si="24"/>
        <v>-7.7586206896551727E-2</v>
      </c>
      <c r="W304">
        <f t="shared" si="25"/>
        <v>-29</v>
      </c>
      <c r="X304">
        <f t="shared" si="26"/>
        <v>66</v>
      </c>
      <c r="Y304">
        <f t="shared" si="27"/>
        <v>0.38793103448275862</v>
      </c>
      <c r="Z304" s="7" t="str">
        <f t="shared" si="28"/>
        <v>Low Sales</v>
      </c>
      <c r="AA304" s="7" t="str">
        <f t="shared" si="29"/>
        <v>Low Margin</v>
      </c>
    </row>
    <row r="305" spans="1:27" x14ac:dyDescent="0.25">
      <c r="A305" t="s">
        <v>100</v>
      </c>
      <c r="B305">
        <v>60</v>
      </c>
      <c r="C305">
        <v>-10</v>
      </c>
      <c r="D305" s="1">
        <v>41485</v>
      </c>
      <c r="E305">
        <v>606</v>
      </c>
      <c r="F305">
        <v>84</v>
      </c>
      <c r="G305" t="s">
        <v>39</v>
      </c>
      <c r="H305" t="s">
        <v>36</v>
      </c>
      <c r="I305">
        <v>54</v>
      </c>
      <c r="J305" t="s">
        <v>23</v>
      </c>
      <c r="K305" t="s">
        <v>32</v>
      </c>
      <c r="L305" t="s">
        <v>37</v>
      </c>
      <c r="M305">
        <v>0</v>
      </c>
      <c r="N305">
        <v>153</v>
      </c>
      <c r="O305" t="s">
        <v>60</v>
      </c>
      <c r="P305">
        <v>20</v>
      </c>
      <c r="Q305">
        <v>40</v>
      </c>
      <c r="R305">
        <v>10</v>
      </c>
      <c r="S305">
        <v>60</v>
      </c>
      <c r="T305">
        <v>84</v>
      </c>
      <c r="U305" t="s">
        <v>35</v>
      </c>
      <c r="V305">
        <f t="shared" si="24"/>
        <v>0</v>
      </c>
      <c r="W305">
        <f t="shared" si="25"/>
        <v>-10</v>
      </c>
      <c r="X305">
        <f t="shared" si="26"/>
        <v>93</v>
      </c>
      <c r="Y305">
        <f t="shared" si="27"/>
        <v>0.39215686274509803</v>
      </c>
      <c r="Z305" s="7" t="str">
        <f t="shared" si="28"/>
        <v>Low Sales</v>
      </c>
      <c r="AA305" s="7" t="str">
        <f t="shared" si="29"/>
        <v>Low Margin</v>
      </c>
    </row>
    <row r="306" spans="1:27" x14ac:dyDescent="0.25">
      <c r="A306" t="s">
        <v>161</v>
      </c>
      <c r="B306">
        <v>32</v>
      </c>
      <c r="C306">
        <v>13</v>
      </c>
      <c r="D306" s="1">
        <v>41486</v>
      </c>
      <c r="E306">
        <v>482</v>
      </c>
      <c r="F306">
        <v>48</v>
      </c>
      <c r="G306" t="s">
        <v>21</v>
      </c>
      <c r="H306" t="s">
        <v>22</v>
      </c>
      <c r="I306">
        <v>8</v>
      </c>
      <c r="J306" t="s">
        <v>23</v>
      </c>
      <c r="K306" t="s">
        <v>24</v>
      </c>
      <c r="L306" t="s">
        <v>57</v>
      </c>
      <c r="M306">
        <v>43</v>
      </c>
      <c r="N306">
        <v>85</v>
      </c>
      <c r="O306" t="s">
        <v>65</v>
      </c>
      <c r="P306">
        <v>30</v>
      </c>
      <c r="Q306">
        <v>40</v>
      </c>
      <c r="R306">
        <v>30</v>
      </c>
      <c r="S306">
        <v>70</v>
      </c>
      <c r="T306">
        <v>19</v>
      </c>
      <c r="U306" t="s">
        <v>27</v>
      </c>
      <c r="V306">
        <f t="shared" si="24"/>
        <v>0.50588235294117645</v>
      </c>
      <c r="W306">
        <f t="shared" si="25"/>
        <v>13</v>
      </c>
      <c r="X306">
        <f t="shared" si="26"/>
        <v>15</v>
      </c>
      <c r="Y306">
        <f t="shared" si="27"/>
        <v>0.37647058823529411</v>
      </c>
      <c r="Z306" s="7" t="str">
        <f t="shared" si="28"/>
        <v>Low Sales</v>
      </c>
      <c r="AA306" s="7" t="str">
        <f t="shared" si="29"/>
        <v>High Margin</v>
      </c>
    </row>
    <row r="307" spans="1:27" x14ac:dyDescent="0.25">
      <c r="A307" t="s">
        <v>103</v>
      </c>
      <c r="B307">
        <v>54</v>
      </c>
      <c r="C307">
        <v>9</v>
      </c>
      <c r="D307" s="1">
        <v>41487</v>
      </c>
      <c r="E307">
        <v>391</v>
      </c>
      <c r="F307">
        <v>67</v>
      </c>
      <c r="G307" t="s">
        <v>21</v>
      </c>
      <c r="H307" t="s">
        <v>31</v>
      </c>
      <c r="I307">
        <v>20</v>
      </c>
      <c r="J307" t="s">
        <v>23</v>
      </c>
      <c r="K307" t="s">
        <v>24</v>
      </c>
      <c r="L307" t="s">
        <v>25</v>
      </c>
      <c r="M307">
        <v>19</v>
      </c>
      <c r="N307">
        <v>129</v>
      </c>
      <c r="O307" t="s">
        <v>34</v>
      </c>
      <c r="P307">
        <v>40</v>
      </c>
      <c r="Q307">
        <v>40</v>
      </c>
      <c r="R307">
        <v>10</v>
      </c>
      <c r="S307">
        <v>80</v>
      </c>
      <c r="T307">
        <v>54</v>
      </c>
      <c r="U307" t="s">
        <v>27</v>
      </c>
      <c r="V307">
        <f t="shared" si="24"/>
        <v>0.14728682170542637</v>
      </c>
      <c r="W307">
        <f t="shared" si="25"/>
        <v>9</v>
      </c>
      <c r="X307">
        <f t="shared" si="26"/>
        <v>49</v>
      </c>
      <c r="Y307">
        <f t="shared" si="27"/>
        <v>0.41860465116279072</v>
      </c>
      <c r="Z307" s="7" t="str">
        <f t="shared" si="28"/>
        <v>Low Sales</v>
      </c>
      <c r="AA307" s="7" t="str">
        <f t="shared" si="29"/>
        <v>High Margin</v>
      </c>
    </row>
    <row r="308" spans="1:27" x14ac:dyDescent="0.25">
      <c r="A308" t="s">
        <v>109</v>
      </c>
      <c r="B308">
        <v>22</v>
      </c>
      <c r="C308">
        <v>-14</v>
      </c>
      <c r="D308" s="1">
        <v>41488</v>
      </c>
      <c r="E308">
        <v>570</v>
      </c>
      <c r="F308">
        <v>30</v>
      </c>
      <c r="G308" t="s">
        <v>39</v>
      </c>
      <c r="H308" t="s">
        <v>22</v>
      </c>
      <c r="I308">
        <v>7</v>
      </c>
      <c r="J308" t="s">
        <v>40</v>
      </c>
      <c r="K308" t="s">
        <v>41</v>
      </c>
      <c r="L308" t="s">
        <v>42</v>
      </c>
      <c r="M308">
        <v>16</v>
      </c>
      <c r="N308">
        <v>55</v>
      </c>
      <c r="O308" t="s">
        <v>59</v>
      </c>
      <c r="P308">
        <v>20</v>
      </c>
      <c r="Q308">
        <v>40</v>
      </c>
      <c r="R308">
        <v>30</v>
      </c>
      <c r="S308">
        <v>60</v>
      </c>
      <c r="T308">
        <v>19</v>
      </c>
      <c r="U308" t="s">
        <v>27</v>
      </c>
      <c r="V308">
        <f t="shared" si="24"/>
        <v>0.29090909090909089</v>
      </c>
      <c r="W308">
        <f t="shared" si="25"/>
        <v>-14</v>
      </c>
      <c r="X308">
        <f t="shared" si="26"/>
        <v>-5</v>
      </c>
      <c r="Y308">
        <f t="shared" si="27"/>
        <v>0.4</v>
      </c>
      <c r="Z308" s="7" t="str">
        <f t="shared" si="28"/>
        <v>Low Sales</v>
      </c>
      <c r="AA308" s="7" t="str">
        <f t="shared" si="29"/>
        <v>High Margin</v>
      </c>
    </row>
    <row r="309" spans="1:27" x14ac:dyDescent="0.25">
      <c r="A309" t="s">
        <v>107</v>
      </c>
      <c r="B309">
        <v>35</v>
      </c>
      <c r="C309">
        <v>-8</v>
      </c>
      <c r="D309" s="1">
        <v>41489</v>
      </c>
      <c r="E309">
        <v>248</v>
      </c>
      <c r="F309">
        <v>47</v>
      </c>
      <c r="G309" t="s">
        <v>39</v>
      </c>
      <c r="H309" t="s">
        <v>29</v>
      </c>
      <c r="I309">
        <v>11</v>
      </c>
      <c r="J309" t="s">
        <v>40</v>
      </c>
      <c r="K309" t="s">
        <v>41</v>
      </c>
      <c r="L309" t="s">
        <v>42</v>
      </c>
      <c r="M309">
        <v>12</v>
      </c>
      <c r="N309">
        <v>87</v>
      </c>
      <c r="O309" t="s">
        <v>64</v>
      </c>
      <c r="P309">
        <v>20</v>
      </c>
      <c r="Q309">
        <v>40</v>
      </c>
      <c r="R309">
        <v>20</v>
      </c>
      <c r="S309">
        <v>60</v>
      </c>
      <c r="T309">
        <v>39</v>
      </c>
      <c r="U309" t="s">
        <v>27</v>
      </c>
      <c r="V309">
        <f t="shared" si="24"/>
        <v>0.13793103448275862</v>
      </c>
      <c r="W309">
        <f t="shared" si="25"/>
        <v>-8</v>
      </c>
      <c r="X309">
        <f t="shared" si="26"/>
        <v>27</v>
      </c>
      <c r="Y309">
        <f t="shared" si="27"/>
        <v>0.40229885057471265</v>
      </c>
      <c r="Z309" s="7" t="str">
        <f t="shared" si="28"/>
        <v>Low Sales</v>
      </c>
      <c r="AA309" s="7" t="str">
        <f t="shared" si="29"/>
        <v>High Margin</v>
      </c>
    </row>
    <row r="310" spans="1:27" x14ac:dyDescent="0.25">
      <c r="A310" t="s">
        <v>116</v>
      </c>
      <c r="B310">
        <v>29</v>
      </c>
      <c r="C310">
        <v>-13</v>
      </c>
      <c r="D310" s="1">
        <v>41490</v>
      </c>
      <c r="E310">
        <v>1003</v>
      </c>
      <c r="F310">
        <v>35</v>
      </c>
      <c r="G310" t="s">
        <v>39</v>
      </c>
      <c r="H310" t="s">
        <v>36</v>
      </c>
      <c r="I310">
        <v>8</v>
      </c>
      <c r="J310" t="s">
        <v>40</v>
      </c>
      <c r="K310" t="s">
        <v>45</v>
      </c>
      <c r="L310" t="s">
        <v>46</v>
      </c>
      <c r="M310">
        <v>7</v>
      </c>
      <c r="N310">
        <v>68</v>
      </c>
      <c r="O310" t="s">
        <v>48</v>
      </c>
      <c r="P310">
        <v>30</v>
      </c>
      <c r="Q310">
        <v>40</v>
      </c>
      <c r="R310">
        <v>20</v>
      </c>
      <c r="S310">
        <v>70</v>
      </c>
      <c r="T310">
        <v>30</v>
      </c>
      <c r="U310" t="s">
        <v>27</v>
      </c>
      <c r="V310">
        <f t="shared" si="24"/>
        <v>0.10294117647058823</v>
      </c>
      <c r="W310">
        <f t="shared" si="25"/>
        <v>-13</v>
      </c>
      <c r="X310">
        <f t="shared" si="26"/>
        <v>-2</v>
      </c>
      <c r="Y310">
        <f t="shared" si="27"/>
        <v>0.4264705882352941</v>
      </c>
      <c r="Z310" s="7" t="str">
        <f t="shared" si="28"/>
        <v>Low Sales</v>
      </c>
      <c r="AA310" s="7" t="str">
        <f t="shared" si="29"/>
        <v>Low Margin</v>
      </c>
    </row>
    <row r="311" spans="1:27" x14ac:dyDescent="0.25">
      <c r="A311" t="s">
        <v>142</v>
      </c>
      <c r="B311">
        <v>29</v>
      </c>
      <c r="C311">
        <v>-13</v>
      </c>
      <c r="D311" s="1">
        <v>41491</v>
      </c>
      <c r="E311">
        <v>1003</v>
      </c>
      <c r="F311">
        <v>35</v>
      </c>
      <c r="G311" t="s">
        <v>39</v>
      </c>
      <c r="H311" t="s">
        <v>22</v>
      </c>
      <c r="I311">
        <v>8</v>
      </c>
      <c r="J311" t="s">
        <v>40</v>
      </c>
      <c r="K311" t="s">
        <v>45</v>
      </c>
      <c r="L311" t="s">
        <v>52</v>
      </c>
      <c r="M311">
        <v>7</v>
      </c>
      <c r="N311">
        <v>68</v>
      </c>
      <c r="O311" t="s">
        <v>43</v>
      </c>
      <c r="P311">
        <v>20</v>
      </c>
      <c r="Q311">
        <v>40</v>
      </c>
      <c r="R311">
        <v>20</v>
      </c>
      <c r="S311">
        <v>60</v>
      </c>
      <c r="T311">
        <v>30</v>
      </c>
      <c r="U311" t="s">
        <v>35</v>
      </c>
      <c r="V311">
        <f t="shared" si="24"/>
        <v>0.10294117647058823</v>
      </c>
      <c r="W311">
        <f t="shared" si="25"/>
        <v>-13</v>
      </c>
      <c r="X311">
        <f t="shared" si="26"/>
        <v>8</v>
      </c>
      <c r="Y311">
        <f t="shared" si="27"/>
        <v>0.4264705882352941</v>
      </c>
      <c r="Z311" s="7" t="str">
        <f t="shared" si="28"/>
        <v>Low Sales</v>
      </c>
      <c r="AA311" s="7" t="str">
        <f t="shared" si="29"/>
        <v>Low Margin</v>
      </c>
    </row>
    <row r="312" spans="1:27" x14ac:dyDescent="0.25">
      <c r="A312" t="s">
        <v>78</v>
      </c>
      <c r="B312">
        <v>34</v>
      </c>
      <c r="C312">
        <v>-4</v>
      </c>
      <c r="D312" s="1">
        <v>41492</v>
      </c>
      <c r="E312">
        <v>211</v>
      </c>
      <c r="F312">
        <v>42</v>
      </c>
      <c r="G312" t="s">
        <v>39</v>
      </c>
      <c r="H312" t="s">
        <v>31</v>
      </c>
      <c r="I312">
        <v>12</v>
      </c>
      <c r="J312" t="s">
        <v>40</v>
      </c>
      <c r="K312" t="s">
        <v>41</v>
      </c>
      <c r="L312" t="s">
        <v>66</v>
      </c>
      <c r="M312">
        <v>-4</v>
      </c>
      <c r="N312">
        <v>81</v>
      </c>
      <c r="O312" t="s">
        <v>51</v>
      </c>
      <c r="P312">
        <v>30</v>
      </c>
      <c r="Q312">
        <v>40</v>
      </c>
      <c r="R312">
        <v>0</v>
      </c>
      <c r="S312">
        <v>70</v>
      </c>
      <c r="T312">
        <v>45</v>
      </c>
      <c r="U312" t="s">
        <v>35</v>
      </c>
      <c r="V312">
        <f t="shared" si="24"/>
        <v>-4.9382716049382713E-2</v>
      </c>
      <c r="W312">
        <f t="shared" si="25"/>
        <v>-4</v>
      </c>
      <c r="X312">
        <f t="shared" si="26"/>
        <v>11</v>
      </c>
      <c r="Y312">
        <f t="shared" si="27"/>
        <v>0.41975308641975306</v>
      </c>
      <c r="Z312" s="7" t="str">
        <f t="shared" si="28"/>
        <v>Low Sales</v>
      </c>
      <c r="AA312" s="7" t="str">
        <f t="shared" si="29"/>
        <v>Low Margin</v>
      </c>
    </row>
    <row r="313" spans="1:27" x14ac:dyDescent="0.25">
      <c r="A313" t="s">
        <v>96</v>
      </c>
      <c r="B313">
        <v>32</v>
      </c>
      <c r="C313">
        <v>13</v>
      </c>
      <c r="D313" s="1">
        <v>41493</v>
      </c>
      <c r="E313">
        <v>482</v>
      </c>
      <c r="F313">
        <v>48</v>
      </c>
      <c r="G313" t="s">
        <v>39</v>
      </c>
      <c r="H313" t="s">
        <v>29</v>
      </c>
      <c r="I313">
        <v>8</v>
      </c>
      <c r="J313" t="s">
        <v>40</v>
      </c>
      <c r="K313" t="s">
        <v>41</v>
      </c>
      <c r="L313" t="s">
        <v>53</v>
      </c>
      <c r="M313">
        <v>43</v>
      </c>
      <c r="N313">
        <v>85</v>
      </c>
      <c r="O313" t="s">
        <v>47</v>
      </c>
      <c r="P313">
        <v>20</v>
      </c>
      <c r="Q313">
        <v>40</v>
      </c>
      <c r="R313">
        <v>30</v>
      </c>
      <c r="S313">
        <v>60</v>
      </c>
      <c r="T313">
        <v>19</v>
      </c>
      <c r="U313" t="s">
        <v>35</v>
      </c>
      <c r="V313">
        <f t="shared" si="24"/>
        <v>0.50588235294117645</v>
      </c>
      <c r="W313">
        <f t="shared" si="25"/>
        <v>13</v>
      </c>
      <c r="X313">
        <f t="shared" si="26"/>
        <v>25</v>
      </c>
      <c r="Y313">
        <f t="shared" si="27"/>
        <v>0.37647058823529411</v>
      </c>
      <c r="Z313" s="7" t="str">
        <f t="shared" si="28"/>
        <v>Low Sales</v>
      </c>
      <c r="AA313" s="7" t="str">
        <f t="shared" si="29"/>
        <v>High Margin</v>
      </c>
    </row>
    <row r="314" spans="1:27" x14ac:dyDescent="0.25">
      <c r="A314" t="s">
        <v>76</v>
      </c>
      <c r="B314">
        <v>0</v>
      </c>
      <c r="C314">
        <v>16</v>
      </c>
      <c r="D314" s="1">
        <v>41494</v>
      </c>
      <c r="E314">
        <v>387</v>
      </c>
      <c r="F314">
        <v>43</v>
      </c>
      <c r="G314" t="s">
        <v>39</v>
      </c>
      <c r="H314" t="s">
        <v>36</v>
      </c>
      <c r="I314">
        <v>0</v>
      </c>
      <c r="J314" t="s">
        <v>40</v>
      </c>
      <c r="K314" t="s">
        <v>41</v>
      </c>
      <c r="L314" t="s">
        <v>54</v>
      </c>
      <c r="M314">
        <v>46</v>
      </c>
      <c r="N314">
        <v>46</v>
      </c>
      <c r="O314" t="s">
        <v>48</v>
      </c>
      <c r="P314">
        <v>0</v>
      </c>
      <c r="Q314">
        <v>40</v>
      </c>
      <c r="R314">
        <v>30</v>
      </c>
      <c r="S314">
        <v>40</v>
      </c>
      <c r="T314">
        <v>12</v>
      </c>
      <c r="U314" t="s">
        <v>35</v>
      </c>
      <c r="V314">
        <f t="shared" si="24"/>
        <v>1</v>
      </c>
      <c r="W314">
        <f t="shared" si="25"/>
        <v>16</v>
      </c>
      <c r="X314">
        <f t="shared" si="26"/>
        <v>6</v>
      </c>
      <c r="Y314">
        <f t="shared" si="27"/>
        <v>0</v>
      </c>
      <c r="Z314" s="7" t="str">
        <f t="shared" si="28"/>
        <v>Low Sales</v>
      </c>
      <c r="AA314" s="7" t="str">
        <f t="shared" si="29"/>
        <v>High Margin</v>
      </c>
    </row>
    <row r="315" spans="1:27" x14ac:dyDescent="0.25">
      <c r="A315" t="s">
        <v>77</v>
      </c>
      <c r="B315">
        <v>33</v>
      </c>
      <c r="C315">
        <v>10</v>
      </c>
      <c r="D315" s="1">
        <v>41495</v>
      </c>
      <c r="E315">
        <v>836</v>
      </c>
      <c r="F315">
        <v>48</v>
      </c>
      <c r="G315" t="s">
        <v>39</v>
      </c>
      <c r="H315" t="s">
        <v>36</v>
      </c>
      <c r="I315">
        <v>9</v>
      </c>
      <c r="J315" t="s">
        <v>40</v>
      </c>
      <c r="K315" t="s">
        <v>41</v>
      </c>
      <c r="L315" t="s">
        <v>54</v>
      </c>
      <c r="M315">
        <v>40</v>
      </c>
      <c r="N315">
        <v>86</v>
      </c>
      <c r="O315" t="s">
        <v>49</v>
      </c>
      <c r="P315">
        <v>30</v>
      </c>
      <c r="Q315">
        <v>40</v>
      </c>
      <c r="R315">
        <v>30</v>
      </c>
      <c r="S315">
        <v>70</v>
      </c>
      <c r="T315">
        <v>21</v>
      </c>
      <c r="U315" t="s">
        <v>35</v>
      </c>
      <c r="V315">
        <f t="shared" si="24"/>
        <v>0.46511627906976744</v>
      </c>
      <c r="W315">
        <f t="shared" si="25"/>
        <v>10</v>
      </c>
      <c r="X315">
        <f t="shared" si="26"/>
        <v>16</v>
      </c>
      <c r="Y315">
        <f t="shared" si="27"/>
        <v>0.38372093023255816</v>
      </c>
      <c r="Z315" s="7" t="str">
        <f t="shared" si="28"/>
        <v>Low Sales</v>
      </c>
      <c r="AA315" s="7" t="str">
        <f t="shared" si="29"/>
        <v>High Margin</v>
      </c>
    </row>
    <row r="316" spans="1:27" x14ac:dyDescent="0.25">
      <c r="A316" t="s">
        <v>94</v>
      </c>
      <c r="B316">
        <v>82</v>
      </c>
      <c r="C316">
        <v>-13</v>
      </c>
      <c r="D316" s="1">
        <v>41496</v>
      </c>
      <c r="E316">
        <v>1804</v>
      </c>
      <c r="F316">
        <v>40</v>
      </c>
      <c r="G316" t="s">
        <v>39</v>
      </c>
      <c r="H316" t="s">
        <v>22</v>
      </c>
      <c r="I316">
        <v>25</v>
      </c>
      <c r="J316" t="s">
        <v>23</v>
      </c>
      <c r="K316" t="s">
        <v>24</v>
      </c>
      <c r="L316" t="s">
        <v>25</v>
      </c>
      <c r="M316">
        <v>-13</v>
      </c>
      <c r="N316">
        <v>130</v>
      </c>
      <c r="O316" t="s">
        <v>58</v>
      </c>
      <c r="P316">
        <v>70</v>
      </c>
      <c r="Q316">
        <v>40</v>
      </c>
      <c r="R316">
        <v>0</v>
      </c>
      <c r="S316">
        <v>110</v>
      </c>
      <c r="T316">
        <v>49</v>
      </c>
      <c r="U316" t="s">
        <v>27</v>
      </c>
      <c r="V316">
        <f t="shared" si="24"/>
        <v>-0.1</v>
      </c>
      <c r="W316">
        <f t="shared" si="25"/>
        <v>-13</v>
      </c>
      <c r="X316">
        <f t="shared" si="26"/>
        <v>20</v>
      </c>
      <c r="Y316">
        <f t="shared" si="27"/>
        <v>0.63076923076923075</v>
      </c>
      <c r="Z316" s="7" t="str">
        <f t="shared" si="28"/>
        <v>Low Sales</v>
      </c>
      <c r="AA316" s="7" t="str">
        <f t="shared" si="29"/>
        <v>Low Margin</v>
      </c>
    </row>
    <row r="317" spans="1:27" x14ac:dyDescent="0.25">
      <c r="A317" t="s">
        <v>77</v>
      </c>
      <c r="B317">
        <v>82</v>
      </c>
      <c r="C317">
        <v>-12</v>
      </c>
      <c r="D317" s="1">
        <v>41497</v>
      </c>
      <c r="E317">
        <v>1804</v>
      </c>
      <c r="F317">
        <v>40</v>
      </c>
      <c r="G317" t="s">
        <v>39</v>
      </c>
      <c r="H317" t="s">
        <v>36</v>
      </c>
      <c r="I317">
        <v>25</v>
      </c>
      <c r="J317" t="s">
        <v>23</v>
      </c>
      <c r="K317" t="s">
        <v>24</v>
      </c>
      <c r="L317" t="s">
        <v>28</v>
      </c>
      <c r="M317">
        <v>-12</v>
      </c>
      <c r="N317">
        <v>130</v>
      </c>
      <c r="O317" t="s">
        <v>49</v>
      </c>
      <c r="P317">
        <v>70</v>
      </c>
      <c r="Q317">
        <v>40</v>
      </c>
      <c r="R317">
        <v>0</v>
      </c>
      <c r="S317">
        <v>110</v>
      </c>
      <c r="T317">
        <v>48</v>
      </c>
      <c r="U317" t="s">
        <v>27</v>
      </c>
      <c r="V317">
        <f t="shared" si="24"/>
        <v>-9.2307692307692313E-2</v>
      </c>
      <c r="W317">
        <f t="shared" si="25"/>
        <v>-12</v>
      </c>
      <c r="X317">
        <f t="shared" si="26"/>
        <v>20</v>
      </c>
      <c r="Y317">
        <f t="shared" si="27"/>
        <v>0.63076923076923075</v>
      </c>
      <c r="Z317" s="7" t="str">
        <f t="shared" si="28"/>
        <v>Low Sales</v>
      </c>
      <c r="AA317" s="7" t="str">
        <f t="shared" si="29"/>
        <v>Low Margin</v>
      </c>
    </row>
    <row r="318" spans="1:27" x14ac:dyDescent="0.25">
      <c r="A318" t="s">
        <v>122</v>
      </c>
      <c r="B318">
        <v>35</v>
      </c>
      <c r="C318">
        <v>3</v>
      </c>
      <c r="D318" s="1">
        <v>41498</v>
      </c>
      <c r="E318">
        <v>248</v>
      </c>
      <c r="F318">
        <v>47</v>
      </c>
      <c r="G318" t="s">
        <v>39</v>
      </c>
      <c r="H318" t="s">
        <v>22</v>
      </c>
      <c r="I318">
        <v>11</v>
      </c>
      <c r="J318" t="s">
        <v>23</v>
      </c>
      <c r="K318" t="s">
        <v>32</v>
      </c>
      <c r="L318" t="s">
        <v>33</v>
      </c>
      <c r="M318">
        <v>13</v>
      </c>
      <c r="N318">
        <v>87</v>
      </c>
      <c r="O318" t="s">
        <v>58</v>
      </c>
      <c r="P318">
        <v>20</v>
      </c>
      <c r="Q318">
        <v>40</v>
      </c>
      <c r="R318">
        <v>10</v>
      </c>
      <c r="S318">
        <v>60</v>
      </c>
      <c r="T318">
        <v>38</v>
      </c>
      <c r="U318" t="s">
        <v>35</v>
      </c>
      <c r="V318">
        <f t="shared" si="24"/>
        <v>0.14942528735632185</v>
      </c>
      <c r="W318">
        <f t="shared" si="25"/>
        <v>3</v>
      </c>
      <c r="X318">
        <f t="shared" si="26"/>
        <v>27</v>
      </c>
      <c r="Y318">
        <f t="shared" si="27"/>
        <v>0.40229885057471265</v>
      </c>
      <c r="Z318" s="7" t="str">
        <f t="shared" si="28"/>
        <v>Low Sales</v>
      </c>
      <c r="AA318" s="7" t="str">
        <f t="shared" si="29"/>
        <v>High Margin</v>
      </c>
    </row>
    <row r="319" spans="1:27" x14ac:dyDescent="0.25">
      <c r="A319" t="s">
        <v>81</v>
      </c>
      <c r="B319">
        <v>34</v>
      </c>
      <c r="C319">
        <v>-4</v>
      </c>
      <c r="D319" s="1">
        <v>41499</v>
      </c>
      <c r="E319">
        <v>211</v>
      </c>
      <c r="F319">
        <v>42</v>
      </c>
      <c r="G319" t="s">
        <v>39</v>
      </c>
      <c r="H319" t="s">
        <v>22</v>
      </c>
      <c r="I319">
        <v>12</v>
      </c>
      <c r="J319" t="s">
        <v>23</v>
      </c>
      <c r="K319" t="s">
        <v>32</v>
      </c>
      <c r="L319" t="s">
        <v>61</v>
      </c>
      <c r="M319">
        <v>-4</v>
      </c>
      <c r="N319">
        <v>81</v>
      </c>
      <c r="O319" t="s">
        <v>58</v>
      </c>
      <c r="P319">
        <v>20</v>
      </c>
      <c r="Q319">
        <v>40</v>
      </c>
      <c r="R319">
        <v>0</v>
      </c>
      <c r="S319">
        <v>60</v>
      </c>
      <c r="T319">
        <v>45</v>
      </c>
      <c r="U319" t="s">
        <v>35</v>
      </c>
      <c r="V319">
        <f t="shared" si="24"/>
        <v>-4.9382716049382713E-2</v>
      </c>
      <c r="W319">
        <f t="shared" si="25"/>
        <v>-4</v>
      </c>
      <c r="X319">
        <f t="shared" si="26"/>
        <v>21</v>
      </c>
      <c r="Y319">
        <f t="shared" si="27"/>
        <v>0.41975308641975306</v>
      </c>
      <c r="Z319" s="7" t="str">
        <f t="shared" si="28"/>
        <v>Low Sales</v>
      </c>
      <c r="AA319" s="7" t="str">
        <f t="shared" si="29"/>
        <v>Low Margin</v>
      </c>
    </row>
    <row r="320" spans="1:27" x14ac:dyDescent="0.25">
      <c r="A320" t="s">
        <v>94</v>
      </c>
      <c r="B320">
        <v>33</v>
      </c>
      <c r="C320">
        <v>-6</v>
      </c>
      <c r="D320" s="1">
        <v>41500</v>
      </c>
      <c r="E320">
        <v>243</v>
      </c>
      <c r="F320">
        <v>41</v>
      </c>
      <c r="G320" t="s">
        <v>39</v>
      </c>
      <c r="H320" t="s">
        <v>22</v>
      </c>
      <c r="I320">
        <v>12</v>
      </c>
      <c r="J320" t="s">
        <v>23</v>
      </c>
      <c r="K320" t="s">
        <v>32</v>
      </c>
      <c r="L320" t="s">
        <v>37</v>
      </c>
      <c r="M320">
        <v>-6</v>
      </c>
      <c r="N320">
        <v>79</v>
      </c>
      <c r="O320" t="s">
        <v>58</v>
      </c>
      <c r="P320">
        <v>20</v>
      </c>
      <c r="Q320">
        <v>40</v>
      </c>
      <c r="R320">
        <v>0</v>
      </c>
      <c r="S320">
        <v>60</v>
      </c>
      <c r="T320">
        <v>45</v>
      </c>
      <c r="U320" t="s">
        <v>35</v>
      </c>
      <c r="V320">
        <f t="shared" si="24"/>
        <v>-7.5949367088607597E-2</v>
      </c>
      <c r="W320">
        <f t="shared" si="25"/>
        <v>-6</v>
      </c>
      <c r="X320">
        <f t="shared" si="26"/>
        <v>19</v>
      </c>
      <c r="Y320">
        <f t="shared" si="27"/>
        <v>0.41772151898734178</v>
      </c>
      <c r="Z320" s="7" t="str">
        <f t="shared" si="28"/>
        <v>Low Sales</v>
      </c>
      <c r="AA320" s="7" t="str">
        <f t="shared" si="29"/>
        <v>Low Margin</v>
      </c>
    </row>
    <row r="321" spans="1:27" x14ac:dyDescent="0.25">
      <c r="A321" t="s">
        <v>78</v>
      </c>
      <c r="B321">
        <v>0</v>
      </c>
      <c r="C321">
        <v>17</v>
      </c>
      <c r="D321" s="1">
        <v>41501</v>
      </c>
      <c r="E321">
        <v>387</v>
      </c>
      <c r="F321">
        <v>43</v>
      </c>
      <c r="G321" t="s">
        <v>39</v>
      </c>
      <c r="H321" t="s">
        <v>31</v>
      </c>
      <c r="I321">
        <v>0</v>
      </c>
      <c r="J321" t="s">
        <v>23</v>
      </c>
      <c r="K321" t="s">
        <v>32</v>
      </c>
      <c r="L321" t="s">
        <v>37</v>
      </c>
      <c r="M321">
        <v>47</v>
      </c>
      <c r="N321">
        <v>46</v>
      </c>
      <c r="O321" t="s">
        <v>51</v>
      </c>
      <c r="P321">
        <v>0</v>
      </c>
      <c r="Q321">
        <v>40</v>
      </c>
      <c r="R321">
        <v>30</v>
      </c>
      <c r="S321">
        <v>40</v>
      </c>
      <c r="T321">
        <v>11</v>
      </c>
      <c r="U321" t="s">
        <v>35</v>
      </c>
      <c r="V321">
        <f t="shared" si="24"/>
        <v>1.0217391304347827</v>
      </c>
      <c r="W321">
        <f t="shared" si="25"/>
        <v>17</v>
      </c>
      <c r="X321">
        <f t="shared" si="26"/>
        <v>6</v>
      </c>
      <c r="Y321">
        <f t="shared" si="27"/>
        <v>0</v>
      </c>
      <c r="Z321" s="7" t="str">
        <f t="shared" si="28"/>
        <v>Low Sales</v>
      </c>
      <c r="AA321" s="7" t="str">
        <f t="shared" si="29"/>
        <v>High Margin</v>
      </c>
    </row>
    <row r="322" spans="1:27" x14ac:dyDescent="0.25">
      <c r="A322" t="s">
        <v>77</v>
      </c>
      <c r="B322">
        <v>44</v>
      </c>
      <c r="C322">
        <v>0</v>
      </c>
      <c r="D322" s="1">
        <v>41502</v>
      </c>
      <c r="E322">
        <v>325</v>
      </c>
      <c r="F322">
        <v>62</v>
      </c>
      <c r="G322" t="s">
        <v>39</v>
      </c>
      <c r="H322" t="s">
        <v>36</v>
      </c>
      <c r="I322">
        <v>40</v>
      </c>
      <c r="J322" t="s">
        <v>23</v>
      </c>
      <c r="K322" t="s">
        <v>32</v>
      </c>
      <c r="L322" t="s">
        <v>33</v>
      </c>
      <c r="M322">
        <v>-10</v>
      </c>
      <c r="N322">
        <v>113</v>
      </c>
      <c r="O322" t="s">
        <v>49</v>
      </c>
      <c r="P322">
        <v>30</v>
      </c>
      <c r="Q322">
        <v>40</v>
      </c>
      <c r="R322">
        <v>-10</v>
      </c>
      <c r="S322">
        <v>70</v>
      </c>
      <c r="T322">
        <v>69</v>
      </c>
      <c r="U322" t="s">
        <v>35</v>
      </c>
      <c r="V322">
        <f t="shared" ref="V322:V385" si="30">M322/N322</f>
        <v>-8.8495575221238937E-2</v>
      </c>
      <c r="W322">
        <f t="shared" ref="W322:W385" si="31">M322-R322</f>
        <v>0</v>
      </c>
      <c r="X322">
        <f t="shared" ref="X322:X385" si="32">N322-S322</f>
        <v>43</v>
      </c>
      <c r="Y322">
        <f t="shared" ref="Y322:Y385" si="33">B322/N322</f>
        <v>0.38938053097345132</v>
      </c>
      <c r="Z322" s="7" t="str">
        <f t="shared" ref="Z322:Z385" si="34">IF(N322&gt;=AVERAGE(N322:N1383),"High Sales","Low Sales")</f>
        <v>Low Sales</v>
      </c>
      <c r="AA322" s="7" t="str">
        <f t="shared" ref="AA322:AA385" si="35">IF(V322&gt;=AVERAGE(V322:V1383), "High Margin", "Low Margin")</f>
        <v>Low Margin</v>
      </c>
    </row>
    <row r="323" spans="1:27" x14ac:dyDescent="0.25">
      <c r="A323" t="s">
        <v>137</v>
      </c>
      <c r="B323">
        <v>29</v>
      </c>
      <c r="C323">
        <v>7</v>
      </c>
      <c r="D323" s="1">
        <v>41503</v>
      </c>
      <c r="E323">
        <v>490</v>
      </c>
      <c r="F323">
        <v>44</v>
      </c>
      <c r="G323" t="s">
        <v>21</v>
      </c>
      <c r="H323" t="s">
        <v>22</v>
      </c>
      <c r="I323">
        <v>8</v>
      </c>
      <c r="J323" t="s">
        <v>23</v>
      </c>
      <c r="K323" t="s">
        <v>24</v>
      </c>
      <c r="L323" t="s">
        <v>57</v>
      </c>
      <c r="M323">
        <v>37</v>
      </c>
      <c r="N323">
        <v>78</v>
      </c>
      <c r="O323" t="s">
        <v>65</v>
      </c>
      <c r="P323">
        <v>20</v>
      </c>
      <c r="Q323">
        <v>40</v>
      </c>
      <c r="R323">
        <v>30</v>
      </c>
      <c r="S323">
        <v>60</v>
      </c>
      <c r="T323">
        <v>19</v>
      </c>
      <c r="U323" t="s">
        <v>27</v>
      </c>
      <c r="V323">
        <f t="shared" si="30"/>
        <v>0.47435897435897434</v>
      </c>
      <c r="W323">
        <f t="shared" si="31"/>
        <v>7</v>
      </c>
      <c r="X323">
        <f t="shared" si="32"/>
        <v>18</v>
      </c>
      <c r="Y323">
        <f t="shared" si="33"/>
        <v>0.37179487179487181</v>
      </c>
      <c r="Z323" s="7" t="str">
        <f t="shared" si="34"/>
        <v>Low Sales</v>
      </c>
      <c r="AA323" s="7" t="str">
        <f t="shared" si="35"/>
        <v>High Margin</v>
      </c>
    </row>
    <row r="324" spans="1:27" x14ac:dyDescent="0.25">
      <c r="A324" t="s">
        <v>161</v>
      </c>
      <c r="B324">
        <v>33</v>
      </c>
      <c r="C324">
        <v>13</v>
      </c>
      <c r="D324" s="1">
        <v>41504</v>
      </c>
      <c r="E324">
        <v>870</v>
      </c>
      <c r="F324">
        <v>49</v>
      </c>
      <c r="G324" t="s">
        <v>21</v>
      </c>
      <c r="H324" t="s">
        <v>22</v>
      </c>
      <c r="I324">
        <v>9</v>
      </c>
      <c r="J324" t="s">
        <v>23</v>
      </c>
      <c r="K324" t="s">
        <v>24</v>
      </c>
      <c r="L324" t="s">
        <v>25</v>
      </c>
      <c r="M324">
        <v>43</v>
      </c>
      <c r="N324">
        <v>87</v>
      </c>
      <c r="O324" t="s">
        <v>65</v>
      </c>
      <c r="P324">
        <v>30</v>
      </c>
      <c r="Q324">
        <v>40</v>
      </c>
      <c r="R324">
        <v>30</v>
      </c>
      <c r="S324">
        <v>70</v>
      </c>
      <c r="T324">
        <v>20</v>
      </c>
      <c r="U324" t="s">
        <v>27</v>
      </c>
      <c r="V324">
        <f t="shared" si="30"/>
        <v>0.4942528735632184</v>
      </c>
      <c r="W324">
        <f t="shared" si="31"/>
        <v>13</v>
      </c>
      <c r="X324">
        <f t="shared" si="32"/>
        <v>17</v>
      </c>
      <c r="Y324">
        <f t="shared" si="33"/>
        <v>0.37931034482758619</v>
      </c>
      <c r="Z324" s="7" t="str">
        <f t="shared" si="34"/>
        <v>Low Sales</v>
      </c>
      <c r="AA324" s="7" t="str">
        <f t="shared" si="35"/>
        <v>High Margin</v>
      </c>
    </row>
    <row r="325" spans="1:27" x14ac:dyDescent="0.25">
      <c r="A325" t="s">
        <v>88</v>
      </c>
      <c r="B325">
        <v>46</v>
      </c>
      <c r="C325">
        <v>0</v>
      </c>
      <c r="D325" s="1">
        <v>41505</v>
      </c>
      <c r="E325">
        <v>422</v>
      </c>
      <c r="F325">
        <v>57</v>
      </c>
      <c r="G325" t="s">
        <v>21</v>
      </c>
      <c r="H325" t="s">
        <v>31</v>
      </c>
      <c r="I325">
        <v>17</v>
      </c>
      <c r="J325" t="s">
        <v>23</v>
      </c>
      <c r="K325" t="s">
        <v>24</v>
      </c>
      <c r="L325" t="s">
        <v>25</v>
      </c>
      <c r="M325">
        <v>10</v>
      </c>
      <c r="N325">
        <v>110</v>
      </c>
      <c r="O325" t="s">
        <v>62</v>
      </c>
      <c r="P325">
        <v>30</v>
      </c>
      <c r="Q325">
        <v>40</v>
      </c>
      <c r="R325">
        <v>10</v>
      </c>
      <c r="S325">
        <v>70</v>
      </c>
      <c r="T325">
        <v>50</v>
      </c>
      <c r="U325" t="s">
        <v>27</v>
      </c>
      <c r="V325">
        <f t="shared" si="30"/>
        <v>9.0909090909090912E-2</v>
      </c>
      <c r="W325">
        <f t="shared" si="31"/>
        <v>0</v>
      </c>
      <c r="X325">
        <f t="shared" si="32"/>
        <v>40</v>
      </c>
      <c r="Y325">
        <f t="shared" si="33"/>
        <v>0.41818181818181815</v>
      </c>
      <c r="Z325" s="7" t="str">
        <f t="shared" si="34"/>
        <v>Low Sales</v>
      </c>
      <c r="AA325" s="7" t="str">
        <f t="shared" si="35"/>
        <v>Low Margin</v>
      </c>
    </row>
    <row r="326" spans="1:27" x14ac:dyDescent="0.25">
      <c r="A326" t="s">
        <v>156</v>
      </c>
      <c r="B326">
        <v>30</v>
      </c>
      <c r="C326">
        <v>9</v>
      </c>
      <c r="D326" s="1">
        <v>41506</v>
      </c>
      <c r="E326">
        <v>882</v>
      </c>
      <c r="F326">
        <v>45</v>
      </c>
      <c r="G326" t="s">
        <v>21</v>
      </c>
      <c r="H326" t="s">
        <v>31</v>
      </c>
      <c r="I326">
        <v>8</v>
      </c>
      <c r="J326" t="s">
        <v>23</v>
      </c>
      <c r="K326" t="s">
        <v>32</v>
      </c>
      <c r="L326" t="s">
        <v>33</v>
      </c>
      <c r="M326">
        <v>39</v>
      </c>
      <c r="N326">
        <v>80</v>
      </c>
      <c r="O326" t="s">
        <v>34</v>
      </c>
      <c r="P326">
        <v>30</v>
      </c>
      <c r="Q326">
        <v>40</v>
      </c>
      <c r="R326">
        <v>30</v>
      </c>
      <c r="S326">
        <v>70</v>
      </c>
      <c r="T326">
        <v>19</v>
      </c>
      <c r="U326" t="s">
        <v>35</v>
      </c>
      <c r="V326">
        <f t="shared" si="30"/>
        <v>0.48749999999999999</v>
      </c>
      <c r="W326">
        <f t="shared" si="31"/>
        <v>9</v>
      </c>
      <c r="X326">
        <f t="shared" si="32"/>
        <v>10</v>
      </c>
      <c r="Y326">
        <f t="shared" si="33"/>
        <v>0.375</v>
      </c>
      <c r="Z326" s="7" t="str">
        <f t="shared" si="34"/>
        <v>Low Sales</v>
      </c>
      <c r="AA326" s="7" t="str">
        <f t="shared" si="35"/>
        <v>High Margin</v>
      </c>
    </row>
    <row r="327" spans="1:27" x14ac:dyDescent="0.25">
      <c r="A327" t="s">
        <v>88</v>
      </c>
      <c r="B327">
        <v>29</v>
      </c>
      <c r="C327">
        <v>7</v>
      </c>
      <c r="D327" s="1">
        <v>41507</v>
      </c>
      <c r="E327">
        <v>490</v>
      </c>
      <c r="F327">
        <v>44</v>
      </c>
      <c r="G327" t="s">
        <v>21</v>
      </c>
      <c r="H327" t="s">
        <v>31</v>
      </c>
      <c r="I327">
        <v>8</v>
      </c>
      <c r="J327" t="s">
        <v>23</v>
      </c>
      <c r="K327" t="s">
        <v>32</v>
      </c>
      <c r="L327" t="s">
        <v>37</v>
      </c>
      <c r="M327">
        <v>37</v>
      </c>
      <c r="N327">
        <v>78</v>
      </c>
      <c r="O327" t="s">
        <v>62</v>
      </c>
      <c r="P327">
        <v>30</v>
      </c>
      <c r="Q327">
        <v>40</v>
      </c>
      <c r="R327">
        <v>30</v>
      </c>
      <c r="S327">
        <v>70</v>
      </c>
      <c r="T327">
        <v>19</v>
      </c>
      <c r="U327" t="s">
        <v>35</v>
      </c>
      <c r="V327">
        <f t="shared" si="30"/>
        <v>0.47435897435897434</v>
      </c>
      <c r="W327">
        <f t="shared" si="31"/>
        <v>7</v>
      </c>
      <c r="X327">
        <f t="shared" si="32"/>
        <v>8</v>
      </c>
      <c r="Y327">
        <f t="shared" si="33"/>
        <v>0.37179487179487181</v>
      </c>
      <c r="Z327" s="7" t="str">
        <f t="shared" si="34"/>
        <v>Low Sales</v>
      </c>
      <c r="AA327" s="7" t="str">
        <f t="shared" si="35"/>
        <v>High Margin</v>
      </c>
    </row>
    <row r="328" spans="1:27" x14ac:dyDescent="0.25">
      <c r="A328" t="s">
        <v>162</v>
      </c>
      <c r="B328">
        <v>24</v>
      </c>
      <c r="C328">
        <v>-11</v>
      </c>
      <c r="D328" s="1">
        <v>41508</v>
      </c>
      <c r="E328">
        <v>567</v>
      </c>
      <c r="F328">
        <v>32</v>
      </c>
      <c r="G328" t="s">
        <v>39</v>
      </c>
      <c r="H328" t="s">
        <v>22</v>
      </c>
      <c r="I328">
        <v>7</v>
      </c>
      <c r="J328" t="s">
        <v>40</v>
      </c>
      <c r="K328" t="s">
        <v>41</v>
      </c>
      <c r="L328" t="s">
        <v>42</v>
      </c>
      <c r="M328">
        <v>19</v>
      </c>
      <c r="N328">
        <v>60</v>
      </c>
      <c r="O328" t="s">
        <v>59</v>
      </c>
      <c r="P328">
        <v>30</v>
      </c>
      <c r="Q328">
        <v>40</v>
      </c>
      <c r="R328">
        <v>30</v>
      </c>
      <c r="S328">
        <v>70</v>
      </c>
      <c r="T328">
        <v>19</v>
      </c>
      <c r="U328" t="s">
        <v>27</v>
      </c>
      <c r="V328">
        <f t="shared" si="30"/>
        <v>0.31666666666666665</v>
      </c>
      <c r="W328">
        <f t="shared" si="31"/>
        <v>-11</v>
      </c>
      <c r="X328">
        <f t="shared" si="32"/>
        <v>-10</v>
      </c>
      <c r="Y328">
        <f t="shared" si="33"/>
        <v>0.4</v>
      </c>
      <c r="Z328" s="7" t="str">
        <f t="shared" si="34"/>
        <v>Low Sales</v>
      </c>
      <c r="AA328" s="7" t="str">
        <f t="shared" si="35"/>
        <v>High Margin</v>
      </c>
    </row>
    <row r="329" spans="1:27" x14ac:dyDescent="0.25">
      <c r="A329" t="s">
        <v>76</v>
      </c>
      <c r="B329">
        <v>0</v>
      </c>
      <c r="C329">
        <v>16</v>
      </c>
      <c r="D329" s="1">
        <v>41509</v>
      </c>
      <c r="E329">
        <v>344</v>
      </c>
      <c r="F329">
        <v>43</v>
      </c>
      <c r="G329" t="s">
        <v>39</v>
      </c>
      <c r="H329" t="s">
        <v>36</v>
      </c>
      <c r="I329">
        <v>0</v>
      </c>
      <c r="J329" t="s">
        <v>40</v>
      </c>
      <c r="K329" t="s">
        <v>41</v>
      </c>
      <c r="L329" t="s">
        <v>54</v>
      </c>
      <c r="M329">
        <v>46</v>
      </c>
      <c r="N329">
        <v>46</v>
      </c>
      <c r="O329" t="s">
        <v>48</v>
      </c>
      <c r="P329">
        <v>0</v>
      </c>
      <c r="Q329">
        <v>40</v>
      </c>
      <c r="R329">
        <v>30</v>
      </c>
      <c r="S329">
        <v>40</v>
      </c>
      <c r="T329">
        <v>12</v>
      </c>
      <c r="U329" t="s">
        <v>35</v>
      </c>
      <c r="V329">
        <f t="shared" si="30"/>
        <v>1</v>
      </c>
      <c r="W329">
        <f t="shared" si="31"/>
        <v>16</v>
      </c>
      <c r="X329">
        <f t="shared" si="32"/>
        <v>6</v>
      </c>
      <c r="Y329">
        <f t="shared" si="33"/>
        <v>0</v>
      </c>
      <c r="Z329" s="7" t="str">
        <f t="shared" si="34"/>
        <v>Low Sales</v>
      </c>
      <c r="AA329" s="7" t="str">
        <f t="shared" si="35"/>
        <v>High Margin</v>
      </c>
    </row>
    <row r="330" spans="1:27" x14ac:dyDescent="0.25">
      <c r="A330" t="s">
        <v>77</v>
      </c>
      <c r="B330">
        <v>31</v>
      </c>
      <c r="C330">
        <v>9</v>
      </c>
      <c r="D330" s="1">
        <v>41510</v>
      </c>
      <c r="E330">
        <v>844</v>
      </c>
      <c r="F330">
        <v>46</v>
      </c>
      <c r="G330" t="s">
        <v>39</v>
      </c>
      <c r="H330" t="s">
        <v>36</v>
      </c>
      <c r="I330">
        <v>8</v>
      </c>
      <c r="J330" t="s">
        <v>40</v>
      </c>
      <c r="K330" t="s">
        <v>41</v>
      </c>
      <c r="L330" t="s">
        <v>54</v>
      </c>
      <c r="M330">
        <v>39</v>
      </c>
      <c r="N330">
        <v>82</v>
      </c>
      <c r="O330" t="s">
        <v>49</v>
      </c>
      <c r="P330">
        <v>30</v>
      </c>
      <c r="Q330">
        <v>40</v>
      </c>
      <c r="R330">
        <v>30</v>
      </c>
      <c r="S330">
        <v>70</v>
      </c>
      <c r="T330">
        <v>20</v>
      </c>
      <c r="U330" t="s">
        <v>35</v>
      </c>
      <c r="V330">
        <f t="shared" si="30"/>
        <v>0.47560975609756095</v>
      </c>
      <c r="W330">
        <f t="shared" si="31"/>
        <v>9</v>
      </c>
      <c r="X330">
        <f t="shared" si="32"/>
        <v>12</v>
      </c>
      <c r="Y330">
        <f t="shared" si="33"/>
        <v>0.37804878048780488</v>
      </c>
      <c r="Z330" s="7" t="str">
        <f t="shared" si="34"/>
        <v>Low Sales</v>
      </c>
      <c r="AA330" s="7" t="str">
        <f t="shared" si="35"/>
        <v>High Margin</v>
      </c>
    </row>
    <row r="331" spans="1:27" x14ac:dyDescent="0.25">
      <c r="A331" t="s">
        <v>133</v>
      </c>
      <c r="B331">
        <v>34</v>
      </c>
      <c r="C331">
        <v>15</v>
      </c>
      <c r="D331" s="1">
        <v>41511</v>
      </c>
      <c r="E331">
        <v>863</v>
      </c>
      <c r="F331">
        <v>51</v>
      </c>
      <c r="G331" t="s">
        <v>39</v>
      </c>
      <c r="H331" t="s">
        <v>22</v>
      </c>
      <c r="I331">
        <v>9</v>
      </c>
      <c r="J331" t="s">
        <v>23</v>
      </c>
      <c r="K331" t="s">
        <v>24</v>
      </c>
      <c r="L331" t="s">
        <v>25</v>
      </c>
      <c r="M331">
        <v>45</v>
      </c>
      <c r="N331">
        <v>91</v>
      </c>
      <c r="O331" t="s">
        <v>59</v>
      </c>
      <c r="P331">
        <v>30</v>
      </c>
      <c r="Q331">
        <v>40</v>
      </c>
      <c r="R331">
        <v>30</v>
      </c>
      <c r="S331">
        <v>70</v>
      </c>
      <c r="T331">
        <v>21</v>
      </c>
      <c r="U331" t="s">
        <v>27</v>
      </c>
      <c r="V331">
        <f t="shared" si="30"/>
        <v>0.49450549450549453</v>
      </c>
      <c r="W331">
        <f t="shared" si="31"/>
        <v>15</v>
      </c>
      <c r="X331">
        <f t="shared" si="32"/>
        <v>21</v>
      </c>
      <c r="Y331">
        <f t="shared" si="33"/>
        <v>0.37362637362637363</v>
      </c>
      <c r="Z331" s="7" t="str">
        <f t="shared" si="34"/>
        <v>Low Sales</v>
      </c>
      <c r="AA331" s="7" t="str">
        <f t="shared" si="35"/>
        <v>High Margin</v>
      </c>
    </row>
    <row r="332" spans="1:27" x14ac:dyDescent="0.25">
      <c r="A332" t="s">
        <v>78</v>
      </c>
      <c r="B332">
        <v>39</v>
      </c>
      <c r="C332">
        <v>-7</v>
      </c>
      <c r="D332" s="1">
        <v>41512</v>
      </c>
      <c r="E332">
        <v>250</v>
      </c>
      <c r="F332">
        <v>49</v>
      </c>
      <c r="G332" t="s">
        <v>39</v>
      </c>
      <c r="H332" t="s">
        <v>31</v>
      </c>
      <c r="I332">
        <v>14</v>
      </c>
      <c r="J332" t="s">
        <v>23</v>
      </c>
      <c r="K332" t="s">
        <v>24</v>
      </c>
      <c r="L332" t="s">
        <v>25</v>
      </c>
      <c r="M332">
        <v>3</v>
      </c>
      <c r="N332">
        <v>94</v>
      </c>
      <c r="O332" t="s">
        <v>51</v>
      </c>
      <c r="P332">
        <v>20</v>
      </c>
      <c r="Q332">
        <v>40</v>
      </c>
      <c r="R332">
        <v>10</v>
      </c>
      <c r="S332">
        <v>60</v>
      </c>
      <c r="T332">
        <v>47</v>
      </c>
      <c r="U332" t="s">
        <v>27</v>
      </c>
      <c r="V332">
        <f t="shared" si="30"/>
        <v>3.1914893617021274E-2</v>
      </c>
      <c r="W332">
        <f t="shared" si="31"/>
        <v>-7</v>
      </c>
      <c r="X332">
        <f t="shared" si="32"/>
        <v>34</v>
      </c>
      <c r="Y332">
        <f t="shared" si="33"/>
        <v>0.41489361702127658</v>
      </c>
      <c r="Z332" s="7" t="str">
        <f t="shared" si="34"/>
        <v>Low Sales</v>
      </c>
      <c r="AA332" s="7" t="str">
        <f t="shared" si="35"/>
        <v>Low Margin</v>
      </c>
    </row>
    <row r="333" spans="1:27" x14ac:dyDescent="0.25">
      <c r="A333" t="s">
        <v>107</v>
      </c>
      <c r="B333">
        <v>31</v>
      </c>
      <c r="C333">
        <v>-10</v>
      </c>
      <c r="D333" s="1">
        <v>41513</v>
      </c>
      <c r="E333">
        <v>1009</v>
      </c>
      <c r="F333">
        <v>38</v>
      </c>
      <c r="G333" t="s">
        <v>39</v>
      </c>
      <c r="H333" t="s">
        <v>29</v>
      </c>
      <c r="I333">
        <v>9</v>
      </c>
      <c r="J333" t="s">
        <v>23</v>
      </c>
      <c r="K333" t="s">
        <v>24</v>
      </c>
      <c r="L333" t="s">
        <v>25</v>
      </c>
      <c r="M333">
        <v>10</v>
      </c>
      <c r="N333">
        <v>74</v>
      </c>
      <c r="O333" t="s">
        <v>64</v>
      </c>
      <c r="P333">
        <v>20</v>
      </c>
      <c r="Q333">
        <v>40</v>
      </c>
      <c r="R333">
        <v>20</v>
      </c>
      <c r="S333">
        <v>60</v>
      </c>
      <c r="T333">
        <v>31</v>
      </c>
      <c r="U333" t="s">
        <v>27</v>
      </c>
      <c r="V333">
        <f t="shared" si="30"/>
        <v>0.13513513513513514</v>
      </c>
      <c r="W333">
        <f t="shared" si="31"/>
        <v>-10</v>
      </c>
      <c r="X333">
        <f t="shared" si="32"/>
        <v>14</v>
      </c>
      <c r="Y333">
        <f t="shared" si="33"/>
        <v>0.41891891891891891</v>
      </c>
      <c r="Z333" s="7" t="str">
        <f t="shared" si="34"/>
        <v>Low Sales</v>
      </c>
      <c r="AA333" s="7" t="str">
        <f t="shared" si="35"/>
        <v>High Margin</v>
      </c>
    </row>
    <row r="334" spans="1:27" x14ac:dyDescent="0.25">
      <c r="A334" t="s">
        <v>94</v>
      </c>
      <c r="B334">
        <v>38</v>
      </c>
      <c r="C334">
        <v>6</v>
      </c>
      <c r="D334" s="1">
        <v>41514</v>
      </c>
      <c r="E334">
        <v>256</v>
      </c>
      <c r="F334">
        <v>51</v>
      </c>
      <c r="G334" t="s">
        <v>39</v>
      </c>
      <c r="H334" t="s">
        <v>22</v>
      </c>
      <c r="I334">
        <v>12</v>
      </c>
      <c r="J334" t="s">
        <v>23</v>
      </c>
      <c r="K334" t="s">
        <v>32</v>
      </c>
      <c r="L334" t="s">
        <v>33</v>
      </c>
      <c r="M334">
        <v>16</v>
      </c>
      <c r="N334">
        <v>95</v>
      </c>
      <c r="O334" t="s">
        <v>58</v>
      </c>
      <c r="P334">
        <v>30</v>
      </c>
      <c r="Q334">
        <v>40</v>
      </c>
      <c r="R334">
        <v>10</v>
      </c>
      <c r="S334">
        <v>70</v>
      </c>
      <c r="T334">
        <v>40</v>
      </c>
      <c r="U334" t="s">
        <v>35</v>
      </c>
      <c r="V334">
        <f t="shared" si="30"/>
        <v>0.16842105263157894</v>
      </c>
      <c r="W334">
        <f t="shared" si="31"/>
        <v>6</v>
      </c>
      <c r="X334">
        <f t="shared" si="32"/>
        <v>25</v>
      </c>
      <c r="Y334">
        <f t="shared" si="33"/>
        <v>0.4</v>
      </c>
      <c r="Z334" s="7" t="str">
        <f t="shared" si="34"/>
        <v>Low Sales</v>
      </c>
      <c r="AA334" s="7" t="str">
        <f t="shared" si="35"/>
        <v>High Margin</v>
      </c>
    </row>
    <row r="335" spans="1:27" x14ac:dyDescent="0.25">
      <c r="A335" t="s">
        <v>163</v>
      </c>
      <c r="B335">
        <v>39</v>
      </c>
      <c r="C335">
        <v>3</v>
      </c>
      <c r="D335" s="1">
        <v>41515</v>
      </c>
      <c r="E335">
        <v>250</v>
      </c>
      <c r="F335">
        <v>49</v>
      </c>
      <c r="G335" t="s">
        <v>39</v>
      </c>
      <c r="H335" t="s">
        <v>22</v>
      </c>
      <c r="I335">
        <v>14</v>
      </c>
      <c r="J335" t="s">
        <v>23</v>
      </c>
      <c r="K335" t="s">
        <v>32</v>
      </c>
      <c r="L335" t="s">
        <v>37</v>
      </c>
      <c r="M335">
        <v>3</v>
      </c>
      <c r="N335">
        <v>94</v>
      </c>
      <c r="O335" t="s">
        <v>58</v>
      </c>
      <c r="P335">
        <v>30</v>
      </c>
      <c r="Q335">
        <v>40</v>
      </c>
      <c r="R335">
        <v>0</v>
      </c>
      <c r="S335">
        <v>70</v>
      </c>
      <c r="T335">
        <v>47</v>
      </c>
      <c r="U335" t="s">
        <v>35</v>
      </c>
      <c r="V335">
        <f t="shared" si="30"/>
        <v>3.1914893617021274E-2</v>
      </c>
      <c r="W335">
        <f t="shared" si="31"/>
        <v>3</v>
      </c>
      <c r="X335">
        <f t="shared" si="32"/>
        <v>24</v>
      </c>
      <c r="Y335">
        <f t="shared" si="33"/>
        <v>0.41489361702127658</v>
      </c>
      <c r="Z335" s="7" t="str">
        <f t="shared" si="34"/>
        <v>Low Sales</v>
      </c>
      <c r="AA335" s="7" t="str">
        <f t="shared" si="35"/>
        <v>Low Margin</v>
      </c>
    </row>
    <row r="336" spans="1:27" x14ac:dyDescent="0.25">
      <c r="A336" t="s">
        <v>78</v>
      </c>
      <c r="B336">
        <v>0</v>
      </c>
      <c r="C336">
        <v>17</v>
      </c>
      <c r="D336" s="1">
        <v>41516</v>
      </c>
      <c r="E336">
        <v>344</v>
      </c>
      <c r="F336">
        <v>43</v>
      </c>
      <c r="G336" t="s">
        <v>39</v>
      </c>
      <c r="H336" t="s">
        <v>31</v>
      </c>
      <c r="I336">
        <v>0</v>
      </c>
      <c r="J336" t="s">
        <v>23</v>
      </c>
      <c r="K336" t="s">
        <v>32</v>
      </c>
      <c r="L336" t="s">
        <v>37</v>
      </c>
      <c r="M336">
        <v>47</v>
      </c>
      <c r="N336">
        <v>46</v>
      </c>
      <c r="O336" t="s">
        <v>51</v>
      </c>
      <c r="P336">
        <v>0</v>
      </c>
      <c r="Q336">
        <v>40</v>
      </c>
      <c r="R336">
        <v>30</v>
      </c>
      <c r="S336">
        <v>40</v>
      </c>
      <c r="T336">
        <v>11</v>
      </c>
      <c r="U336" t="s">
        <v>35</v>
      </c>
      <c r="V336">
        <f t="shared" si="30"/>
        <v>1.0217391304347827</v>
      </c>
      <c r="W336">
        <f t="shared" si="31"/>
        <v>17</v>
      </c>
      <c r="X336">
        <f t="shared" si="32"/>
        <v>6</v>
      </c>
      <c r="Y336">
        <f t="shared" si="33"/>
        <v>0</v>
      </c>
      <c r="Z336" s="7" t="str">
        <f t="shared" si="34"/>
        <v>Low Sales</v>
      </c>
      <c r="AA336" s="7" t="str">
        <f t="shared" si="35"/>
        <v>High Margin</v>
      </c>
    </row>
    <row r="337" spans="1:27" x14ac:dyDescent="0.25">
      <c r="A337" t="s">
        <v>124</v>
      </c>
      <c r="B337">
        <v>41</v>
      </c>
      <c r="C337">
        <v>25</v>
      </c>
      <c r="D337" s="1">
        <v>41517</v>
      </c>
      <c r="E337">
        <v>320</v>
      </c>
      <c r="F337">
        <v>66</v>
      </c>
      <c r="G337" t="s">
        <v>39</v>
      </c>
      <c r="H337" t="s">
        <v>36</v>
      </c>
      <c r="I337">
        <v>12</v>
      </c>
      <c r="J337" t="s">
        <v>23</v>
      </c>
      <c r="K337" t="s">
        <v>32</v>
      </c>
      <c r="L337" t="s">
        <v>33</v>
      </c>
      <c r="M337">
        <v>45</v>
      </c>
      <c r="N337">
        <v>114</v>
      </c>
      <c r="O337" t="s">
        <v>60</v>
      </c>
      <c r="P337">
        <v>30</v>
      </c>
      <c r="Q337">
        <v>40</v>
      </c>
      <c r="R337">
        <v>20</v>
      </c>
      <c r="S337">
        <v>70</v>
      </c>
      <c r="T337">
        <v>36</v>
      </c>
      <c r="U337" t="s">
        <v>35</v>
      </c>
      <c r="V337">
        <f t="shared" si="30"/>
        <v>0.39473684210526316</v>
      </c>
      <c r="W337">
        <f t="shared" si="31"/>
        <v>25</v>
      </c>
      <c r="X337">
        <f t="shared" si="32"/>
        <v>44</v>
      </c>
      <c r="Y337">
        <f t="shared" si="33"/>
        <v>0.35964912280701755</v>
      </c>
      <c r="Z337" s="7" t="str">
        <f t="shared" si="34"/>
        <v>Low Sales</v>
      </c>
      <c r="AA337" s="7" t="str">
        <f t="shared" si="35"/>
        <v>High Margin</v>
      </c>
    </row>
    <row r="338" spans="1:27" x14ac:dyDescent="0.25">
      <c r="A338" t="s">
        <v>77</v>
      </c>
      <c r="B338">
        <v>38</v>
      </c>
      <c r="C338">
        <v>8</v>
      </c>
      <c r="D338" s="1">
        <v>41518</v>
      </c>
      <c r="E338">
        <v>256</v>
      </c>
      <c r="F338">
        <v>51</v>
      </c>
      <c r="G338" t="s">
        <v>39</v>
      </c>
      <c r="H338" t="s">
        <v>36</v>
      </c>
      <c r="I338">
        <v>12</v>
      </c>
      <c r="J338" t="s">
        <v>23</v>
      </c>
      <c r="K338" t="s">
        <v>32</v>
      </c>
      <c r="L338" t="s">
        <v>61</v>
      </c>
      <c r="M338">
        <v>18</v>
      </c>
      <c r="N338">
        <v>95</v>
      </c>
      <c r="O338" t="s">
        <v>49</v>
      </c>
      <c r="P338">
        <v>20</v>
      </c>
      <c r="Q338">
        <v>40</v>
      </c>
      <c r="R338">
        <v>10</v>
      </c>
      <c r="S338">
        <v>60</v>
      </c>
      <c r="T338">
        <v>39</v>
      </c>
      <c r="U338" t="s">
        <v>35</v>
      </c>
      <c r="V338">
        <f t="shared" si="30"/>
        <v>0.18947368421052632</v>
      </c>
      <c r="W338">
        <f t="shared" si="31"/>
        <v>8</v>
      </c>
      <c r="X338">
        <f t="shared" si="32"/>
        <v>35</v>
      </c>
      <c r="Y338">
        <f t="shared" si="33"/>
        <v>0.4</v>
      </c>
      <c r="Z338" s="7" t="str">
        <f t="shared" si="34"/>
        <v>Low Sales</v>
      </c>
      <c r="AA338" s="7" t="str">
        <f t="shared" si="35"/>
        <v>High Margin</v>
      </c>
    </row>
    <row r="339" spans="1:27" x14ac:dyDescent="0.25">
      <c r="A339" t="s">
        <v>124</v>
      </c>
      <c r="B339">
        <v>43</v>
      </c>
      <c r="C339">
        <v>22</v>
      </c>
      <c r="D339" s="1">
        <v>41519</v>
      </c>
      <c r="E339">
        <v>466</v>
      </c>
      <c r="F339">
        <v>63</v>
      </c>
      <c r="G339" t="s">
        <v>39</v>
      </c>
      <c r="H339" t="s">
        <v>36</v>
      </c>
      <c r="I339">
        <v>13</v>
      </c>
      <c r="J339" t="s">
        <v>23</v>
      </c>
      <c r="K339" t="s">
        <v>32</v>
      </c>
      <c r="L339" t="s">
        <v>61</v>
      </c>
      <c r="M339">
        <v>42</v>
      </c>
      <c r="N339">
        <v>113</v>
      </c>
      <c r="O339" t="s">
        <v>60</v>
      </c>
      <c r="P339">
        <v>30</v>
      </c>
      <c r="Q339">
        <v>40</v>
      </c>
      <c r="R339">
        <v>20</v>
      </c>
      <c r="S339">
        <v>70</v>
      </c>
      <c r="T339">
        <v>35</v>
      </c>
      <c r="U339" t="s">
        <v>35</v>
      </c>
      <c r="V339">
        <f t="shared" si="30"/>
        <v>0.37168141592920356</v>
      </c>
      <c r="W339">
        <f t="shared" si="31"/>
        <v>22</v>
      </c>
      <c r="X339">
        <f t="shared" si="32"/>
        <v>43</v>
      </c>
      <c r="Y339">
        <f t="shared" si="33"/>
        <v>0.38053097345132741</v>
      </c>
      <c r="Z339" s="7" t="str">
        <f t="shared" si="34"/>
        <v>Low Sales</v>
      </c>
      <c r="AA339" s="7" t="str">
        <f t="shared" si="35"/>
        <v>High Margin</v>
      </c>
    </row>
    <row r="340" spans="1:27" x14ac:dyDescent="0.25">
      <c r="A340" t="s">
        <v>164</v>
      </c>
      <c r="B340">
        <v>51</v>
      </c>
      <c r="C340">
        <v>-35</v>
      </c>
      <c r="D340" s="1">
        <v>41520</v>
      </c>
      <c r="E340">
        <v>503</v>
      </c>
      <c r="F340">
        <v>71</v>
      </c>
      <c r="G340" t="s">
        <v>21</v>
      </c>
      <c r="H340" t="s">
        <v>22</v>
      </c>
      <c r="I340">
        <v>46</v>
      </c>
      <c r="J340" t="s">
        <v>40</v>
      </c>
      <c r="K340" t="s">
        <v>45</v>
      </c>
      <c r="L340" t="s">
        <v>46</v>
      </c>
      <c r="M340">
        <v>-5</v>
      </c>
      <c r="N340">
        <v>122</v>
      </c>
      <c r="O340" t="s">
        <v>65</v>
      </c>
      <c r="P340">
        <v>40</v>
      </c>
      <c r="Q340">
        <v>70</v>
      </c>
      <c r="R340">
        <v>30</v>
      </c>
      <c r="S340">
        <v>110</v>
      </c>
      <c r="T340">
        <v>76</v>
      </c>
      <c r="U340" t="s">
        <v>27</v>
      </c>
      <c r="V340">
        <f t="shared" si="30"/>
        <v>-4.0983606557377046E-2</v>
      </c>
      <c r="W340">
        <f t="shared" si="31"/>
        <v>-35</v>
      </c>
      <c r="X340">
        <f t="shared" si="32"/>
        <v>12</v>
      </c>
      <c r="Y340">
        <f t="shared" si="33"/>
        <v>0.41803278688524592</v>
      </c>
      <c r="Z340" s="7" t="str">
        <f t="shared" si="34"/>
        <v>Low Sales</v>
      </c>
      <c r="AA340" s="7" t="str">
        <f t="shared" si="35"/>
        <v>Low Margin</v>
      </c>
    </row>
    <row r="341" spans="1:27" x14ac:dyDescent="0.25">
      <c r="A341" t="s">
        <v>161</v>
      </c>
      <c r="B341">
        <v>52</v>
      </c>
      <c r="C341">
        <v>-34</v>
      </c>
      <c r="D341" s="1">
        <v>41521</v>
      </c>
      <c r="E341">
        <v>405</v>
      </c>
      <c r="F341">
        <v>71</v>
      </c>
      <c r="G341" t="s">
        <v>21</v>
      </c>
      <c r="H341" t="s">
        <v>22</v>
      </c>
      <c r="I341">
        <v>17</v>
      </c>
      <c r="J341" t="s">
        <v>40</v>
      </c>
      <c r="K341" t="s">
        <v>45</v>
      </c>
      <c r="L341" t="s">
        <v>50</v>
      </c>
      <c r="M341">
        <v>26</v>
      </c>
      <c r="N341">
        <v>123</v>
      </c>
      <c r="O341" t="s">
        <v>65</v>
      </c>
      <c r="P341">
        <v>40</v>
      </c>
      <c r="Q341">
        <v>70</v>
      </c>
      <c r="R341">
        <v>60</v>
      </c>
      <c r="S341">
        <v>110</v>
      </c>
      <c r="T341">
        <v>45</v>
      </c>
      <c r="U341" t="s">
        <v>35</v>
      </c>
      <c r="V341">
        <f t="shared" si="30"/>
        <v>0.21138211382113822</v>
      </c>
      <c r="W341">
        <f t="shared" si="31"/>
        <v>-34</v>
      </c>
      <c r="X341">
        <f t="shared" si="32"/>
        <v>13</v>
      </c>
      <c r="Y341">
        <f t="shared" si="33"/>
        <v>0.42276422764227645</v>
      </c>
      <c r="Z341" s="7" t="str">
        <f t="shared" si="34"/>
        <v>Low Sales</v>
      </c>
      <c r="AA341" s="7" t="str">
        <f t="shared" si="35"/>
        <v>High Margin</v>
      </c>
    </row>
    <row r="342" spans="1:27" x14ac:dyDescent="0.25">
      <c r="A342" t="s">
        <v>158</v>
      </c>
      <c r="B342">
        <v>43</v>
      </c>
      <c r="C342">
        <v>-32</v>
      </c>
      <c r="D342" s="1">
        <v>41522</v>
      </c>
      <c r="E342">
        <v>419</v>
      </c>
      <c r="F342">
        <v>64</v>
      </c>
      <c r="G342" t="s">
        <v>21</v>
      </c>
      <c r="H342" t="s">
        <v>22</v>
      </c>
      <c r="I342">
        <v>13</v>
      </c>
      <c r="J342" t="s">
        <v>40</v>
      </c>
      <c r="K342" t="s">
        <v>45</v>
      </c>
      <c r="L342" t="s">
        <v>52</v>
      </c>
      <c r="M342">
        <v>28</v>
      </c>
      <c r="N342">
        <v>107</v>
      </c>
      <c r="O342" t="s">
        <v>65</v>
      </c>
      <c r="P342">
        <v>30</v>
      </c>
      <c r="Q342">
        <v>70</v>
      </c>
      <c r="R342">
        <v>60</v>
      </c>
      <c r="S342">
        <v>100</v>
      </c>
      <c r="T342">
        <v>36</v>
      </c>
      <c r="U342" t="s">
        <v>35</v>
      </c>
      <c r="V342">
        <f t="shared" si="30"/>
        <v>0.26168224299065418</v>
      </c>
      <c r="W342">
        <f t="shared" si="31"/>
        <v>-32</v>
      </c>
      <c r="X342">
        <f t="shared" si="32"/>
        <v>7</v>
      </c>
      <c r="Y342">
        <f t="shared" si="33"/>
        <v>0.40186915887850466</v>
      </c>
      <c r="Z342" s="7" t="str">
        <f t="shared" si="34"/>
        <v>Low Sales</v>
      </c>
      <c r="AA342" s="7" t="str">
        <f t="shared" si="35"/>
        <v>High Margin</v>
      </c>
    </row>
    <row r="343" spans="1:27" x14ac:dyDescent="0.25">
      <c r="A343" t="s">
        <v>88</v>
      </c>
      <c r="B343">
        <v>51</v>
      </c>
      <c r="C343">
        <v>-41</v>
      </c>
      <c r="D343" s="1">
        <v>41523</v>
      </c>
      <c r="E343">
        <v>542</v>
      </c>
      <c r="F343">
        <v>65</v>
      </c>
      <c r="G343" t="s">
        <v>21</v>
      </c>
      <c r="H343" t="s">
        <v>31</v>
      </c>
      <c r="I343">
        <v>46</v>
      </c>
      <c r="J343" t="s">
        <v>40</v>
      </c>
      <c r="K343" t="s">
        <v>41</v>
      </c>
      <c r="L343" t="s">
        <v>53</v>
      </c>
      <c r="M343">
        <v>-11</v>
      </c>
      <c r="N343">
        <v>116</v>
      </c>
      <c r="O343" t="s">
        <v>62</v>
      </c>
      <c r="P343">
        <v>30</v>
      </c>
      <c r="Q343">
        <v>70</v>
      </c>
      <c r="R343">
        <v>30</v>
      </c>
      <c r="S343">
        <v>100</v>
      </c>
      <c r="T343">
        <v>76</v>
      </c>
      <c r="U343" t="s">
        <v>35</v>
      </c>
      <c r="V343">
        <f t="shared" si="30"/>
        <v>-9.4827586206896547E-2</v>
      </c>
      <c r="W343">
        <f t="shared" si="31"/>
        <v>-41</v>
      </c>
      <c r="X343">
        <f t="shared" si="32"/>
        <v>16</v>
      </c>
      <c r="Y343">
        <f t="shared" si="33"/>
        <v>0.43965517241379309</v>
      </c>
      <c r="Z343" s="7" t="str">
        <f t="shared" si="34"/>
        <v>Low Sales</v>
      </c>
      <c r="AA343" s="7" t="str">
        <f t="shared" si="35"/>
        <v>Low Margin</v>
      </c>
    </row>
    <row r="344" spans="1:27" x14ac:dyDescent="0.25">
      <c r="A344" t="s">
        <v>165</v>
      </c>
      <c r="B344">
        <v>72</v>
      </c>
      <c r="C344">
        <v>5</v>
      </c>
      <c r="D344" s="1">
        <v>41524</v>
      </c>
      <c r="E344">
        <v>-868</v>
      </c>
      <c r="F344">
        <v>110</v>
      </c>
      <c r="G344" t="s">
        <v>21</v>
      </c>
      <c r="H344" t="s">
        <v>29</v>
      </c>
      <c r="I344">
        <v>23</v>
      </c>
      <c r="J344" t="s">
        <v>40</v>
      </c>
      <c r="K344" t="s">
        <v>41</v>
      </c>
      <c r="L344" t="s">
        <v>54</v>
      </c>
      <c r="M344">
        <v>55</v>
      </c>
      <c r="N344">
        <v>182</v>
      </c>
      <c r="O344" t="s">
        <v>30</v>
      </c>
      <c r="P344">
        <v>40</v>
      </c>
      <c r="Q344">
        <v>70</v>
      </c>
      <c r="R344">
        <v>50</v>
      </c>
      <c r="S344">
        <v>110</v>
      </c>
      <c r="T344">
        <v>55</v>
      </c>
      <c r="U344" t="s">
        <v>35</v>
      </c>
      <c r="V344">
        <f t="shared" si="30"/>
        <v>0.30219780219780218</v>
      </c>
      <c r="W344">
        <f t="shared" si="31"/>
        <v>5</v>
      </c>
      <c r="X344">
        <f t="shared" si="32"/>
        <v>72</v>
      </c>
      <c r="Y344">
        <f t="shared" si="33"/>
        <v>0.39560439560439559</v>
      </c>
      <c r="Z344" s="7" t="str">
        <f t="shared" si="34"/>
        <v>Low Sales</v>
      </c>
      <c r="AA344" s="7" t="str">
        <f t="shared" si="35"/>
        <v>High Margin</v>
      </c>
    </row>
    <row r="345" spans="1:27" x14ac:dyDescent="0.25">
      <c r="A345" t="s">
        <v>144</v>
      </c>
      <c r="B345">
        <v>48</v>
      </c>
      <c r="C345">
        <v>-14</v>
      </c>
      <c r="D345" s="1">
        <v>41525</v>
      </c>
      <c r="E345">
        <v>851</v>
      </c>
      <c r="F345">
        <v>70</v>
      </c>
      <c r="G345" t="s">
        <v>21</v>
      </c>
      <c r="H345" t="s">
        <v>31</v>
      </c>
      <c r="I345">
        <v>13</v>
      </c>
      <c r="J345" t="s">
        <v>23</v>
      </c>
      <c r="K345" t="s">
        <v>32</v>
      </c>
      <c r="L345" t="s">
        <v>37</v>
      </c>
      <c r="M345">
        <v>46</v>
      </c>
      <c r="N345">
        <v>118</v>
      </c>
      <c r="O345" t="s">
        <v>34</v>
      </c>
      <c r="P345">
        <v>50</v>
      </c>
      <c r="Q345">
        <v>70</v>
      </c>
      <c r="R345">
        <v>60</v>
      </c>
      <c r="S345">
        <v>120</v>
      </c>
      <c r="T345">
        <v>24</v>
      </c>
      <c r="U345" t="s">
        <v>35</v>
      </c>
      <c r="V345">
        <f t="shared" si="30"/>
        <v>0.38983050847457629</v>
      </c>
      <c r="W345">
        <f t="shared" si="31"/>
        <v>-14</v>
      </c>
      <c r="X345">
        <f t="shared" si="32"/>
        <v>-2</v>
      </c>
      <c r="Y345">
        <f t="shared" si="33"/>
        <v>0.40677966101694918</v>
      </c>
      <c r="Z345" s="7" t="str">
        <f t="shared" si="34"/>
        <v>Low Sales</v>
      </c>
      <c r="AA345" s="7" t="str">
        <f t="shared" si="35"/>
        <v>High Margin</v>
      </c>
    </row>
    <row r="346" spans="1:27" x14ac:dyDescent="0.25">
      <c r="A346" t="s">
        <v>106</v>
      </c>
      <c r="B346">
        <v>60</v>
      </c>
      <c r="C346">
        <v>-12</v>
      </c>
      <c r="D346" s="1">
        <v>41526</v>
      </c>
      <c r="E346">
        <v>329</v>
      </c>
      <c r="F346">
        <v>99</v>
      </c>
      <c r="G346" t="s">
        <v>39</v>
      </c>
      <c r="H346" t="s">
        <v>29</v>
      </c>
      <c r="I346">
        <v>18</v>
      </c>
      <c r="J346" t="s">
        <v>40</v>
      </c>
      <c r="K346" t="s">
        <v>41</v>
      </c>
      <c r="L346" t="s">
        <v>53</v>
      </c>
      <c r="M346">
        <v>58</v>
      </c>
      <c r="N346">
        <v>159</v>
      </c>
      <c r="O346" t="s">
        <v>55</v>
      </c>
      <c r="P346">
        <v>30</v>
      </c>
      <c r="Q346">
        <v>70</v>
      </c>
      <c r="R346">
        <v>70</v>
      </c>
      <c r="S346">
        <v>100</v>
      </c>
      <c r="T346">
        <v>41</v>
      </c>
      <c r="U346" t="s">
        <v>35</v>
      </c>
      <c r="V346">
        <f t="shared" si="30"/>
        <v>0.36477987421383645</v>
      </c>
      <c r="W346">
        <f t="shared" si="31"/>
        <v>-12</v>
      </c>
      <c r="X346">
        <f t="shared" si="32"/>
        <v>59</v>
      </c>
      <c r="Y346">
        <f t="shared" si="33"/>
        <v>0.37735849056603776</v>
      </c>
      <c r="Z346" s="7" t="str">
        <f t="shared" si="34"/>
        <v>Low Sales</v>
      </c>
      <c r="AA346" s="7" t="str">
        <f t="shared" si="35"/>
        <v>High Margin</v>
      </c>
    </row>
    <row r="347" spans="1:27" x14ac:dyDescent="0.25">
      <c r="A347" t="s">
        <v>85</v>
      </c>
      <c r="B347">
        <v>52</v>
      </c>
      <c r="C347">
        <v>-33</v>
      </c>
      <c r="D347" s="1">
        <v>41527</v>
      </c>
      <c r="E347">
        <v>405</v>
      </c>
      <c r="F347">
        <v>71</v>
      </c>
      <c r="G347" t="s">
        <v>39</v>
      </c>
      <c r="H347" t="s">
        <v>36</v>
      </c>
      <c r="I347">
        <v>17</v>
      </c>
      <c r="J347" t="s">
        <v>40</v>
      </c>
      <c r="K347" t="s">
        <v>41</v>
      </c>
      <c r="L347" t="s">
        <v>53</v>
      </c>
      <c r="M347">
        <v>27</v>
      </c>
      <c r="N347">
        <v>123</v>
      </c>
      <c r="O347" t="s">
        <v>56</v>
      </c>
      <c r="P347">
        <v>30</v>
      </c>
      <c r="Q347">
        <v>70</v>
      </c>
      <c r="R347">
        <v>60</v>
      </c>
      <c r="S347">
        <v>100</v>
      </c>
      <c r="T347">
        <v>44</v>
      </c>
      <c r="U347" t="s">
        <v>35</v>
      </c>
      <c r="V347">
        <f t="shared" si="30"/>
        <v>0.21951219512195122</v>
      </c>
      <c r="W347">
        <f t="shared" si="31"/>
        <v>-33</v>
      </c>
      <c r="X347">
        <f t="shared" si="32"/>
        <v>23</v>
      </c>
      <c r="Y347">
        <f t="shared" si="33"/>
        <v>0.42276422764227645</v>
      </c>
      <c r="Z347" s="7" t="str">
        <f t="shared" si="34"/>
        <v>Low Sales</v>
      </c>
      <c r="AA347" s="7" t="str">
        <f t="shared" si="35"/>
        <v>High Margin</v>
      </c>
    </row>
    <row r="348" spans="1:27" x14ac:dyDescent="0.25">
      <c r="A348" t="s">
        <v>124</v>
      </c>
      <c r="B348">
        <v>56</v>
      </c>
      <c r="C348">
        <v>-34</v>
      </c>
      <c r="D348" s="1">
        <v>41528</v>
      </c>
      <c r="E348">
        <v>385</v>
      </c>
      <c r="F348">
        <v>70</v>
      </c>
      <c r="G348" t="s">
        <v>39</v>
      </c>
      <c r="H348" t="s">
        <v>36</v>
      </c>
      <c r="I348">
        <v>21</v>
      </c>
      <c r="J348" t="s">
        <v>40</v>
      </c>
      <c r="K348" t="s">
        <v>41</v>
      </c>
      <c r="L348" t="s">
        <v>53</v>
      </c>
      <c r="M348">
        <v>16</v>
      </c>
      <c r="N348">
        <v>126</v>
      </c>
      <c r="O348" t="s">
        <v>60</v>
      </c>
      <c r="P348">
        <v>40</v>
      </c>
      <c r="Q348">
        <v>70</v>
      </c>
      <c r="R348">
        <v>50</v>
      </c>
      <c r="S348">
        <v>110</v>
      </c>
      <c r="T348">
        <v>54</v>
      </c>
      <c r="U348" t="s">
        <v>35</v>
      </c>
      <c r="V348">
        <f t="shared" si="30"/>
        <v>0.12698412698412698</v>
      </c>
      <c r="W348">
        <f t="shared" si="31"/>
        <v>-34</v>
      </c>
      <c r="X348">
        <f t="shared" si="32"/>
        <v>16</v>
      </c>
      <c r="Y348">
        <f t="shared" si="33"/>
        <v>0.44444444444444442</v>
      </c>
      <c r="Z348" s="7" t="str">
        <f t="shared" si="34"/>
        <v>Low Sales</v>
      </c>
      <c r="AA348" s="7" t="str">
        <f t="shared" si="35"/>
        <v>High Margin</v>
      </c>
    </row>
    <row r="349" spans="1:27" x14ac:dyDescent="0.25">
      <c r="A349" t="s">
        <v>115</v>
      </c>
      <c r="B349">
        <v>56</v>
      </c>
      <c r="C349">
        <v>-34</v>
      </c>
      <c r="D349" s="1">
        <v>41529</v>
      </c>
      <c r="E349">
        <v>385</v>
      </c>
      <c r="F349">
        <v>70</v>
      </c>
      <c r="G349" t="s">
        <v>39</v>
      </c>
      <c r="H349" t="s">
        <v>29</v>
      </c>
      <c r="I349">
        <v>21</v>
      </c>
      <c r="J349" t="s">
        <v>23</v>
      </c>
      <c r="K349" t="s">
        <v>24</v>
      </c>
      <c r="L349" t="s">
        <v>57</v>
      </c>
      <c r="M349">
        <v>16</v>
      </c>
      <c r="N349">
        <v>126</v>
      </c>
      <c r="O349" t="s">
        <v>47</v>
      </c>
      <c r="P349">
        <v>40</v>
      </c>
      <c r="Q349">
        <v>70</v>
      </c>
      <c r="R349">
        <v>50</v>
      </c>
      <c r="S349">
        <v>110</v>
      </c>
      <c r="T349">
        <v>54</v>
      </c>
      <c r="U349" t="s">
        <v>27</v>
      </c>
      <c r="V349">
        <f t="shared" si="30"/>
        <v>0.12698412698412698</v>
      </c>
      <c r="W349">
        <f t="shared" si="31"/>
        <v>-34</v>
      </c>
      <c r="X349">
        <f t="shared" si="32"/>
        <v>16</v>
      </c>
      <c r="Y349">
        <f t="shared" si="33"/>
        <v>0.44444444444444442</v>
      </c>
      <c r="Z349" s="7" t="str">
        <f t="shared" si="34"/>
        <v>Low Sales</v>
      </c>
      <c r="AA349" s="7" t="str">
        <f t="shared" si="35"/>
        <v>High Margin</v>
      </c>
    </row>
    <row r="350" spans="1:27" x14ac:dyDescent="0.25">
      <c r="A350" t="s">
        <v>77</v>
      </c>
      <c r="B350">
        <v>45</v>
      </c>
      <c r="C350">
        <v>-37</v>
      </c>
      <c r="D350" s="1">
        <v>41530</v>
      </c>
      <c r="E350">
        <v>447</v>
      </c>
      <c r="F350">
        <v>69</v>
      </c>
      <c r="G350" t="s">
        <v>39</v>
      </c>
      <c r="H350" t="s">
        <v>36</v>
      </c>
      <c r="I350">
        <v>14</v>
      </c>
      <c r="J350" t="s">
        <v>23</v>
      </c>
      <c r="K350" t="s">
        <v>24</v>
      </c>
      <c r="L350" t="s">
        <v>25</v>
      </c>
      <c r="M350">
        <v>23</v>
      </c>
      <c r="N350">
        <v>114</v>
      </c>
      <c r="O350" t="s">
        <v>49</v>
      </c>
      <c r="P350">
        <v>20</v>
      </c>
      <c r="Q350">
        <v>70</v>
      </c>
      <c r="R350">
        <v>60</v>
      </c>
      <c r="S350">
        <v>90</v>
      </c>
      <c r="T350">
        <v>46</v>
      </c>
      <c r="U350" t="s">
        <v>27</v>
      </c>
      <c r="V350">
        <f t="shared" si="30"/>
        <v>0.20175438596491227</v>
      </c>
      <c r="W350">
        <f t="shared" si="31"/>
        <v>-37</v>
      </c>
      <c r="X350">
        <f t="shared" si="32"/>
        <v>24</v>
      </c>
      <c r="Y350">
        <f t="shared" si="33"/>
        <v>0.39473684210526316</v>
      </c>
      <c r="Z350" s="7" t="str">
        <f t="shared" si="34"/>
        <v>Low Sales</v>
      </c>
      <c r="AA350" s="7" t="str">
        <f t="shared" si="35"/>
        <v>High Margin</v>
      </c>
    </row>
    <row r="351" spans="1:27" x14ac:dyDescent="0.25">
      <c r="A351" t="s">
        <v>166</v>
      </c>
      <c r="B351">
        <v>52</v>
      </c>
      <c r="C351">
        <v>-13</v>
      </c>
      <c r="D351" s="1">
        <v>41531</v>
      </c>
      <c r="E351">
        <v>509</v>
      </c>
      <c r="F351">
        <v>73</v>
      </c>
      <c r="G351" t="s">
        <v>21</v>
      </c>
      <c r="H351" t="s">
        <v>22</v>
      </c>
      <c r="I351">
        <v>47</v>
      </c>
      <c r="J351" t="s">
        <v>40</v>
      </c>
      <c r="K351" t="s">
        <v>45</v>
      </c>
      <c r="L351" t="s">
        <v>46</v>
      </c>
      <c r="M351">
        <v>-3</v>
      </c>
      <c r="N351">
        <v>125</v>
      </c>
      <c r="O351" t="s">
        <v>65</v>
      </c>
      <c r="P351">
        <v>50</v>
      </c>
      <c r="Q351">
        <v>70</v>
      </c>
      <c r="R351">
        <v>10</v>
      </c>
      <c r="S351">
        <v>120</v>
      </c>
      <c r="T351">
        <v>76</v>
      </c>
      <c r="U351" t="s">
        <v>27</v>
      </c>
      <c r="V351">
        <f t="shared" si="30"/>
        <v>-2.4E-2</v>
      </c>
      <c r="W351">
        <f t="shared" si="31"/>
        <v>-13</v>
      </c>
      <c r="X351">
        <f t="shared" si="32"/>
        <v>5</v>
      </c>
      <c r="Y351">
        <f t="shared" si="33"/>
        <v>0.41599999999999998</v>
      </c>
      <c r="Z351" s="7" t="str">
        <f t="shared" si="34"/>
        <v>Low Sales</v>
      </c>
      <c r="AA351" s="7" t="str">
        <f t="shared" si="35"/>
        <v>Low Margin</v>
      </c>
    </row>
    <row r="352" spans="1:27" x14ac:dyDescent="0.25">
      <c r="A352" t="s">
        <v>137</v>
      </c>
      <c r="B352">
        <v>46</v>
      </c>
      <c r="C352">
        <v>-8</v>
      </c>
      <c r="D352" s="1">
        <v>41532</v>
      </c>
      <c r="E352">
        <v>424</v>
      </c>
      <c r="F352">
        <v>68</v>
      </c>
      <c r="G352" t="s">
        <v>21</v>
      </c>
      <c r="H352" t="s">
        <v>22</v>
      </c>
      <c r="I352">
        <v>14</v>
      </c>
      <c r="J352" t="s">
        <v>40</v>
      </c>
      <c r="K352" t="s">
        <v>45</v>
      </c>
      <c r="L352" t="s">
        <v>52</v>
      </c>
      <c r="M352">
        <v>32</v>
      </c>
      <c r="N352">
        <v>114</v>
      </c>
      <c r="O352" t="s">
        <v>65</v>
      </c>
      <c r="P352">
        <v>40</v>
      </c>
      <c r="Q352">
        <v>70</v>
      </c>
      <c r="R352">
        <v>40</v>
      </c>
      <c r="S352">
        <v>110</v>
      </c>
      <c r="T352">
        <v>36</v>
      </c>
      <c r="U352" t="s">
        <v>35</v>
      </c>
      <c r="V352">
        <f t="shared" si="30"/>
        <v>0.2807017543859649</v>
      </c>
      <c r="W352">
        <f t="shared" si="31"/>
        <v>-8</v>
      </c>
      <c r="X352">
        <f t="shared" si="32"/>
        <v>4</v>
      </c>
      <c r="Y352">
        <f t="shared" si="33"/>
        <v>0.40350877192982454</v>
      </c>
      <c r="Z352" s="7" t="str">
        <f t="shared" si="34"/>
        <v>Low Sales</v>
      </c>
      <c r="AA352" s="7" t="str">
        <f t="shared" si="35"/>
        <v>High Margin</v>
      </c>
    </row>
    <row r="353" spans="1:27" x14ac:dyDescent="0.25">
      <c r="A353" t="s">
        <v>68</v>
      </c>
      <c r="B353">
        <v>52</v>
      </c>
      <c r="C353">
        <v>-14</v>
      </c>
      <c r="D353" s="1">
        <v>41533</v>
      </c>
      <c r="E353">
        <v>509</v>
      </c>
      <c r="F353">
        <v>73</v>
      </c>
      <c r="G353" t="s">
        <v>21</v>
      </c>
      <c r="H353" t="s">
        <v>22</v>
      </c>
      <c r="I353">
        <v>47</v>
      </c>
      <c r="J353" t="s">
        <v>23</v>
      </c>
      <c r="K353" t="s">
        <v>24</v>
      </c>
      <c r="L353" t="s">
        <v>25</v>
      </c>
      <c r="M353">
        <v>-4</v>
      </c>
      <c r="N353">
        <v>125</v>
      </c>
      <c r="O353" t="s">
        <v>26</v>
      </c>
      <c r="P353">
        <v>40</v>
      </c>
      <c r="Q353">
        <v>70</v>
      </c>
      <c r="R353">
        <v>10</v>
      </c>
      <c r="S353">
        <v>110</v>
      </c>
      <c r="T353">
        <v>77</v>
      </c>
      <c r="U353" t="s">
        <v>27</v>
      </c>
      <c r="V353">
        <f t="shared" si="30"/>
        <v>-3.2000000000000001E-2</v>
      </c>
      <c r="W353">
        <f t="shared" si="31"/>
        <v>-14</v>
      </c>
      <c r="X353">
        <f t="shared" si="32"/>
        <v>15</v>
      </c>
      <c r="Y353">
        <f t="shared" si="33"/>
        <v>0.41599999999999998</v>
      </c>
      <c r="Z353" s="7" t="str">
        <f t="shared" si="34"/>
        <v>Low Sales</v>
      </c>
      <c r="AA353" s="7" t="str">
        <f t="shared" si="35"/>
        <v>Low Margin</v>
      </c>
    </row>
    <row r="354" spans="1:27" x14ac:dyDescent="0.25">
      <c r="A354" t="s">
        <v>111</v>
      </c>
      <c r="B354">
        <v>59</v>
      </c>
      <c r="C354">
        <v>-8</v>
      </c>
      <c r="D354" s="1">
        <v>41534</v>
      </c>
      <c r="E354">
        <v>411</v>
      </c>
      <c r="F354">
        <v>79</v>
      </c>
      <c r="G354" t="s">
        <v>21</v>
      </c>
      <c r="H354" t="s">
        <v>22</v>
      </c>
      <c r="I354">
        <v>19</v>
      </c>
      <c r="J354" t="s">
        <v>23</v>
      </c>
      <c r="K354" t="s">
        <v>24</v>
      </c>
      <c r="L354" t="s">
        <v>28</v>
      </c>
      <c r="M354">
        <v>32</v>
      </c>
      <c r="N354">
        <v>138</v>
      </c>
      <c r="O354" t="s">
        <v>26</v>
      </c>
      <c r="P354">
        <v>50</v>
      </c>
      <c r="Q354">
        <v>70</v>
      </c>
      <c r="R354">
        <v>40</v>
      </c>
      <c r="S354">
        <v>120</v>
      </c>
      <c r="T354">
        <v>47</v>
      </c>
      <c r="U354" t="s">
        <v>27</v>
      </c>
      <c r="V354">
        <f t="shared" si="30"/>
        <v>0.2318840579710145</v>
      </c>
      <c r="W354">
        <f t="shared" si="31"/>
        <v>-8</v>
      </c>
      <c r="X354">
        <f t="shared" si="32"/>
        <v>18</v>
      </c>
      <c r="Y354">
        <f t="shared" si="33"/>
        <v>0.42753623188405798</v>
      </c>
      <c r="Z354" s="7" t="str">
        <f t="shared" si="34"/>
        <v>Low Sales</v>
      </c>
      <c r="AA354" s="7" t="str">
        <f t="shared" si="35"/>
        <v>High Margin</v>
      </c>
    </row>
    <row r="355" spans="1:27" x14ac:dyDescent="0.25">
      <c r="A355" t="s">
        <v>167</v>
      </c>
      <c r="B355">
        <v>59</v>
      </c>
      <c r="C355">
        <v>-8</v>
      </c>
      <c r="D355" s="1">
        <v>41535</v>
      </c>
      <c r="E355">
        <v>411</v>
      </c>
      <c r="F355">
        <v>79</v>
      </c>
      <c r="G355" t="s">
        <v>21</v>
      </c>
      <c r="H355" t="s">
        <v>29</v>
      </c>
      <c r="I355">
        <v>19</v>
      </c>
      <c r="J355" t="s">
        <v>23</v>
      </c>
      <c r="K355" t="s">
        <v>24</v>
      </c>
      <c r="L355" t="s">
        <v>57</v>
      </c>
      <c r="M355">
        <v>32</v>
      </c>
      <c r="N355">
        <v>138</v>
      </c>
      <c r="O355" t="s">
        <v>30</v>
      </c>
      <c r="P355">
        <v>50</v>
      </c>
      <c r="Q355">
        <v>70</v>
      </c>
      <c r="R355">
        <v>40</v>
      </c>
      <c r="S355">
        <v>120</v>
      </c>
      <c r="T355">
        <v>47</v>
      </c>
      <c r="U355" t="s">
        <v>27</v>
      </c>
      <c r="V355">
        <f t="shared" si="30"/>
        <v>0.2318840579710145</v>
      </c>
      <c r="W355">
        <f t="shared" si="31"/>
        <v>-8</v>
      </c>
      <c r="X355">
        <f t="shared" si="32"/>
        <v>18</v>
      </c>
      <c r="Y355">
        <f t="shared" si="33"/>
        <v>0.42753623188405798</v>
      </c>
      <c r="Z355" s="7" t="str">
        <f t="shared" si="34"/>
        <v>Low Sales</v>
      </c>
      <c r="AA355" s="7" t="str">
        <f t="shared" si="35"/>
        <v>High Margin</v>
      </c>
    </row>
    <row r="356" spans="1:27" x14ac:dyDescent="0.25">
      <c r="A356" t="s">
        <v>168</v>
      </c>
      <c r="B356">
        <v>50</v>
      </c>
      <c r="C356">
        <v>-3</v>
      </c>
      <c r="D356" s="1">
        <v>41536</v>
      </c>
      <c r="E356">
        <v>589</v>
      </c>
      <c r="F356">
        <v>73</v>
      </c>
      <c r="G356" t="s">
        <v>21</v>
      </c>
      <c r="H356" t="s">
        <v>31</v>
      </c>
      <c r="I356">
        <v>14</v>
      </c>
      <c r="J356" t="s">
        <v>23</v>
      </c>
      <c r="K356" t="s">
        <v>32</v>
      </c>
      <c r="L356" t="s">
        <v>37</v>
      </c>
      <c r="M356">
        <v>47</v>
      </c>
      <c r="N356">
        <v>123</v>
      </c>
      <c r="O356" t="s">
        <v>67</v>
      </c>
      <c r="P356">
        <v>50</v>
      </c>
      <c r="Q356">
        <v>70</v>
      </c>
      <c r="R356">
        <v>50</v>
      </c>
      <c r="S356">
        <v>120</v>
      </c>
      <c r="T356">
        <v>26</v>
      </c>
      <c r="U356" t="s">
        <v>35</v>
      </c>
      <c r="V356">
        <f t="shared" si="30"/>
        <v>0.38211382113821141</v>
      </c>
      <c r="W356">
        <f t="shared" si="31"/>
        <v>-3</v>
      </c>
      <c r="X356">
        <f t="shared" si="32"/>
        <v>3</v>
      </c>
      <c r="Y356">
        <f t="shared" si="33"/>
        <v>0.4065040650406504</v>
      </c>
      <c r="Z356" s="7" t="str">
        <f t="shared" si="34"/>
        <v>Low Sales</v>
      </c>
      <c r="AA356" s="7" t="str">
        <f t="shared" si="35"/>
        <v>High Margin</v>
      </c>
    </row>
    <row r="357" spans="1:27" x14ac:dyDescent="0.25">
      <c r="A357" t="s">
        <v>74</v>
      </c>
      <c r="B357">
        <v>53</v>
      </c>
      <c r="C357">
        <v>-14</v>
      </c>
      <c r="D357" s="1">
        <v>41537</v>
      </c>
      <c r="E357">
        <v>380</v>
      </c>
      <c r="F357">
        <v>71</v>
      </c>
      <c r="G357" t="s">
        <v>39</v>
      </c>
      <c r="H357" t="s">
        <v>31</v>
      </c>
      <c r="I357">
        <v>17</v>
      </c>
      <c r="J357" t="s">
        <v>40</v>
      </c>
      <c r="K357" t="s">
        <v>41</v>
      </c>
      <c r="L357" t="s">
        <v>42</v>
      </c>
      <c r="M357">
        <v>26</v>
      </c>
      <c r="N357">
        <v>124</v>
      </c>
      <c r="O357" t="s">
        <v>44</v>
      </c>
      <c r="P357">
        <v>50</v>
      </c>
      <c r="Q357">
        <v>70</v>
      </c>
      <c r="R357">
        <v>40</v>
      </c>
      <c r="S357">
        <v>120</v>
      </c>
      <c r="T357">
        <v>45</v>
      </c>
      <c r="U357" t="s">
        <v>27</v>
      </c>
      <c r="V357">
        <f t="shared" si="30"/>
        <v>0.20967741935483872</v>
      </c>
      <c r="W357">
        <f t="shared" si="31"/>
        <v>-14</v>
      </c>
      <c r="X357">
        <f t="shared" si="32"/>
        <v>4</v>
      </c>
      <c r="Y357">
        <f t="shared" si="33"/>
        <v>0.42741935483870969</v>
      </c>
      <c r="Z357" s="7" t="str">
        <f t="shared" si="34"/>
        <v>Low Sales</v>
      </c>
      <c r="AA357" s="7" t="str">
        <f t="shared" si="35"/>
        <v>High Margin</v>
      </c>
    </row>
    <row r="358" spans="1:27" x14ac:dyDescent="0.25">
      <c r="A358" t="s">
        <v>77</v>
      </c>
      <c r="B358">
        <v>54</v>
      </c>
      <c r="C358">
        <v>2</v>
      </c>
      <c r="D358" s="1">
        <v>41538</v>
      </c>
      <c r="E358">
        <v>885</v>
      </c>
      <c r="F358">
        <v>78</v>
      </c>
      <c r="G358" t="s">
        <v>39</v>
      </c>
      <c r="H358" t="s">
        <v>36</v>
      </c>
      <c r="I358">
        <v>15</v>
      </c>
      <c r="J358" t="s">
        <v>40</v>
      </c>
      <c r="K358" t="s">
        <v>41</v>
      </c>
      <c r="L358" t="s">
        <v>42</v>
      </c>
      <c r="M358">
        <v>52</v>
      </c>
      <c r="N358">
        <v>132</v>
      </c>
      <c r="O358" t="s">
        <v>49</v>
      </c>
      <c r="P358">
        <v>50</v>
      </c>
      <c r="Q358">
        <v>70</v>
      </c>
      <c r="R358">
        <v>50</v>
      </c>
      <c r="S358">
        <v>120</v>
      </c>
      <c r="T358">
        <v>26</v>
      </c>
      <c r="U358" t="s">
        <v>27</v>
      </c>
      <c r="V358">
        <f t="shared" si="30"/>
        <v>0.39393939393939392</v>
      </c>
      <c r="W358">
        <f t="shared" si="31"/>
        <v>2</v>
      </c>
      <c r="X358">
        <f t="shared" si="32"/>
        <v>12</v>
      </c>
      <c r="Y358">
        <f t="shared" si="33"/>
        <v>0.40909090909090912</v>
      </c>
      <c r="Z358" s="7" t="str">
        <f t="shared" si="34"/>
        <v>Low Sales</v>
      </c>
      <c r="AA358" s="7" t="str">
        <f t="shared" si="35"/>
        <v>High Margin</v>
      </c>
    </row>
    <row r="359" spans="1:27" x14ac:dyDescent="0.25">
      <c r="A359" t="s">
        <v>107</v>
      </c>
      <c r="B359">
        <v>43</v>
      </c>
      <c r="C359">
        <v>-10</v>
      </c>
      <c r="D359" s="1">
        <v>41539</v>
      </c>
      <c r="E359">
        <v>452</v>
      </c>
      <c r="F359">
        <v>66</v>
      </c>
      <c r="G359" t="s">
        <v>39</v>
      </c>
      <c r="H359" t="s">
        <v>29</v>
      </c>
      <c r="I359">
        <v>14</v>
      </c>
      <c r="J359" t="s">
        <v>40</v>
      </c>
      <c r="K359" t="s">
        <v>45</v>
      </c>
      <c r="L359" t="s">
        <v>52</v>
      </c>
      <c r="M359">
        <v>20</v>
      </c>
      <c r="N359">
        <v>109</v>
      </c>
      <c r="O359" t="s">
        <v>64</v>
      </c>
      <c r="P359">
        <v>50</v>
      </c>
      <c r="Q359">
        <v>70</v>
      </c>
      <c r="R359">
        <v>30</v>
      </c>
      <c r="S359">
        <v>120</v>
      </c>
      <c r="T359">
        <v>46</v>
      </c>
      <c r="U359" t="s">
        <v>35</v>
      </c>
      <c r="V359">
        <f t="shared" si="30"/>
        <v>0.1834862385321101</v>
      </c>
      <c r="W359">
        <f t="shared" si="31"/>
        <v>-10</v>
      </c>
      <c r="X359">
        <f t="shared" si="32"/>
        <v>-11</v>
      </c>
      <c r="Y359">
        <f t="shared" si="33"/>
        <v>0.39449541284403672</v>
      </c>
      <c r="Z359" s="7" t="str">
        <f t="shared" si="34"/>
        <v>Low Sales</v>
      </c>
      <c r="AA359" s="7" t="str">
        <f t="shared" si="35"/>
        <v>High Margin</v>
      </c>
    </row>
    <row r="360" spans="1:27" x14ac:dyDescent="0.25">
      <c r="A360" t="s">
        <v>95</v>
      </c>
      <c r="B360">
        <v>61</v>
      </c>
      <c r="C360">
        <v>-9</v>
      </c>
      <c r="D360" s="1">
        <v>41540</v>
      </c>
      <c r="E360">
        <v>-906</v>
      </c>
      <c r="F360">
        <v>86</v>
      </c>
      <c r="G360" t="s">
        <v>39</v>
      </c>
      <c r="H360" t="s">
        <v>29</v>
      </c>
      <c r="I360">
        <v>55</v>
      </c>
      <c r="J360" t="s">
        <v>40</v>
      </c>
      <c r="K360" t="s">
        <v>41</v>
      </c>
      <c r="L360" t="s">
        <v>54</v>
      </c>
      <c r="M360">
        <v>1</v>
      </c>
      <c r="N360">
        <v>147</v>
      </c>
      <c r="O360" t="s">
        <v>55</v>
      </c>
      <c r="P360">
        <v>40</v>
      </c>
      <c r="Q360">
        <v>70</v>
      </c>
      <c r="R360">
        <v>10</v>
      </c>
      <c r="S360">
        <v>110</v>
      </c>
      <c r="T360">
        <v>85</v>
      </c>
      <c r="U360" t="s">
        <v>35</v>
      </c>
      <c r="V360">
        <f t="shared" si="30"/>
        <v>6.8027210884353739E-3</v>
      </c>
      <c r="W360">
        <f t="shared" si="31"/>
        <v>-9</v>
      </c>
      <c r="X360">
        <f t="shared" si="32"/>
        <v>37</v>
      </c>
      <c r="Y360">
        <f t="shared" si="33"/>
        <v>0.41496598639455784</v>
      </c>
      <c r="Z360" s="7" t="str">
        <f t="shared" si="34"/>
        <v>Low Sales</v>
      </c>
      <c r="AA360" s="7" t="str">
        <f t="shared" si="35"/>
        <v>Low Margin</v>
      </c>
    </row>
    <row r="361" spans="1:27" x14ac:dyDescent="0.25">
      <c r="A361" t="s">
        <v>117</v>
      </c>
      <c r="B361">
        <v>55</v>
      </c>
      <c r="C361">
        <v>-14</v>
      </c>
      <c r="D361" s="1">
        <v>41541</v>
      </c>
      <c r="E361">
        <v>410</v>
      </c>
      <c r="F361">
        <v>69</v>
      </c>
      <c r="G361" t="s">
        <v>39</v>
      </c>
      <c r="H361" t="s">
        <v>36</v>
      </c>
      <c r="I361">
        <v>20</v>
      </c>
      <c r="J361" t="s">
        <v>40</v>
      </c>
      <c r="K361" t="s">
        <v>41</v>
      </c>
      <c r="L361" t="s">
        <v>54</v>
      </c>
      <c r="M361">
        <v>16</v>
      </c>
      <c r="N361">
        <v>124</v>
      </c>
      <c r="O361" t="s">
        <v>56</v>
      </c>
      <c r="P361">
        <v>50</v>
      </c>
      <c r="Q361">
        <v>70</v>
      </c>
      <c r="R361">
        <v>30</v>
      </c>
      <c r="S361">
        <v>120</v>
      </c>
      <c r="T361">
        <v>53</v>
      </c>
      <c r="U361" t="s">
        <v>35</v>
      </c>
      <c r="V361">
        <f t="shared" si="30"/>
        <v>0.12903225806451613</v>
      </c>
      <c r="W361">
        <f t="shared" si="31"/>
        <v>-14</v>
      </c>
      <c r="X361">
        <f t="shared" si="32"/>
        <v>4</v>
      </c>
      <c r="Y361">
        <f t="shared" si="33"/>
        <v>0.44354838709677419</v>
      </c>
      <c r="Z361" s="7" t="str">
        <f t="shared" si="34"/>
        <v>Low Sales</v>
      </c>
      <c r="AA361" s="7" t="str">
        <f t="shared" si="35"/>
        <v>High Margin</v>
      </c>
    </row>
    <row r="362" spans="1:27" x14ac:dyDescent="0.25">
      <c r="A362" t="s">
        <v>74</v>
      </c>
      <c r="B362">
        <v>82</v>
      </c>
      <c r="C362">
        <v>8</v>
      </c>
      <c r="D362" s="1">
        <v>41542</v>
      </c>
      <c r="E362">
        <v>601</v>
      </c>
      <c r="F362">
        <v>102</v>
      </c>
      <c r="G362" t="s">
        <v>39</v>
      </c>
      <c r="H362" t="s">
        <v>31</v>
      </c>
      <c r="I362">
        <v>31</v>
      </c>
      <c r="J362" t="s">
        <v>23</v>
      </c>
      <c r="K362" t="s">
        <v>24</v>
      </c>
      <c r="L362" t="s">
        <v>25</v>
      </c>
      <c r="M362">
        <v>38</v>
      </c>
      <c r="N362">
        <v>184</v>
      </c>
      <c r="O362" t="s">
        <v>44</v>
      </c>
      <c r="P362">
        <v>60</v>
      </c>
      <c r="Q362">
        <v>70</v>
      </c>
      <c r="R362">
        <v>30</v>
      </c>
      <c r="S362">
        <v>130</v>
      </c>
      <c r="T362">
        <v>64</v>
      </c>
      <c r="U362" t="s">
        <v>27</v>
      </c>
      <c r="V362">
        <f t="shared" si="30"/>
        <v>0.20652173913043478</v>
      </c>
      <c r="W362">
        <f t="shared" si="31"/>
        <v>8</v>
      </c>
      <c r="X362">
        <f t="shared" si="32"/>
        <v>54</v>
      </c>
      <c r="Y362">
        <f t="shared" si="33"/>
        <v>0.44565217391304346</v>
      </c>
      <c r="Z362" s="7" t="str">
        <f t="shared" si="34"/>
        <v>Low Sales</v>
      </c>
      <c r="AA362" s="7" t="str">
        <f t="shared" si="35"/>
        <v>High Margin</v>
      </c>
    </row>
    <row r="363" spans="1:27" x14ac:dyDescent="0.25">
      <c r="A363" t="s">
        <v>133</v>
      </c>
      <c r="B363">
        <v>61</v>
      </c>
      <c r="C363">
        <v>2</v>
      </c>
      <c r="D363" s="1">
        <v>41543</v>
      </c>
      <c r="E363">
        <v>613</v>
      </c>
      <c r="F363">
        <v>86</v>
      </c>
      <c r="G363" t="s">
        <v>39</v>
      </c>
      <c r="H363" t="s">
        <v>22</v>
      </c>
      <c r="I363">
        <v>55</v>
      </c>
      <c r="J363" t="s">
        <v>23</v>
      </c>
      <c r="K363" t="s">
        <v>32</v>
      </c>
      <c r="L363" t="s">
        <v>61</v>
      </c>
      <c r="M363">
        <v>2</v>
      </c>
      <c r="N363">
        <v>147</v>
      </c>
      <c r="O363" t="s">
        <v>59</v>
      </c>
      <c r="P363">
        <v>50</v>
      </c>
      <c r="Q363">
        <v>70</v>
      </c>
      <c r="R363">
        <v>0</v>
      </c>
      <c r="S363">
        <v>120</v>
      </c>
      <c r="T363">
        <v>84</v>
      </c>
      <c r="U363" t="s">
        <v>35</v>
      </c>
      <c r="V363">
        <f t="shared" si="30"/>
        <v>1.3605442176870748E-2</v>
      </c>
      <c r="W363">
        <f t="shared" si="31"/>
        <v>2</v>
      </c>
      <c r="X363">
        <f t="shared" si="32"/>
        <v>27</v>
      </c>
      <c r="Y363">
        <f t="shared" si="33"/>
        <v>0.41496598639455784</v>
      </c>
      <c r="Z363" s="7" t="str">
        <f t="shared" si="34"/>
        <v>Low Sales</v>
      </c>
      <c r="AA363" s="7" t="str">
        <f t="shared" si="35"/>
        <v>Low Margin</v>
      </c>
    </row>
    <row r="364" spans="1:27" x14ac:dyDescent="0.25">
      <c r="A364" t="s">
        <v>84</v>
      </c>
      <c r="B364">
        <v>53</v>
      </c>
      <c r="C364">
        <v>-1</v>
      </c>
      <c r="D364" s="1">
        <v>41544</v>
      </c>
      <c r="E364">
        <v>321</v>
      </c>
      <c r="F364">
        <v>88</v>
      </c>
      <c r="G364" t="s">
        <v>39</v>
      </c>
      <c r="H364" t="s">
        <v>36</v>
      </c>
      <c r="I364">
        <v>16</v>
      </c>
      <c r="J364" t="s">
        <v>23</v>
      </c>
      <c r="K364" t="s">
        <v>32</v>
      </c>
      <c r="L364" t="s">
        <v>33</v>
      </c>
      <c r="M364">
        <v>49</v>
      </c>
      <c r="N364">
        <v>141</v>
      </c>
      <c r="O364" t="s">
        <v>60</v>
      </c>
      <c r="P364">
        <v>30</v>
      </c>
      <c r="Q364">
        <v>70</v>
      </c>
      <c r="R364">
        <v>50</v>
      </c>
      <c r="S364">
        <v>100</v>
      </c>
      <c r="T364">
        <v>39</v>
      </c>
      <c r="U364" t="s">
        <v>35</v>
      </c>
      <c r="V364">
        <f t="shared" si="30"/>
        <v>0.3475177304964539</v>
      </c>
      <c r="W364">
        <f t="shared" si="31"/>
        <v>-1</v>
      </c>
      <c r="X364">
        <f t="shared" si="32"/>
        <v>41</v>
      </c>
      <c r="Y364">
        <f t="shared" si="33"/>
        <v>0.37588652482269502</v>
      </c>
      <c r="Z364" s="7" t="str">
        <f t="shared" si="34"/>
        <v>Low Sales</v>
      </c>
      <c r="AA364" s="7" t="str">
        <f t="shared" si="35"/>
        <v>High Margin</v>
      </c>
    </row>
    <row r="365" spans="1:27" x14ac:dyDescent="0.25">
      <c r="A365" t="s">
        <v>151</v>
      </c>
      <c r="B365">
        <v>47</v>
      </c>
      <c r="C365">
        <v>-16</v>
      </c>
      <c r="D365" s="1">
        <v>41545</v>
      </c>
      <c r="E365">
        <v>521</v>
      </c>
      <c r="F365">
        <v>65</v>
      </c>
      <c r="G365" t="s">
        <v>21</v>
      </c>
      <c r="H365" t="s">
        <v>22</v>
      </c>
      <c r="I365">
        <v>42</v>
      </c>
      <c r="J365" t="s">
        <v>40</v>
      </c>
      <c r="K365" t="s">
        <v>45</v>
      </c>
      <c r="L365" t="s">
        <v>46</v>
      </c>
      <c r="M365">
        <v>-6</v>
      </c>
      <c r="N365">
        <v>112</v>
      </c>
      <c r="O365" t="s">
        <v>65</v>
      </c>
      <c r="P365">
        <v>40</v>
      </c>
      <c r="Q365">
        <v>70</v>
      </c>
      <c r="R365">
        <v>10</v>
      </c>
      <c r="S365">
        <v>110</v>
      </c>
      <c r="T365">
        <v>71</v>
      </c>
      <c r="U365" t="s">
        <v>27</v>
      </c>
      <c r="V365">
        <f t="shared" si="30"/>
        <v>-5.3571428571428568E-2</v>
      </c>
      <c r="W365">
        <f t="shared" si="31"/>
        <v>-16</v>
      </c>
      <c r="X365">
        <f t="shared" si="32"/>
        <v>2</v>
      </c>
      <c r="Y365">
        <f t="shared" si="33"/>
        <v>0.41964285714285715</v>
      </c>
      <c r="Z365" s="7" t="str">
        <f t="shared" si="34"/>
        <v>Low Sales</v>
      </c>
      <c r="AA365" s="7" t="str">
        <f t="shared" si="35"/>
        <v>Low Margin</v>
      </c>
    </row>
    <row r="366" spans="1:27" x14ac:dyDescent="0.25">
      <c r="A366" t="s">
        <v>169</v>
      </c>
      <c r="B366">
        <v>54</v>
      </c>
      <c r="C366">
        <v>-11</v>
      </c>
      <c r="D366" s="1">
        <v>41546</v>
      </c>
      <c r="E366">
        <v>424</v>
      </c>
      <c r="F366">
        <v>73</v>
      </c>
      <c r="G366" t="s">
        <v>21</v>
      </c>
      <c r="H366" t="s">
        <v>22</v>
      </c>
      <c r="I366">
        <v>17</v>
      </c>
      <c r="J366" t="s">
        <v>40</v>
      </c>
      <c r="K366" t="s">
        <v>45</v>
      </c>
      <c r="L366" t="s">
        <v>50</v>
      </c>
      <c r="M366">
        <v>29</v>
      </c>
      <c r="N366">
        <v>127</v>
      </c>
      <c r="O366" t="s">
        <v>65</v>
      </c>
      <c r="P366">
        <v>50</v>
      </c>
      <c r="Q366">
        <v>70</v>
      </c>
      <c r="R366">
        <v>40</v>
      </c>
      <c r="S366">
        <v>120</v>
      </c>
      <c r="T366">
        <v>44</v>
      </c>
      <c r="U366" t="s">
        <v>35</v>
      </c>
      <c r="V366">
        <f t="shared" si="30"/>
        <v>0.2283464566929134</v>
      </c>
      <c r="W366">
        <f t="shared" si="31"/>
        <v>-11</v>
      </c>
      <c r="X366">
        <f t="shared" si="32"/>
        <v>7</v>
      </c>
      <c r="Y366">
        <f t="shared" si="33"/>
        <v>0.42519685039370081</v>
      </c>
      <c r="Z366" s="7" t="str">
        <f t="shared" si="34"/>
        <v>Low Sales</v>
      </c>
      <c r="AA366" s="7" t="str">
        <f t="shared" si="35"/>
        <v>High Margin</v>
      </c>
    </row>
    <row r="367" spans="1:27" x14ac:dyDescent="0.25">
      <c r="A367" t="s">
        <v>170</v>
      </c>
      <c r="B367">
        <v>67</v>
      </c>
      <c r="C367">
        <v>17</v>
      </c>
      <c r="D367" s="1">
        <v>41547</v>
      </c>
      <c r="E367">
        <v>-1239</v>
      </c>
      <c r="F367">
        <v>101</v>
      </c>
      <c r="G367" t="s">
        <v>21</v>
      </c>
      <c r="H367" t="s">
        <v>29</v>
      </c>
      <c r="I367">
        <v>22</v>
      </c>
      <c r="J367" t="s">
        <v>40</v>
      </c>
      <c r="K367" t="s">
        <v>41</v>
      </c>
      <c r="L367" t="s">
        <v>54</v>
      </c>
      <c r="M367">
        <v>47</v>
      </c>
      <c r="N367">
        <v>168</v>
      </c>
      <c r="O367" t="s">
        <v>30</v>
      </c>
      <c r="P367">
        <v>50</v>
      </c>
      <c r="Q367">
        <v>70</v>
      </c>
      <c r="R367">
        <v>30</v>
      </c>
      <c r="S367">
        <v>120</v>
      </c>
      <c r="T367">
        <v>54</v>
      </c>
      <c r="U367" t="s">
        <v>35</v>
      </c>
      <c r="V367">
        <f t="shared" si="30"/>
        <v>0.27976190476190477</v>
      </c>
      <c r="W367">
        <f t="shared" si="31"/>
        <v>17</v>
      </c>
      <c r="X367">
        <f t="shared" si="32"/>
        <v>48</v>
      </c>
      <c r="Y367">
        <f t="shared" si="33"/>
        <v>0.39880952380952384</v>
      </c>
      <c r="Z367" s="7" t="str">
        <f t="shared" si="34"/>
        <v>Low Sales</v>
      </c>
      <c r="AA367" s="7" t="str">
        <f t="shared" si="35"/>
        <v>High Margin</v>
      </c>
    </row>
    <row r="368" spans="1:27" x14ac:dyDescent="0.25">
      <c r="A368" t="s">
        <v>171</v>
      </c>
      <c r="B368">
        <v>54</v>
      </c>
      <c r="C368">
        <v>3</v>
      </c>
      <c r="D368" s="1">
        <v>41548</v>
      </c>
      <c r="E368">
        <v>601</v>
      </c>
      <c r="F368">
        <v>79</v>
      </c>
      <c r="G368" t="s">
        <v>21</v>
      </c>
      <c r="H368" t="s">
        <v>22</v>
      </c>
      <c r="I368">
        <v>15</v>
      </c>
      <c r="J368" t="s">
        <v>23</v>
      </c>
      <c r="K368" t="s">
        <v>32</v>
      </c>
      <c r="L368" t="s">
        <v>33</v>
      </c>
      <c r="M368">
        <v>53</v>
      </c>
      <c r="N368">
        <v>133</v>
      </c>
      <c r="O368" t="s">
        <v>63</v>
      </c>
      <c r="P368">
        <v>40</v>
      </c>
      <c r="Q368">
        <v>70</v>
      </c>
      <c r="R368">
        <v>50</v>
      </c>
      <c r="S368">
        <v>110</v>
      </c>
      <c r="T368">
        <v>26</v>
      </c>
      <c r="U368" t="s">
        <v>35</v>
      </c>
      <c r="V368">
        <f t="shared" si="30"/>
        <v>0.39849624060150374</v>
      </c>
      <c r="W368">
        <f t="shared" si="31"/>
        <v>3</v>
      </c>
      <c r="X368">
        <f t="shared" si="32"/>
        <v>23</v>
      </c>
      <c r="Y368">
        <f t="shared" si="33"/>
        <v>0.40601503759398494</v>
      </c>
      <c r="Z368" s="7" t="str">
        <f t="shared" si="34"/>
        <v>Low Sales</v>
      </c>
      <c r="AA368" s="7" t="str">
        <f t="shared" si="35"/>
        <v>High Margin</v>
      </c>
    </row>
    <row r="369" spans="1:27" x14ac:dyDescent="0.25">
      <c r="A369" t="s">
        <v>130</v>
      </c>
      <c r="B369">
        <v>63</v>
      </c>
      <c r="C369">
        <v>-4</v>
      </c>
      <c r="D369" s="1">
        <v>41549</v>
      </c>
      <c r="E369">
        <v>1075</v>
      </c>
      <c r="F369">
        <v>76</v>
      </c>
      <c r="G369" t="s">
        <v>39</v>
      </c>
      <c r="H369" t="s">
        <v>22</v>
      </c>
      <c r="I369">
        <v>19</v>
      </c>
      <c r="J369" t="s">
        <v>40</v>
      </c>
      <c r="K369" t="s">
        <v>45</v>
      </c>
      <c r="L369" t="s">
        <v>46</v>
      </c>
      <c r="M369">
        <v>36</v>
      </c>
      <c r="N369">
        <v>139</v>
      </c>
      <c r="O369" t="s">
        <v>58</v>
      </c>
      <c r="P369">
        <v>60</v>
      </c>
      <c r="Q369">
        <v>70</v>
      </c>
      <c r="R369">
        <v>40</v>
      </c>
      <c r="S369">
        <v>130</v>
      </c>
      <c r="T369">
        <v>40</v>
      </c>
      <c r="U369" t="s">
        <v>27</v>
      </c>
      <c r="V369">
        <f t="shared" si="30"/>
        <v>0.25899280575539568</v>
      </c>
      <c r="W369">
        <f t="shared" si="31"/>
        <v>-4</v>
      </c>
      <c r="X369">
        <f t="shared" si="32"/>
        <v>9</v>
      </c>
      <c r="Y369">
        <f t="shared" si="33"/>
        <v>0.45323741007194246</v>
      </c>
      <c r="Z369" s="7" t="str">
        <f t="shared" si="34"/>
        <v>Low Sales</v>
      </c>
      <c r="AA369" s="7" t="str">
        <f t="shared" si="35"/>
        <v>High Margin</v>
      </c>
    </row>
    <row r="370" spans="1:27" x14ac:dyDescent="0.25">
      <c r="A370" t="s">
        <v>135</v>
      </c>
      <c r="B370">
        <v>49</v>
      </c>
      <c r="C370">
        <v>-19</v>
      </c>
      <c r="D370" s="1">
        <v>41550</v>
      </c>
      <c r="E370">
        <v>392</v>
      </c>
      <c r="F370">
        <v>65</v>
      </c>
      <c r="G370" t="s">
        <v>39</v>
      </c>
      <c r="H370" t="s">
        <v>31</v>
      </c>
      <c r="I370">
        <v>16</v>
      </c>
      <c r="J370" t="s">
        <v>40</v>
      </c>
      <c r="K370" t="s">
        <v>41</v>
      </c>
      <c r="L370" t="s">
        <v>42</v>
      </c>
      <c r="M370">
        <v>21</v>
      </c>
      <c r="N370">
        <v>114</v>
      </c>
      <c r="O370" t="s">
        <v>44</v>
      </c>
      <c r="P370">
        <v>40</v>
      </c>
      <c r="Q370">
        <v>70</v>
      </c>
      <c r="R370">
        <v>40</v>
      </c>
      <c r="S370">
        <v>110</v>
      </c>
      <c r="T370">
        <v>44</v>
      </c>
      <c r="U370" t="s">
        <v>27</v>
      </c>
      <c r="V370">
        <f t="shared" si="30"/>
        <v>0.18421052631578946</v>
      </c>
      <c r="W370">
        <f t="shared" si="31"/>
        <v>-19</v>
      </c>
      <c r="X370">
        <f t="shared" si="32"/>
        <v>4</v>
      </c>
      <c r="Y370">
        <f t="shared" si="33"/>
        <v>0.42982456140350878</v>
      </c>
      <c r="Z370" s="7" t="str">
        <f t="shared" si="34"/>
        <v>Low Sales</v>
      </c>
      <c r="AA370" s="7" t="str">
        <f t="shared" si="35"/>
        <v>High Margin</v>
      </c>
    </row>
    <row r="371" spans="1:27" x14ac:dyDescent="0.25">
      <c r="A371" t="s">
        <v>77</v>
      </c>
      <c r="B371">
        <v>50</v>
      </c>
      <c r="C371">
        <v>-3</v>
      </c>
      <c r="D371" s="1">
        <v>41551</v>
      </c>
      <c r="E371">
        <v>898</v>
      </c>
      <c r="F371">
        <v>73</v>
      </c>
      <c r="G371" t="s">
        <v>39</v>
      </c>
      <c r="H371" t="s">
        <v>36</v>
      </c>
      <c r="I371">
        <v>14</v>
      </c>
      <c r="J371" t="s">
        <v>40</v>
      </c>
      <c r="K371" t="s">
        <v>41</v>
      </c>
      <c r="L371" t="s">
        <v>42</v>
      </c>
      <c r="M371">
        <v>47</v>
      </c>
      <c r="N371">
        <v>123</v>
      </c>
      <c r="O371" t="s">
        <v>49</v>
      </c>
      <c r="P371">
        <v>40</v>
      </c>
      <c r="Q371">
        <v>70</v>
      </c>
      <c r="R371">
        <v>50</v>
      </c>
      <c r="S371">
        <v>110</v>
      </c>
      <c r="T371">
        <v>26</v>
      </c>
      <c r="U371" t="s">
        <v>27</v>
      </c>
      <c r="V371">
        <f t="shared" si="30"/>
        <v>0.38211382113821141</v>
      </c>
      <c r="W371">
        <f t="shared" si="31"/>
        <v>-3</v>
      </c>
      <c r="X371">
        <f t="shared" si="32"/>
        <v>13</v>
      </c>
      <c r="Y371">
        <f t="shared" si="33"/>
        <v>0.4065040650406504</v>
      </c>
      <c r="Z371" s="7" t="str">
        <f t="shared" si="34"/>
        <v>Low Sales</v>
      </c>
      <c r="AA371" s="7" t="str">
        <f t="shared" si="35"/>
        <v>High Margin</v>
      </c>
    </row>
    <row r="372" spans="1:27" x14ac:dyDescent="0.25">
      <c r="A372" t="s">
        <v>78</v>
      </c>
      <c r="B372">
        <v>52</v>
      </c>
      <c r="C372">
        <v>-13</v>
      </c>
      <c r="D372" s="1">
        <v>41552</v>
      </c>
      <c r="E372">
        <v>327</v>
      </c>
      <c r="F372">
        <v>75</v>
      </c>
      <c r="G372" t="s">
        <v>39</v>
      </c>
      <c r="H372" t="s">
        <v>31</v>
      </c>
      <c r="I372">
        <v>16</v>
      </c>
      <c r="J372" t="s">
        <v>40</v>
      </c>
      <c r="K372" t="s">
        <v>45</v>
      </c>
      <c r="L372" t="s">
        <v>50</v>
      </c>
      <c r="M372">
        <v>37</v>
      </c>
      <c r="N372">
        <v>127</v>
      </c>
      <c r="O372" t="s">
        <v>51</v>
      </c>
      <c r="P372">
        <v>40</v>
      </c>
      <c r="Q372">
        <v>70</v>
      </c>
      <c r="R372">
        <v>50</v>
      </c>
      <c r="S372">
        <v>110</v>
      </c>
      <c r="T372">
        <v>38</v>
      </c>
      <c r="U372" t="s">
        <v>35</v>
      </c>
      <c r="V372">
        <f t="shared" si="30"/>
        <v>0.29133858267716534</v>
      </c>
      <c r="W372">
        <f t="shared" si="31"/>
        <v>-13</v>
      </c>
      <c r="X372">
        <f t="shared" si="32"/>
        <v>17</v>
      </c>
      <c r="Y372">
        <f t="shared" si="33"/>
        <v>0.40944881889763779</v>
      </c>
      <c r="Z372" s="7" t="str">
        <f t="shared" si="34"/>
        <v>Low Sales</v>
      </c>
      <c r="AA372" s="7" t="str">
        <f t="shared" si="35"/>
        <v>High Margin</v>
      </c>
    </row>
    <row r="373" spans="1:27" x14ac:dyDescent="0.25">
      <c r="A373" t="s">
        <v>110</v>
      </c>
      <c r="B373">
        <v>55</v>
      </c>
      <c r="C373">
        <v>-12</v>
      </c>
      <c r="D373" s="1">
        <v>41553</v>
      </c>
      <c r="E373">
        <v>627</v>
      </c>
      <c r="F373">
        <v>76</v>
      </c>
      <c r="G373" t="s">
        <v>39</v>
      </c>
      <c r="H373" t="s">
        <v>31</v>
      </c>
      <c r="I373">
        <v>49</v>
      </c>
      <c r="J373" t="s">
        <v>40</v>
      </c>
      <c r="K373" t="s">
        <v>41</v>
      </c>
      <c r="L373" t="s">
        <v>53</v>
      </c>
      <c r="M373">
        <v>-2</v>
      </c>
      <c r="N373">
        <v>131</v>
      </c>
      <c r="O373" t="s">
        <v>44</v>
      </c>
      <c r="P373">
        <v>50</v>
      </c>
      <c r="Q373">
        <v>70</v>
      </c>
      <c r="R373">
        <v>10</v>
      </c>
      <c r="S373">
        <v>120</v>
      </c>
      <c r="T373">
        <v>78</v>
      </c>
      <c r="U373" t="s">
        <v>35</v>
      </c>
      <c r="V373">
        <f t="shared" si="30"/>
        <v>-1.5267175572519083E-2</v>
      </c>
      <c r="W373">
        <f t="shared" si="31"/>
        <v>-12</v>
      </c>
      <c r="X373">
        <f t="shared" si="32"/>
        <v>11</v>
      </c>
      <c r="Y373">
        <f t="shared" si="33"/>
        <v>0.41984732824427479</v>
      </c>
      <c r="Z373" s="7" t="str">
        <f t="shared" si="34"/>
        <v>Low Sales</v>
      </c>
      <c r="AA373" s="7" t="str">
        <f t="shared" si="35"/>
        <v>Low Margin</v>
      </c>
    </row>
    <row r="374" spans="1:27" x14ac:dyDescent="0.25">
      <c r="A374" t="s">
        <v>78</v>
      </c>
      <c r="B374">
        <v>49</v>
      </c>
      <c r="C374">
        <v>-14</v>
      </c>
      <c r="D374" s="1">
        <v>41554</v>
      </c>
      <c r="E374">
        <v>335</v>
      </c>
      <c r="F374">
        <v>69</v>
      </c>
      <c r="G374" t="s">
        <v>39</v>
      </c>
      <c r="H374" t="s">
        <v>31</v>
      </c>
      <c r="I374">
        <v>44</v>
      </c>
      <c r="J374" t="s">
        <v>40</v>
      </c>
      <c r="K374" t="s">
        <v>41</v>
      </c>
      <c r="L374" t="s">
        <v>53</v>
      </c>
      <c r="M374">
        <v>-4</v>
      </c>
      <c r="N374">
        <v>118</v>
      </c>
      <c r="O374" t="s">
        <v>51</v>
      </c>
      <c r="P374">
        <v>40</v>
      </c>
      <c r="Q374">
        <v>70</v>
      </c>
      <c r="R374">
        <v>10</v>
      </c>
      <c r="S374">
        <v>110</v>
      </c>
      <c r="T374">
        <v>73</v>
      </c>
      <c r="U374" t="s">
        <v>35</v>
      </c>
      <c r="V374">
        <f t="shared" si="30"/>
        <v>-3.3898305084745763E-2</v>
      </c>
      <c r="W374">
        <f t="shared" si="31"/>
        <v>-14</v>
      </c>
      <c r="X374">
        <f t="shared" si="32"/>
        <v>8</v>
      </c>
      <c r="Y374">
        <f t="shared" si="33"/>
        <v>0.4152542372881356</v>
      </c>
      <c r="Z374" s="7" t="str">
        <f t="shared" si="34"/>
        <v>Low Sales</v>
      </c>
      <c r="AA374" s="7" t="str">
        <f t="shared" si="35"/>
        <v>Low Margin</v>
      </c>
    </row>
    <row r="375" spans="1:27" x14ac:dyDescent="0.25">
      <c r="A375" t="s">
        <v>80</v>
      </c>
      <c r="B375">
        <v>41</v>
      </c>
      <c r="C375">
        <v>-19</v>
      </c>
      <c r="D375" s="1">
        <v>41555</v>
      </c>
      <c r="E375">
        <v>482</v>
      </c>
      <c r="F375">
        <v>57</v>
      </c>
      <c r="G375" t="s">
        <v>39</v>
      </c>
      <c r="H375" t="s">
        <v>36</v>
      </c>
      <c r="I375">
        <v>13</v>
      </c>
      <c r="J375" t="s">
        <v>40</v>
      </c>
      <c r="K375" t="s">
        <v>45</v>
      </c>
      <c r="L375" t="s">
        <v>52</v>
      </c>
      <c r="M375">
        <v>1</v>
      </c>
      <c r="N375">
        <v>98</v>
      </c>
      <c r="O375" t="s">
        <v>56</v>
      </c>
      <c r="P375">
        <v>40</v>
      </c>
      <c r="Q375">
        <v>70</v>
      </c>
      <c r="R375">
        <v>20</v>
      </c>
      <c r="S375">
        <v>110</v>
      </c>
      <c r="T375">
        <v>56</v>
      </c>
      <c r="U375" t="s">
        <v>35</v>
      </c>
      <c r="V375">
        <f t="shared" si="30"/>
        <v>1.020408163265306E-2</v>
      </c>
      <c r="W375">
        <f t="shared" si="31"/>
        <v>-19</v>
      </c>
      <c r="X375">
        <f t="shared" si="32"/>
        <v>-12</v>
      </c>
      <c r="Y375">
        <f t="shared" si="33"/>
        <v>0.41836734693877553</v>
      </c>
      <c r="Z375" s="7" t="str">
        <f t="shared" si="34"/>
        <v>Low Sales</v>
      </c>
      <c r="AA375" s="7" t="str">
        <f t="shared" si="35"/>
        <v>Low Margin</v>
      </c>
    </row>
    <row r="376" spans="1:27" x14ac:dyDescent="0.25">
      <c r="A376" t="s">
        <v>80</v>
      </c>
      <c r="B376">
        <v>54</v>
      </c>
      <c r="C376">
        <v>-12</v>
      </c>
      <c r="D376" s="1">
        <v>41556</v>
      </c>
      <c r="E376">
        <v>424</v>
      </c>
      <c r="F376">
        <v>73</v>
      </c>
      <c r="G376" t="s">
        <v>39</v>
      </c>
      <c r="H376" t="s">
        <v>36</v>
      </c>
      <c r="I376">
        <v>17</v>
      </c>
      <c r="J376" t="s">
        <v>40</v>
      </c>
      <c r="K376" t="s">
        <v>41</v>
      </c>
      <c r="L376" t="s">
        <v>53</v>
      </c>
      <c r="M376">
        <v>28</v>
      </c>
      <c r="N376">
        <v>127</v>
      </c>
      <c r="O376" t="s">
        <v>56</v>
      </c>
      <c r="P376">
        <v>50</v>
      </c>
      <c r="Q376">
        <v>70</v>
      </c>
      <c r="R376">
        <v>40</v>
      </c>
      <c r="S376">
        <v>120</v>
      </c>
      <c r="T376">
        <v>45</v>
      </c>
      <c r="U376" t="s">
        <v>35</v>
      </c>
      <c r="V376">
        <f t="shared" si="30"/>
        <v>0.22047244094488189</v>
      </c>
      <c r="W376">
        <f t="shared" si="31"/>
        <v>-12</v>
      </c>
      <c r="X376">
        <f t="shared" si="32"/>
        <v>7</v>
      </c>
      <c r="Y376">
        <f t="shared" si="33"/>
        <v>0.42519685039370081</v>
      </c>
      <c r="Z376" s="7" t="str">
        <f t="shared" si="34"/>
        <v>Low Sales</v>
      </c>
      <c r="AA376" s="7" t="str">
        <f t="shared" si="35"/>
        <v>High Margin</v>
      </c>
    </row>
    <row r="377" spans="1:27" x14ac:dyDescent="0.25">
      <c r="A377" t="s">
        <v>115</v>
      </c>
      <c r="B377">
        <v>65</v>
      </c>
      <c r="C377">
        <v>2</v>
      </c>
      <c r="D377" s="1">
        <v>41557</v>
      </c>
      <c r="E377">
        <v>403</v>
      </c>
      <c r="F377">
        <v>80</v>
      </c>
      <c r="G377" t="s">
        <v>39</v>
      </c>
      <c r="H377" t="s">
        <v>29</v>
      </c>
      <c r="I377">
        <v>24</v>
      </c>
      <c r="J377" t="s">
        <v>23</v>
      </c>
      <c r="K377" t="s">
        <v>24</v>
      </c>
      <c r="L377" t="s">
        <v>57</v>
      </c>
      <c r="M377">
        <v>22</v>
      </c>
      <c r="N377">
        <v>145</v>
      </c>
      <c r="O377" t="s">
        <v>47</v>
      </c>
      <c r="P377">
        <v>60</v>
      </c>
      <c r="Q377">
        <v>70</v>
      </c>
      <c r="R377">
        <v>20</v>
      </c>
      <c r="S377">
        <v>130</v>
      </c>
      <c r="T377">
        <v>58</v>
      </c>
      <c r="U377" t="s">
        <v>27</v>
      </c>
      <c r="V377">
        <f t="shared" si="30"/>
        <v>0.15172413793103448</v>
      </c>
      <c r="W377">
        <f t="shared" si="31"/>
        <v>2</v>
      </c>
      <c r="X377">
        <f t="shared" si="32"/>
        <v>15</v>
      </c>
      <c r="Y377">
        <f t="shared" si="33"/>
        <v>0.44827586206896552</v>
      </c>
      <c r="Z377" s="7" t="str">
        <f t="shared" si="34"/>
        <v>Low Sales</v>
      </c>
      <c r="AA377" s="7" t="str">
        <f t="shared" si="35"/>
        <v>High Margin</v>
      </c>
    </row>
    <row r="378" spans="1:27" x14ac:dyDescent="0.25">
      <c r="A378" t="s">
        <v>77</v>
      </c>
      <c r="B378">
        <v>52</v>
      </c>
      <c r="C378">
        <v>-4</v>
      </c>
      <c r="D378" s="1">
        <v>41558</v>
      </c>
      <c r="E378">
        <v>327</v>
      </c>
      <c r="F378">
        <v>75</v>
      </c>
      <c r="G378" t="s">
        <v>39</v>
      </c>
      <c r="H378" t="s">
        <v>36</v>
      </c>
      <c r="I378">
        <v>16</v>
      </c>
      <c r="J378" t="s">
        <v>23</v>
      </c>
      <c r="K378" t="s">
        <v>24</v>
      </c>
      <c r="L378" t="s">
        <v>57</v>
      </c>
      <c r="M378">
        <v>36</v>
      </c>
      <c r="N378">
        <v>127</v>
      </c>
      <c r="O378" t="s">
        <v>49</v>
      </c>
      <c r="P378">
        <v>40</v>
      </c>
      <c r="Q378">
        <v>70</v>
      </c>
      <c r="R378">
        <v>40</v>
      </c>
      <c r="S378">
        <v>110</v>
      </c>
      <c r="T378">
        <v>39</v>
      </c>
      <c r="U378" t="s">
        <v>27</v>
      </c>
      <c r="V378">
        <f t="shared" si="30"/>
        <v>0.28346456692913385</v>
      </c>
      <c r="W378">
        <f t="shared" si="31"/>
        <v>-4</v>
      </c>
      <c r="X378">
        <f t="shared" si="32"/>
        <v>17</v>
      </c>
      <c r="Y378">
        <f t="shared" si="33"/>
        <v>0.40944881889763779</v>
      </c>
      <c r="Z378" s="7" t="str">
        <f t="shared" si="34"/>
        <v>Low Sales</v>
      </c>
      <c r="AA378" s="7" t="str">
        <f t="shared" si="35"/>
        <v>High Margin</v>
      </c>
    </row>
    <row r="379" spans="1:27" x14ac:dyDescent="0.25">
      <c r="A379" t="s">
        <v>83</v>
      </c>
      <c r="B379">
        <v>48</v>
      </c>
      <c r="C379">
        <v>-12</v>
      </c>
      <c r="D379" s="1">
        <v>41559</v>
      </c>
      <c r="E379">
        <v>462</v>
      </c>
      <c r="F379">
        <v>74</v>
      </c>
      <c r="G379" t="s">
        <v>39</v>
      </c>
      <c r="H379" t="s">
        <v>36</v>
      </c>
      <c r="I379">
        <v>15</v>
      </c>
      <c r="J379" t="s">
        <v>23</v>
      </c>
      <c r="K379" t="s">
        <v>24</v>
      </c>
      <c r="L379" t="s">
        <v>25</v>
      </c>
      <c r="M379">
        <v>28</v>
      </c>
      <c r="N379">
        <v>122</v>
      </c>
      <c r="O379" t="s">
        <v>49</v>
      </c>
      <c r="P379">
        <v>40</v>
      </c>
      <c r="Q379">
        <v>70</v>
      </c>
      <c r="R379">
        <v>40</v>
      </c>
      <c r="S379">
        <v>110</v>
      </c>
      <c r="T379">
        <v>46</v>
      </c>
      <c r="U379" t="s">
        <v>27</v>
      </c>
      <c r="V379">
        <f t="shared" si="30"/>
        <v>0.22950819672131148</v>
      </c>
      <c r="W379">
        <f t="shared" si="31"/>
        <v>-12</v>
      </c>
      <c r="X379">
        <f t="shared" si="32"/>
        <v>12</v>
      </c>
      <c r="Y379">
        <f t="shared" si="33"/>
        <v>0.39344262295081966</v>
      </c>
      <c r="Z379" s="7" t="str">
        <f t="shared" si="34"/>
        <v>Low Sales</v>
      </c>
      <c r="AA379" s="7" t="str">
        <f t="shared" si="35"/>
        <v>High Margin</v>
      </c>
    </row>
    <row r="380" spans="1:27" x14ac:dyDescent="0.25">
      <c r="A380" t="s">
        <v>84</v>
      </c>
      <c r="B380">
        <v>49</v>
      </c>
      <c r="C380">
        <v>-4</v>
      </c>
      <c r="D380" s="1">
        <v>41560</v>
      </c>
      <c r="E380">
        <v>845</v>
      </c>
      <c r="F380">
        <v>71</v>
      </c>
      <c r="G380" t="s">
        <v>39</v>
      </c>
      <c r="H380" t="s">
        <v>36</v>
      </c>
      <c r="I380">
        <v>13</v>
      </c>
      <c r="J380" t="s">
        <v>23</v>
      </c>
      <c r="K380" t="s">
        <v>24</v>
      </c>
      <c r="L380" t="s">
        <v>25</v>
      </c>
      <c r="M380">
        <v>46</v>
      </c>
      <c r="N380">
        <v>120</v>
      </c>
      <c r="O380" t="s">
        <v>60</v>
      </c>
      <c r="P380">
        <v>40</v>
      </c>
      <c r="Q380">
        <v>70</v>
      </c>
      <c r="R380">
        <v>50</v>
      </c>
      <c r="S380">
        <v>110</v>
      </c>
      <c r="T380">
        <v>25</v>
      </c>
      <c r="U380" t="s">
        <v>27</v>
      </c>
      <c r="V380">
        <f t="shared" si="30"/>
        <v>0.38333333333333336</v>
      </c>
      <c r="W380">
        <f t="shared" si="31"/>
        <v>-4</v>
      </c>
      <c r="X380">
        <f t="shared" si="32"/>
        <v>10</v>
      </c>
      <c r="Y380">
        <f t="shared" si="33"/>
        <v>0.40833333333333333</v>
      </c>
      <c r="Z380" s="7" t="str">
        <f t="shared" si="34"/>
        <v>Low Sales</v>
      </c>
      <c r="AA380" s="7" t="str">
        <f t="shared" si="35"/>
        <v>High Margin</v>
      </c>
    </row>
    <row r="381" spans="1:27" x14ac:dyDescent="0.25">
      <c r="A381" t="s">
        <v>74</v>
      </c>
      <c r="B381">
        <v>50</v>
      </c>
      <c r="C381">
        <v>-3</v>
      </c>
      <c r="D381" s="1">
        <v>41561</v>
      </c>
      <c r="E381">
        <v>898</v>
      </c>
      <c r="F381">
        <v>73</v>
      </c>
      <c r="G381" t="s">
        <v>39</v>
      </c>
      <c r="H381" t="s">
        <v>31</v>
      </c>
      <c r="I381">
        <v>14</v>
      </c>
      <c r="J381" t="s">
        <v>23</v>
      </c>
      <c r="K381" t="s">
        <v>32</v>
      </c>
      <c r="L381" t="s">
        <v>33</v>
      </c>
      <c r="M381">
        <v>47</v>
      </c>
      <c r="N381">
        <v>123</v>
      </c>
      <c r="O381" t="s">
        <v>44</v>
      </c>
      <c r="P381">
        <v>50</v>
      </c>
      <c r="Q381">
        <v>70</v>
      </c>
      <c r="R381">
        <v>50</v>
      </c>
      <c r="S381">
        <v>120</v>
      </c>
      <c r="T381">
        <v>26</v>
      </c>
      <c r="U381" t="s">
        <v>35</v>
      </c>
      <c r="V381">
        <f t="shared" si="30"/>
        <v>0.38211382113821141</v>
      </c>
      <c r="W381">
        <f t="shared" si="31"/>
        <v>-3</v>
      </c>
      <c r="X381">
        <f t="shared" si="32"/>
        <v>3</v>
      </c>
      <c r="Y381">
        <f t="shared" si="33"/>
        <v>0.4065040650406504</v>
      </c>
      <c r="Z381" s="7" t="str">
        <f t="shared" si="34"/>
        <v>Low Sales</v>
      </c>
      <c r="AA381" s="7" t="str">
        <f t="shared" si="35"/>
        <v>High Margin</v>
      </c>
    </row>
    <row r="382" spans="1:27" x14ac:dyDescent="0.25">
      <c r="A382" t="s">
        <v>172</v>
      </c>
      <c r="B382">
        <v>51</v>
      </c>
      <c r="C382">
        <v>-37</v>
      </c>
      <c r="D382" s="1">
        <v>41562</v>
      </c>
      <c r="E382">
        <v>503</v>
      </c>
      <c r="F382">
        <v>71</v>
      </c>
      <c r="G382" t="s">
        <v>21</v>
      </c>
      <c r="H382" t="s">
        <v>22</v>
      </c>
      <c r="I382">
        <v>46</v>
      </c>
      <c r="J382" t="s">
        <v>40</v>
      </c>
      <c r="K382" t="s">
        <v>45</v>
      </c>
      <c r="L382" t="s">
        <v>46</v>
      </c>
      <c r="M382">
        <v>-7</v>
      </c>
      <c r="N382">
        <v>130</v>
      </c>
      <c r="O382" t="s">
        <v>65</v>
      </c>
      <c r="P382">
        <v>40</v>
      </c>
      <c r="Q382">
        <v>70</v>
      </c>
      <c r="R382">
        <v>30</v>
      </c>
      <c r="S382">
        <v>110</v>
      </c>
      <c r="T382">
        <v>76</v>
      </c>
      <c r="U382" t="s">
        <v>27</v>
      </c>
      <c r="V382">
        <f t="shared" si="30"/>
        <v>-5.3846153846153849E-2</v>
      </c>
      <c r="W382">
        <f t="shared" si="31"/>
        <v>-37</v>
      </c>
      <c r="X382">
        <f t="shared" si="32"/>
        <v>20</v>
      </c>
      <c r="Y382">
        <f t="shared" si="33"/>
        <v>0.3923076923076923</v>
      </c>
      <c r="Z382" s="7" t="str">
        <f t="shared" si="34"/>
        <v>Low Sales</v>
      </c>
      <c r="AA382" s="7" t="str">
        <f t="shared" si="35"/>
        <v>Low Margin</v>
      </c>
    </row>
    <row r="383" spans="1:27" x14ac:dyDescent="0.25">
      <c r="A383" t="s">
        <v>137</v>
      </c>
      <c r="B383">
        <v>52</v>
      </c>
      <c r="C383">
        <v>-21</v>
      </c>
      <c r="D383" s="1">
        <v>41563</v>
      </c>
      <c r="E383">
        <v>405</v>
      </c>
      <c r="F383">
        <v>71</v>
      </c>
      <c r="G383" t="s">
        <v>21</v>
      </c>
      <c r="H383" t="s">
        <v>22</v>
      </c>
      <c r="I383">
        <v>17</v>
      </c>
      <c r="J383" t="s">
        <v>40</v>
      </c>
      <c r="K383" t="s">
        <v>45</v>
      </c>
      <c r="L383" t="s">
        <v>50</v>
      </c>
      <c r="M383">
        <v>39</v>
      </c>
      <c r="N383">
        <v>131</v>
      </c>
      <c r="O383" t="s">
        <v>65</v>
      </c>
      <c r="P383">
        <v>40</v>
      </c>
      <c r="Q383">
        <v>70</v>
      </c>
      <c r="R383">
        <v>60</v>
      </c>
      <c r="S383">
        <v>110</v>
      </c>
      <c r="T383">
        <v>45</v>
      </c>
      <c r="U383" t="s">
        <v>35</v>
      </c>
      <c r="V383">
        <f t="shared" si="30"/>
        <v>0.29770992366412213</v>
      </c>
      <c r="W383">
        <f t="shared" si="31"/>
        <v>-21</v>
      </c>
      <c r="X383">
        <f t="shared" si="32"/>
        <v>21</v>
      </c>
      <c r="Y383">
        <f t="shared" si="33"/>
        <v>0.39694656488549618</v>
      </c>
      <c r="Z383" s="7" t="str">
        <f t="shared" si="34"/>
        <v>Low Sales</v>
      </c>
      <c r="AA383" s="7" t="str">
        <f t="shared" si="35"/>
        <v>High Margin</v>
      </c>
    </row>
    <row r="384" spans="1:27" x14ac:dyDescent="0.25">
      <c r="A384" t="s">
        <v>158</v>
      </c>
      <c r="B384">
        <v>43</v>
      </c>
      <c r="C384">
        <v>-18</v>
      </c>
      <c r="D384" s="1">
        <v>41564</v>
      </c>
      <c r="E384">
        <v>419</v>
      </c>
      <c r="F384">
        <v>64</v>
      </c>
      <c r="G384" t="s">
        <v>21</v>
      </c>
      <c r="H384" t="s">
        <v>22</v>
      </c>
      <c r="I384">
        <v>13</v>
      </c>
      <c r="J384" t="s">
        <v>40</v>
      </c>
      <c r="K384" t="s">
        <v>45</v>
      </c>
      <c r="L384" t="s">
        <v>52</v>
      </c>
      <c r="M384">
        <v>42</v>
      </c>
      <c r="N384">
        <v>114</v>
      </c>
      <c r="O384" t="s">
        <v>65</v>
      </c>
      <c r="P384">
        <v>30</v>
      </c>
      <c r="Q384">
        <v>70</v>
      </c>
      <c r="R384">
        <v>60</v>
      </c>
      <c r="S384">
        <v>100</v>
      </c>
      <c r="T384">
        <v>36</v>
      </c>
      <c r="U384" t="s">
        <v>35</v>
      </c>
      <c r="V384">
        <f t="shared" si="30"/>
        <v>0.36842105263157893</v>
      </c>
      <c r="W384">
        <f t="shared" si="31"/>
        <v>-18</v>
      </c>
      <c r="X384">
        <f t="shared" si="32"/>
        <v>14</v>
      </c>
      <c r="Y384">
        <f t="shared" si="33"/>
        <v>0.37719298245614036</v>
      </c>
      <c r="Z384" s="7" t="str">
        <f t="shared" si="34"/>
        <v>Low Sales</v>
      </c>
      <c r="AA384" s="7" t="str">
        <f t="shared" si="35"/>
        <v>High Margin</v>
      </c>
    </row>
    <row r="385" spans="1:27" x14ac:dyDescent="0.25">
      <c r="A385" t="s">
        <v>88</v>
      </c>
      <c r="B385">
        <v>51</v>
      </c>
      <c r="C385">
        <v>-46</v>
      </c>
      <c r="D385" s="1">
        <v>41565</v>
      </c>
      <c r="E385">
        <v>542</v>
      </c>
      <c r="F385">
        <v>65</v>
      </c>
      <c r="G385" t="s">
        <v>21</v>
      </c>
      <c r="H385" t="s">
        <v>31</v>
      </c>
      <c r="I385">
        <v>46</v>
      </c>
      <c r="J385" t="s">
        <v>40</v>
      </c>
      <c r="K385" t="s">
        <v>41</v>
      </c>
      <c r="L385" t="s">
        <v>53</v>
      </c>
      <c r="M385">
        <v>-16</v>
      </c>
      <c r="N385">
        <v>124</v>
      </c>
      <c r="O385" t="s">
        <v>62</v>
      </c>
      <c r="P385">
        <v>30</v>
      </c>
      <c r="Q385">
        <v>70</v>
      </c>
      <c r="R385">
        <v>30</v>
      </c>
      <c r="S385">
        <v>100</v>
      </c>
      <c r="T385">
        <v>76</v>
      </c>
      <c r="U385" t="s">
        <v>35</v>
      </c>
      <c r="V385">
        <f t="shared" si="30"/>
        <v>-0.12903225806451613</v>
      </c>
      <c r="W385">
        <f t="shared" si="31"/>
        <v>-46</v>
      </c>
      <c r="X385">
        <f t="shared" si="32"/>
        <v>24</v>
      </c>
      <c r="Y385">
        <f t="shared" si="33"/>
        <v>0.41129032258064518</v>
      </c>
      <c r="Z385" s="7" t="str">
        <f t="shared" si="34"/>
        <v>Low Sales</v>
      </c>
      <c r="AA385" s="7" t="str">
        <f t="shared" si="35"/>
        <v>Low Margin</v>
      </c>
    </row>
    <row r="386" spans="1:27" x14ac:dyDescent="0.25">
      <c r="A386" t="s">
        <v>101</v>
      </c>
      <c r="B386">
        <v>72</v>
      </c>
      <c r="C386">
        <v>32</v>
      </c>
      <c r="D386" s="1">
        <v>41566</v>
      </c>
      <c r="E386">
        <v>-868</v>
      </c>
      <c r="F386">
        <v>110</v>
      </c>
      <c r="G386" t="s">
        <v>21</v>
      </c>
      <c r="H386" t="s">
        <v>29</v>
      </c>
      <c r="I386">
        <v>23</v>
      </c>
      <c r="J386" t="s">
        <v>40</v>
      </c>
      <c r="K386" t="s">
        <v>41</v>
      </c>
      <c r="L386" t="s">
        <v>54</v>
      </c>
      <c r="M386">
        <v>82</v>
      </c>
      <c r="N386">
        <v>194</v>
      </c>
      <c r="O386" t="s">
        <v>30</v>
      </c>
      <c r="P386">
        <v>40</v>
      </c>
      <c r="Q386">
        <v>70</v>
      </c>
      <c r="R386">
        <v>50</v>
      </c>
      <c r="S386">
        <v>110</v>
      </c>
      <c r="T386">
        <v>55</v>
      </c>
      <c r="U386" t="s">
        <v>35</v>
      </c>
      <c r="V386">
        <f t="shared" ref="V386:V449" si="36">M386/N386</f>
        <v>0.42268041237113402</v>
      </c>
      <c r="W386">
        <f t="shared" ref="W386:W449" si="37">M386-R386</f>
        <v>32</v>
      </c>
      <c r="X386">
        <f t="shared" ref="X386:X449" si="38">N386-S386</f>
        <v>84</v>
      </c>
      <c r="Y386">
        <f t="shared" ref="Y386:Y449" si="39">B386/N386</f>
        <v>0.37113402061855671</v>
      </c>
      <c r="Z386" s="7" t="str">
        <f t="shared" ref="Z386:Z449" si="40">IF(N386&gt;=AVERAGE(N386:N1447),"High Sales","Low Sales")</f>
        <v>Low Sales</v>
      </c>
      <c r="AA386" s="7" t="str">
        <f t="shared" ref="AA386:AA449" si="41">IF(V386&gt;=AVERAGE(V386:V1447), "High Margin", "Low Margin")</f>
        <v>High Margin</v>
      </c>
    </row>
    <row r="387" spans="1:27" x14ac:dyDescent="0.25">
      <c r="A387" t="s">
        <v>173</v>
      </c>
      <c r="B387">
        <v>48</v>
      </c>
      <c r="C387">
        <v>8</v>
      </c>
      <c r="D387" s="1">
        <v>41567</v>
      </c>
      <c r="E387">
        <v>851</v>
      </c>
      <c r="F387">
        <v>70</v>
      </c>
      <c r="G387" t="s">
        <v>21</v>
      </c>
      <c r="H387" t="s">
        <v>31</v>
      </c>
      <c r="I387">
        <v>13</v>
      </c>
      <c r="J387" t="s">
        <v>23</v>
      </c>
      <c r="K387" t="s">
        <v>32</v>
      </c>
      <c r="L387" t="s">
        <v>37</v>
      </c>
      <c r="M387">
        <v>68</v>
      </c>
      <c r="N387">
        <v>126</v>
      </c>
      <c r="O387" t="s">
        <v>34</v>
      </c>
      <c r="P387">
        <v>50</v>
      </c>
      <c r="Q387">
        <v>70</v>
      </c>
      <c r="R387">
        <v>60</v>
      </c>
      <c r="S387">
        <v>120</v>
      </c>
      <c r="T387">
        <v>24</v>
      </c>
      <c r="U387" t="s">
        <v>35</v>
      </c>
      <c r="V387">
        <f t="shared" si="36"/>
        <v>0.53968253968253965</v>
      </c>
      <c r="W387">
        <f t="shared" si="37"/>
        <v>8</v>
      </c>
      <c r="X387">
        <f t="shared" si="38"/>
        <v>6</v>
      </c>
      <c r="Y387">
        <f t="shared" si="39"/>
        <v>0.38095238095238093</v>
      </c>
      <c r="Z387" s="7" t="str">
        <f t="shared" si="40"/>
        <v>Low Sales</v>
      </c>
      <c r="AA387" s="7" t="str">
        <f t="shared" si="41"/>
        <v>High Margin</v>
      </c>
    </row>
    <row r="388" spans="1:27" x14ac:dyDescent="0.25">
      <c r="A388" t="s">
        <v>97</v>
      </c>
      <c r="B388">
        <v>60</v>
      </c>
      <c r="C388">
        <v>16</v>
      </c>
      <c r="D388" s="1">
        <v>41568</v>
      </c>
      <c r="E388">
        <v>329</v>
      </c>
      <c r="F388">
        <v>99</v>
      </c>
      <c r="G388" t="s">
        <v>39</v>
      </c>
      <c r="H388" t="s">
        <v>29</v>
      </c>
      <c r="I388">
        <v>18</v>
      </c>
      <c r="J388" t="s">
        <v>40</v>
      </c>
      <c r="K388" t="s">
        <v>41</v>
      </c>
      <c r="L388" t="s">
        <v>53</v>
      </c>
      <c r="M388">
        <v>86</v>
      </c>
      <c r="N388">
        <v>169</v>
      </c>
      <c r="O388" t="s">
        <v>55</v>
      </c>
      <c r="P388">
        <v>30</v>
      </c>
      <c r="Q388">
        <v>70</v>
      </c>
      <c r="R388">
        <v>70</v>
      </c>
      <c r="S388">
        <v>100</v>
      </c>
      <c r="T388">
        <v>41</v>
      </c>
      <c r="U388" t="s">
        <v>35</v>
      </c>
      <c r="V388">
        <f t="shared" si="36"/>
        <v>0.50887573964497046</v>
      </c>
      <c r="W388">
        <f t="shared" si="37"/>
        <v>16</v>
      </c>
      <c r="X388">
        <f t="shared" si="38"/>
        <v>69</v>
      </c>
      <c r="Y388">
        <f t="shared" si="39"/>
        <v>0.35502958579881655</v>
      </c>
      <c r="Z388" s="7" t="str">
        <f t="shared" si="40"/>
        <v>Low Sales</v>
      </c>
      <c r="AA388" s="7" t="str">
        <f t="shared" si="41"/>
        <v>High Margin</v>
      </c>
    </row>
    <row r="389" spans="1:27" x14ac:dyDescent="0.25">
      <c r="A389" t="s">
        <v>117</v>
      </c>
      <c r="B389">
        <v>52</v>
      </c>
      <c r="C389">
        <v>-20</v>
      </c>
      <c r="D389" s="1">
        <v>41569</v>
      </c>
      <c r="E389">
        <v>405</v>
      </c>
      <c r="F389">
        <v>71</v>
      </c>
      <c r="G389" t="s">
        <v>39</v>
      </c>
      <c r="H389" t="s">
        <v>36</v>
      </c>
      <c r="I389">
        <v>17</v>
      </c>
      <c r="J389" t="s">
        <v>40</v>
      </c>
      <c r="K389" t="s">
        <v>41</v>
      </c>
      <c r="L389" t="s">
        <v>53</v>
      </c>
      <c r="M389">
        <v>40</v>
      </c>
      <c r="N389">
        <v>131</v>
      </c>
      <c r="O389" t="s">
        <v>56</v>
      </c>
      <c r="P389">
        <v>30</v>
      </c>
      <c r="Q389">
        <v>70</v>
      </c>
      <c r="R389">
        <v>60</v>
      </c>
      <c r="S389">
        <v>100</v>
      </c>
      <c r="T389">
        <v>44</v>
      </c>
      <c r="U389" t="s">
        <v>35</v>
      </c>
      <c r="V389">
        <f t="shared" si="36"/>
        <v>0.30534351145038169</v>
      </c>
      <c r="W389">
        <f t="shared" si="37"/>
        <v>-20</v>
      </c>
      <c r="X389">
        <f t="shared" si="38"/>
        <v>31</v>
      </c>
      <c r="Y389">
        <f t="shared" si="39"/>
        <v>0.39694656488549618</v>
      </c>
      <c r="Z389" s="7" t="str">
        <f t="shared" si="40"/>
        <v>Low Sales</v>
      </c>
      <c r="AA389" s="7" t="str">
        <f t="shared" si="41"/>
        <v>High Margin</v>
      </c>
    </row>
    <row r="390" spans="1:27" x14ac:dyDescent="0.25">
      <c r="A390" t="s">
        <v>84</v>
      </c>
      <c r="B390">
        <v>56</v>
      </c>
      <c r="C390">
        <v>-26</v>
      </c>
      <c r="D390" s="1">
        <v>41570</v>
      </c>
      <c r="E390">
        <v>385</v>
      </c>
      <c r="F390">
        <v>70</v>
      </c>
      <c r="G390" t="s">
        <v>39</v>
      </c>
      <c r="H390" t="s">
        <v>36</v>
      </c>
      <c r="I390">
        <v>21</v>
      </c>
      <c r="J390" t="s">
        <v>40</v>
      </c>
      <c r="K390" t="s">
        <v>41</v>
      </c>
      <c r="L390" t="s">
        <v>53</v>
      </c>
      <c r="M390">
        <v>24</v>
      </c>
      <c r="N390">
        <v>134</v>
      </c>
      <c r="O390" t="s">
        <v>60</v>
      </c>
      <c r="P390">
        <v>40</v>
      </c>
      <c r="Q390">
        <v>70</v>
      </c>
      <c r="R390">
        <v>50</v>
      </c>
      <c r="S390">
        <v>110</v>
      </c>
      <c r="T390">
        <v>54</v>
      </c>
      <c r="U390" t="s">
        <v>35</v>
      </c>
      <c r="V390">
        <f t="shared" si="36"/>
        <v>0.17910447761194029</v>
      </c>
      <c r="W390">
        <f t="shared" si="37"/>
        <v>-26</v>
      </c>
      <c r="X390">
        <f t="shared" si="38"/>
        <v>24</v>
      </c>
      <c r="Y390">
        <f t="shared" si="39"/>
        <v>0.41791044776119401</v>
      </c>
      <c r="Z390" s="7" t="str">
        <f t="shared" si="40"/>
        <v>Low Sales</v>
      </c>
      <c r="AA390" s="7" t="str">
        <f t="shared" si="41"/>
        <v>High Margin</v>
      </c>
    </row>
    <row r="391" spans="1:27" x14ac:dyDescent="0.25">
      <c r="A391" t="s">
        <v>96</v>
      </c>
      <c r="B391">
        <v>56</v>
      </c>
      <c r="C391">
        <v>-26</v>
      </c>
      <c r="D391" s="1">
        <v>41571</v>
      </c>
      <c r="E391">
        <v>385</v>
      </c>
      <c r="F391">
        <v>70</v>
      </c>
      <c r="G391" t="s">
        <v>39</v>
      </c>
      <c r="H391" t="s">
        <v>29</v>
      </c>
      <c r="I391">
        <v>21</v>
      </c>
      <c r="J391" t="s">
        <v>23</v>
      </c>
      <c r="K391" t="s">
        <v>24</v>
      </c>
      <c r="L391" t="s">
        <v>57</v>
      </c>
      <c r="M391">
        <v>24</v>
      </c>
      <c r="N391">
        <v>134</v>
      </c>
      <c r="O391" t="s">
        <v>47</v>
      </c>
      <c r="P391">
        <v>40</v>
      </c>
      <c r="Q391">
        <v>70</v>
      </c>
      <c r="R391">
        <v>50</v>
      </c>
      <c r="S391">
        <v>110</v>
      </c>
      <c r="T391">
        <v>54</v>
      </c>
      <c r="U391" t="s">
        <v>27</v>
      </c>
      <c r="V391">
        <f t="shared" si="36"/>
        <v>0.17910447761194029</v>
      </c>
      <c r="W391">
        <f t="shared" si="37"/>
        <v>-26</v>
      </c>
      <c r="X391">
        <f t="shared" si="38"/>
        <v>24</v>
      </c>
      <c r="Y391">
        <f t="shared" si="39"/>
        <v>0.41791044776119401</v>
      </c>
      <c r="Z391" s="7" t="str">
        <f t="shared" si="40"/>
        <v>Low Sales</v>
      </c>
      <c r="AA391" s="7" t="str">
        <f t="shared" si="41"/>
        <v>High Margin</v>
      </c>
    </row>
    <row r="392" spans="1:27" x14ac:dyDescent="0.25">
      <c r="A392" t="s">
        <v>77</v>
      </c>
      <c r="B392">
        <v>45</v>
      </c>
      <c r="C392">
        <v>-26</v>
      </c>
      <c r="D392" s="1">
        <v>41572</v>
      </c>
      <c r="E392">
        <v>447</v>
      </c>
      <c r="F392">
        <v>69</v>
      </c>
      <c r="G392" t="s">
        <v>39</v>
      </c>
      <c r="H392" t="s">
        <v>36</v>
      </c>
      <c r="I392">
        <v>14</v>
      </c>
      <c r="J392" t="s">
        <v>23</v>
      </c>
      <c r="K392" t="s">
        <v>24</v>
      </c>
      <c r="L392" t="s">
        <v>25</v>
      </c>
      <c r="M392">
        <v>34</v>
      </c>
      <c r="N392">
        <v>121</v>
      </c>
      <c r="O392" t="s">
        <v>49</v>
      </c>
      <c r="P392">
        <v>20</v>
      </c>
      <c r="Q392">
        <v>70</v>
      </c>
      <c r="R392">
        <v>60</v>
      </c>
      <c r="S392">
        <v>90</v>
      </c>
      <c r="T392">
        <v>46</v>
      </c>
      <c r="U392" t="s">
        <v>27</v>
      </c>
      <c r="V392">
        <f t="shared" si="36"/>
        <v>0.28099173553719009</v>
      </c>
      <c r="W392">
        <f t="shared" si="37"/>
        <v>-26</v>
      </c>
      <c r="X392">
        <f t="shared" si="38"/>
        <v>31</v>
      </c>
      <c r="Y392">
        <f t="shared" si="39"/>
        <v>0.37190082644628097</v>
      </c>
      <c r="Z392" s="7" t="str">
        <f t="shared" si="40"/>
        <v>Low Sales</v>
      </c>
      <c r="AA392" s="7" t="str">
        <f t="shared" si="41"/>
        <v>High Margin</v>
      </c>
    </row>
    <row r="393" spans="1:27" x14ac:dyDescent="0.25">
      <c r="A393" t="s">
        <v>137</v>
      </c>
      <c r="B393">
        <v>52</v>
      </c>
      <c r="C393">
        <v>-14</v>
      </c>
      <c r="D393" s="1">
        <v>41573</v>
      </c>
      <c r="E393">
        <v>509</v>
      </c>
      <c r="F393">
        <v>73</v>
      </c>
      <c r="G393" t="s">
        <v>21</v>
      </c>
      <c r="H393" t="s">
        <v>22</v>
      </c>
      <c r="I393">
        <v>47</v>
      </c>
      <c r="J393" t="s">
        <v>40</v>
      </c>
      <c r="K393" t="s">
        <v>45</v>
      </c>
      <c r="L393" t="s">
        <v>46</v>
      </c>
      <c r="M393">
        <v>-4</v>
      </c>
      <c r="N393">
        <v>133</v>
      </c>
      <c r="O393" t="s">
        <v>65</v>
      </c>
      <c r="P393">
        <v>50</v>
      </c>
      <c r="Q393">
        <v>70</v>
      </c>
      <c r="R393">
        <v>10</v>
      </c>
      <c r="S393">
        <v>120</v>
      </c>
      <c r="T393">
        <v>76</v>
      </c>
      <c r="U393" t="s">
        <v>27</v>
      </c>
      <c r="V393">
        <f t="shared" si="36"/>
        <v>-3.007518796992481E-2</v>
      </c>
      <c r="W393">
        <f t="shared" si="37"/>
        <v>-14</v>
      </c>
      <c r="X393">
        <f t="shared" si="38"/>
        <v>13</v>
      </c>
      <c r="Y393">
        <f t="shared" si="39"/>
        <v>0.39097744360902253</v>
      </c>
      <c r="Z393" s="7" t="str">
        <f t="shared" si="40"/>
        <v>Low Sales</v>
      </c>
      <c r="AA393" s="7" t="str">
        <f t="shared" si="41"/>
        <v>Low Margin</v>
      </c>
    </row>
    <row r="394" spans="1:27" x14ac:dyDescent="0.25">
      <c r="A394" t="s">
        <v>172</v>
      </c>
      <c r="B394">
        <v>46</v>
      </c>
      <c r="C394">
        <v>7</v>
      </c>
      <c r="D394" s="1">
        <v>41574</v>
      </c>
      <c r="E394">
        <v>424</v>
      </c>
      <c r="F394">
        <v>68</v>
      </c>
      <c r="G394" t="s">
        <v>21</v>
      </c>
      <c r="H394" t="s">
        <v>22</v>
      </c>
      <c r="I394">
        <v>14</v>
      </c>
      <c r="J394" t="s">
        <v>40</v>
      </c>
      <c r="K394" t="s">
        <v>45</v>
      </c>
      <c r="L394" t="s">
        <v>52</v>
      </c>
      <c r="M394">
        <v>47</v>
      </c>
      <c r="N394">
        <v>121</v>
      </c>
      <c r="O394" t="s">
        <v>65</v>
      </c>
      <c r="P394">
        <v>40</v>
      </c>
      <c r="Q394">
        <v>70</v>
      </c>
      <c r="R394">
        <v>40</v>
      </c>
      <c r="S394">
        <v>110</v>
      </c>
      <c r="T394">
        <v>36</v>
      </c>
      <c r="U394" t="s">
        <v>35</v>
      </c>
      <c r="V394">
        <f t="shared" si="36"/>
        <v>0.38842975206611569</v>
      </c>
      <c r="W394">
        <f t="shared" si="37"/>
        <v>7</v>
      </c>
      <c r="X394">
        <f t="shared" si="38"/>
        <v>11</v>
      </c>
      <c r="Y394">
        <f t="shared" si="39"/>
        <v>0.38016528925619836</v>
      </c>
      <c r="Z394" s="7" t="str">
        <f t="shared" si="40"/>
        <v>Low Sales</v>
      </c>
      <c r="AA394" s="7" t="str">
        <f t="shared" si="41"/>
        <v>High Margin</v>
      </c>
    </row>
    <row r="395" spans="1:27" x14ac:dyDescent="0.25">
      <c r="A395" t="s">
        <v>69</v>
      </c>
      <c r="B395">
        <v>52</v>
      </c>
      <c r="C395">
        <v>-16</v>
      </c>
      <c r="D395" s="1">
        <v>41575</v>
      </c>
      <c r="E395">
        <v>509</v>
      </c>
      <c r="F395">
        <v>73</v>
      </c>
      <c r="G395" t="s">
        <v>21</v>
      </c>
      <c r="H395" t="s">
        <v>22</v>
      </c>
      <c r="I395">
        <v>47</v>
      </c>
      <c r="J395" t="s">
        <v>23</v>
      </c>
      <c r="K395" t="s">
        <v>24</v>
      </c>
      <c r="L395" t="s">
        <v>25</v>
      </c>
      <c r="M395">
        <v>-6</v>
      </c>
      <c r="N395">
        <v>133</v>
      </c>
      <c r="O395" t="s">
        <v>26</v>
      </c>
      <c r="P395">
        <v>40</v>
      </c>
      <c r="Q395">
        <v>70</v>
      </c>
      <c r="R395">
        <v>10</v>
      </c>
      <c r="S395">
        <v>110</v>
      </c>
      <c r="T395">
        <v>77</v>
      </c>
      <c r="U395" t="s">
        <v>27</v>
      </c>
      <c r="V395">
        <f t="shared" si="36"/>
        <v>-4.5112781954887216E-2</v>
      </c>
      <c r="W395">
        <f t="shared" si="37"/>
        <v>-16</v>
      </c>
      <c r="X395">
        <f t="shared" si="38"/>
        <v>23</v>
      </c>
      <c r="Y395">
        <f t="shared" si="39"/>
        <v>0.39097744360902253</v>
      </c>
      <c r="Z395" s="7" t="str">
        <f t="shared" si="40"/>
        <v>Low Sales</v>
      </c>
      <c r="AA395" s="7" t="str">
        <f t="shared" si="41"/>
        <v>Low Margin</v>
      </c>
    </row>
    <row r="396" spans="1:27" x14ac:dyDescent="0.25">
      <c r="A396" t="s">
        <v>69</v>
      </c>
      <c r="B396">
        <v>59</v>
      </c>
      <c r="C396">
        <v>7</v>
      </c>
      <c r="D396" s="1">
        <v>41576</v>
      </c>
      <c r="E396">
        <v>411</v>
      </c>
      <c r="F396">
        <v>79</v>
      </c>
      <c r="G396" t="s">
        <v>21</v>
      </c>
      <c r="H396" t="s">
        <v>22</v>
      </c>
      <c r="I396">
        <v>19</v>
      </c>
      <c r="J396" t="s">
        <v>23</v>
      </c>
      <c r="K396" t="s">
        <v>24</v>
      </c>
      <c r="L396" t="s">
        <v>28</v>
      </c>
      <c r="M396">
        <v>47</v>
      </c>
      <c r="N396">
        <v>147</v>
      </c>
      <c r="O396" t="s">
        <v>26</v>
      </c>
      <c r="P396">
        <v>50</v>
      </c>
      <c r="Q396">
        <v>70</v>
      </c>
      <c r="R396">
        <v>40</v>
      </c>
      <c r="S396">
        <v>120</v>
      </c>
      <c r="T396">
        <v>47</v>
      </c>
      <c r="U396" t="s">
        <v>27</v>
      </c>
      <c r="V396">
        <f t="shared" si="36"/>
        <v>0.31972789115646261</v>
      </c>
      <c r="W396">
        <f t="shared" si="37"/>
        <v>7</v>
      </c>
      <c r="X396">
        <f t="shared" si="38"/>
        <v>27</v>
      </c>
      <c r="Y396">
        <f t="shared" si="39"/>
        <v>0.40136054421768708</v>
      </c>
      <c r="Z396" s="7" t="str">
        <f t="shared" si="40"/>
        <v>Low Sales</v>
      </c>
      <c r="AA396" s="7" t="str">
        <f t="shared" si="41"/>
        <v>High Margin</v>
      </c>
    </row>
    <row r="397" spans="1:27" x14ac:dyDescent="0.25">
      <c r="A397" t="s">
        <v>90</v>
      </c>
      <c r="B397">
        <v>59</v>
      </c>
      <c r="C397">
        <v>7</v>
      </c>
      <c r="D397" s="1">
        <v>41577</v>
      </c>
      <c r="E397">
        <v>411</v>
      </c>
      <c r="F397">
        <v>79</v>
      </c>
      <c r="G397" t="s">
        <v>21</v>
      </c>
      <c r="H397" t="s">
        <v>29</v>
      </c>
      <c r="I397">
        <v>19</v>
      </c>
      <c r="J397" t="s">
        <v>23</v>
      </c>
      <c r="K397" t="s">
        <v>24</v>
      </c>
      <c r="L397" t="s">
        <v>57</v>
      </c>
      <c r="M397">
        <v>47</v>
      </c>
      <c r="N397">
        <v>147</v>
      </c>
      <c r="O397" t="s">
        <v>30</v>
      </c>
      <c r="P397">
        <v>50</v>
      </c>
      <c r="Q397">
        <v>70</v>
      </c>
      <c r="R397">
        <v>40</v>
      </c>
      <c r="S397">
        <v>120</v>
      </c>
      <c r="T397">
        <v>47</v>
      </c>
      <c r="U397" t="s">
        <v>27</v>
      </c>
      <c r="V397">
        <f t="shared" si="36"/>
        <v>0.31972789115646261</v>
      </c>
      <c r="W397">
        <f t="shared" si="37"/>
        <v>7</v>
      </c>
      <c r="X397">
        <f t="shared" si="38"/>
        <v>27</v>
      </c>
      <c r="Y397">
        <f t="shared" si="39"/>
        <v>0.40136054421768708</v>
      </c>
      <c r="Z397" s="7" t="str">
        <f t="shared" si="40"/>
        <v>Low Sales</v>
      </c>
      <c r="AA397" s="7" t="str">
        <f t="shared" si="41"/>
        <v>High Margin</v>
      </c>
    </row>
    <row r="398" spans="1:27" x14ac:dyDescent="0.25">
      <c r="A398" t="s">
        <v>174</v>
      </c>
      <c r="B398">
        <v>50</v>
      </c>
      <c r="C398">
        <v>20</v>
      </c>
      <c r="D398" s="1">
        <v>41578</v>
      </c>
      <c r="E398">
        <v>589</v>
      </c>
      <c r="F398">
        <v>73</v>
      </c>
      <c r="G398" t="s">
        <v>21</v>
      </c>
      <c r="H398" t="s">
        <v>31</v>
      </c>
      <c r="I398">
        <v>14</v>
      </c>
      <c r="J398" t="s">
        <v>23</v>
      </c>
      <c r="K398" t="s">
        <v>32</v>
      </c>
      <c r="L398" t="s">
        <v>37</v>
      </c>
      <c r="M398">
        <v>70</v>
      </c>
      <c r="N398">
        <v>131</v>
      </c>
      <c r="O398" t="s">
        <v>67</v>
      </c>
      <c r="P398">
        <v>50</v>
      </c>
      <c r="Q398">
        <v>70</v>
      </c>
      <c r="R398">
        <v>50</v>
      </c>
      <c r="S398">
        <v>120</v>
      </c>
      <c r="T398">
        <v>26</v>
      </c>
      <c r="U398" t="s">
        <v>35</v>
      </c>
      <c r="V398">
        <f t="shared" si="36"/>
        <v>0.53435114503816794</v>
      </c>
      <c r="W398">
        <f t="shared" si="37"/>
        <v>20</v>
      </c>
      <c r="X398">
        <f t="shared" si="38"/>
        <v>11</v>
      </c>
      <c r="Y398">
        <f t="shared" si="39"/>
        <v>0.38167938931297712</v>
      </c>
      <c r="Z398" s="7" t="str">
        <f t="shared" si="40"/>
        <v>Low Sales</v>
      </c>
      <c r="AA398" s="7" t="str">
        <f t="shared" si="41"/>
        <v>High Margin</v>
      </c>
    </row>
    <row r="399" spans="1:27" x14ac:dyDescent="0.25">
      <c r="A399" t="s">
        <v>99</v>
      </c>
      <c r="B399">
        <v>53</v>
      </c>
      <c r="C399">
        <v>-1</v>
      </c>
      <c r="D399" s="1">
        <v>41579</v>
      </c>
      <c r="E399">
        <v>380</v>
      </c>
      <c r="F399">
        <v>71</v>
      </c>
      <c r="G399" t="s">
        <v>39</v>
      </c>
      <c r="H399" t="s">
        <v>31</v>
      </c>
      <c r="I399">
        <v>17</v>
      </c>
      <c r="J399" t="s">
        <v>40</v>
      </c>
      <c r="K399" t="s">
        <v>41</v>
      </c>
      <c r="L399" t="s">
        <v>42</v>
      </c>
      <c r="M399">
        <v>39</v>
      </c>
      <c r="N399">
        <v>132</v>
      </c>
      <c r="O399" t="s">
        <v>44</v>
      </c>
      <c r="P399">
        <v>50</v>
      </c>
      <c r="Q399">
        <v>70</v>
      </c>
      <c r="R399">
        <v>40</v>
      </c>
      <c r="S399">
        <v>120</v>
      </c>
      <c r="T399">
        <v>45</v>
      </c>
      <c r="U399" t="s">
        <v>27</v>
      </c>
      <c r="V399">
        <f t="shared" si="36"/>
        <v>0.29545454545454547</v>
      </c>
      <c r="W399">
        <f t="shared" si="37"/>
        <v>-1</v>
      </c>
      <c r="X399">
        <f t="shared" si="38"/>
        <v>12</v>
      </c>
      <c r="Y399">
        <f t="shared" si="39"/>
        <v>0.40151515151515149</v>
      </c>
      <c r="Z399" s="7" t="str">
        <f t="shared" si="40"/>
        <v>Low Sales</v>
      </c>
      <c r="AA399" s="7" t="str">
        <f t="shared" si="41"/>
        <v>High Margin</v>
      </c>
    </row>
    <row r="400" spans="1:27" x14ac:dyDescent="0.25">
      <c r="A400" t="s">
        <v>77</v>
      </c>
      <c r="B400">
        <v>54</v>
      </c>
      <c r="C400">
        <v>27</v>
      </c>
      <c r="D400" s="1">
        <v>41580</v>
      </c>
      <c r="E400">
        <v>885</v>
      </c>
      <c r="F400">
        <v>78</v>
      </c>
      <c r="G400" t="s">
        <v>39</v>
      </c>
      <c r="H400" t="s">
        <v>36</v>
      </c>
      <c r="I400">
        <v>15</v>
      </c>
      <c r="J400" t="s">
        <v>40</v>
      </c>
      <c r="K400" t="s">
        <v>41</v>
      </c>
      <c r="L400" t="s">
        <v>42</v>
      </c>
      <c r="M400">
        <v>77</v>
      </c>
      <c r="N400">
        <v>141</v>
      </c>
      <c r="O400" t="s">
        <v>49</v>
      </c>
      <c r="P400">
        <v>50</v>
      </c>
      <c r="Q400">
        <v>70</v>
      </c>
      <c r="R400">
        <v>50</v>
      </c>
      <c r="S400">
        <v>120</v>
      </c>
      <c r="T400">
        <v>26</v>
      </c>
      <c r="U400" t="s">
        <v>27</v>
      </c>
      <c r="V400">
        <f t="shared" si="36"/>
        <v>0.54609929078014185</v>
      </c>
      <c r="W400">
        <f t="shared" si="37"/>
        <v>27</v>
      </c>
      <c r="X400">
        <f t="shared" si="38"/>
        <v>21</v>
      </c>
      <c r="Y400">
        <f t="shared" si="39"/>
        <v>0.38297872340425532</v>
      </c>
      <c r="Z400" s="7" t="str">
        <f t="shared" si="40"/>
        <v>Low Sales</v>
      </c>
      <c r="AA400" s="7" t="str">
        <f t="shared" si="41"/>
        <v>High Margin</v>
      </c>
    </row>
    <row r="401" spans="1:27" x14ac:dyDescent="0.25">
      <c r="A401" t="s">
        <v>107</v>
      </c>
      <c r="B401">
        <v>43</v>
      </c>
      <c r="C401">
        <v>0</v>
      </c>
      <c r="D401" s="1">
        <v>41581</v>
      </c>
      <c r="E401">
        <v>452</v>
      </c>
      <c r="F401">
        <v>66</v>
      </c>
      <c r="G401" t="s">
        <v>39</v>
      </c>
      <c r="H401" t="s">
        <v>29</v>
      </c>
      <c r="I401">
        <v>14</v>
      </c>
      <c r="J401" t="s">
        <v>40</v>
      </c>
      <c r="K401" t="s">
        <v>45</v>
      </c>
      <c r="L401" t="s">
        <v>52</v>
      </c>
      <c r="M401">
        <v>30</v>
      </c>
      <c r="N401">
        <v>116</v>
      </c>
      <c r="O401" t="s">
        <v>64</v>
      </c>
      <c r="P401">
        <v>50</v>
      </c>
      <c r="Q401">
        <v>70</v>
      </c>
      <c r="R401">
        <v>30</v>
      </c>
      <c r="S401">
        <v>120</v>
      </c>
      <c r="T401">
        <v>46</v>
      </c>
      <c r="U401" t="s">
        <v>35</v>
      </c>
      <c r="V401">
        <f t="shared" si="36"/>
        <v>0.25862068965517243</v>
      </c>
      <c r="W401">
        <f t="shared" si="37"/>
        <v>0</v>
      </c>
      <c r="X401">
        <f t="shared" si="38"/>
        <v>-4</v>
      </c>
      <c r="Y401">
        <f t="shared" si="39"/>
        <v>0.37068965517241381</v>
      </c>
      <c r="Z401" s="7" t="str">
        <f t="shared" si="40"/>
        <v>Low Sales</v>
      </c>
      <c r="AA401" s="7" t="str">
        <f t="shared" si="41"/>
        <v>High Margin</v>
      </c>
    </row>
    <row r="402" spans="1:27" x14ac:dyDescent="0.25">
      <c r="A402" t="s">
        <v>79</v>
      </c>
      <c r="B402">
        <v>61</v>
      </c>
      <c r="C402">
        <v>-9</v>
      </c>
      <c r="D402" s="1">
        <v>41582</v>
      </c>
      <c r="E402">
        <v>-906</v>
      </c>
      <c r="F402">
        <v>86</v>
      </c>
      <c r="G402" t="s">
        <v>39</v>
      </c>
      <c r="H402" t="s">
        <v>29</v>
      </c>
      <c r="I402">
        <v>55</v>
      </c>
      <c r="J402" t="s">
        <v>40</v>
      </c>
      <c r="K402" t="s">
        <v>41</v>
      </c>
      <c r="L402" t="s">
        <v>54</v>
      </c>
      <c r="M402">
        <v>1</v>
      </c>
      <c r="N402">
        <v>157</v>
      </c>
      <c r="O402" t="s">
        <v>55</v>
      </c>
      <c r="P402">
        <v>40</v>
      </c>
      <c r="Q402">
        <v>70</v>
      </c>
      <c r="R402">
        <v>10</v>
      </c>
      <c r="S402">
        <v>110</v>
      </c>
      <c r="T402">
        <v>85</v>
      </c>
      <c r="U402" t="s">
        <v>35</v>
      </c>
      <c r="V402">
        <f t="shared" si="36"/>
        <v>6.369426751592357E-3</v>
      </c>
      <c r="W402">
        <f t="shared" si="37"/>
        <v>-9</v>
      </c>
      <c r="X402">
        <f t="shared" si="38"/>
        <v>47</v>
      </c>
      <c r="Y402">
        <f t="shared" si="39"/>
        <v>0.38853503184713378</v>
      </c>
      <c r="Z402" s="7" t="str">
        <f t="shared" si="40"/>
        <v>Low Sales</v>
      </c>
      <c r="AA402" s="7" t="str">
        <f t="shared" si="41"/>
        <v>Low Margin</v>
      </c>
    </row>
    <row r="403" spans="1:27" x14ac:dyDescent="0.25">
      <c r="A403" t="s">
        <v>80</v>
      </c>
      <c r="B403">
        <v>55</v>
      </c>
      <c r="C403">
        <v>-6</v>
      </c>
      <c r="D403" s="1">
        <v>41583</v>
      </c>
      <c r="E403">
        <v>410</v>
      </c>
      <c r="F403">
        <v>69</v>
      </c>
      <c r="G403" t="s">
        <v>39</v>
      </c>
      <c r="H403" t="s">
        <v>36</v>
      </c>
      <c r="I403">
        <v>20</v>
      </c>
      <c r="J403" t="s">
        <v>40</v>
      </c>
      <c r="K403" t="s">
        <v>41</v>
      </c>
      <c r="L403" t="s">
        <v>54</v>
      </c>
      <c r="M403">
        <v>24</v>
      </c>
      <c r="N403">
        <v>132</v>
      </c>
      <c r="O403" t="s">
        <v>56</v>
      </c>
      <c r="P403">
        <v>50</v>
      </c>
      <c r="Q403">
        <v>70</v>
      </c>
      <c r="R403">
        <v>30</v>
      </c>
      <c r="S403">
        <v>120</v>
      </c>
      <c r="T403">
        <v>53</v>
      </c>
      <c r="U403" t="s">
        <v>35</v>
      </c>
      <c r="V403">
        <f t="shared" si="36"/>
        <v>0.18181818181818182</v>
      </c>
      <c r="W403">
        <f t="shared" si="37"/>
        <v>-6</v>
      </c>
      <c r="X403">
        <f t="shared" si="38"/>
        <v>12</v>
      </c>
      <c r="Y403">
        <f t="shared" si="39"/>
        <v>0.41666666666666669</v>
      </c>
      <c r="Z403" s="7" t="str">
        <f t="shared" si="40"/>
        <v>Low Sales</v>
      </c>
      <c r="AA403" s="7" t="str">
        <f t="shared" si="41"/>
        <v>High Margin</v>
      </c>
    </row>
    <row r="404" spans="1:27" x14ac:dyDescent="0.25">
      <c r="A404" t="s">
        <v>110</v>
      </c>
      <c r="B404">
        <v>82</v>
      </c>
      <c r="C404">
        <v>26</v>
      </c>
      <c r="D404" s="1">
        <v>41584</v>
      </c>
      <c r="E404">
        <v>601</v>
      </c>
      <c r="F404">
        <v>102</v>
      </c>
      <c r="G404" t="s">
        <v>39</v>
      </c>
      <c r="H404" t="s">
        <v>31</v>
      </c>
      <c r="I404">
        <v>31</v>
      </c>
      <c r="J404" t="s">
        <v>23</v>
      </c>
      <c r="K404" t="s">
        <v>24</v>
      </c>
      <c r="L404" t="s">
        <v>25</v>
      </c>
      <c r="M404">
        <v>56</v>
      </c>
      <c r="N404">
        <v>196</v>
      </c>
      <c r="O404" t="s">
        <v>44</v>
      </c>
      <c r="P404">
        <v>60</v>
      </c>
      <c r="Q404">
        <v>70</v>
      </c>
      <c r="R404">
        <v>30</v>
      </c>
      <c r="S404">
        <v>130</v>
      </c>
      <c r="T404">
        <v>64</v>
      </c>
      <c r="U404" t="s">
        <v>27</v>
      </c>
      <c r="V404">
        <f t="shared" si="36"/>
        <v>0.2857142857142857</v>
      </c>
      <c r="W404">
        <f t="shared" si="37"/>
        <v>26</v>
      </c>
      <c r="X404">
        <f t="shared" si="38"/>
        <v>66</v>
      </c>
      <c r="Y404">
        <f t="shared" si="39"/>
        <v>0.41836734693877553</v>
      </c>
      <c r="Z404" s="7" t="str">
        <f t="shared" si="40"/>
        <v>Low Sales</v>
      </c>
      <c r="AA404" s="7" t="str">
        <f t="shared" si="41"/>
        <v>High Margin</v>
      </c>
    </row>
    <row r="405" spans="1:27" x14ac:dyDescent="0.25">
      <c r="A405" t="s">
        <v>133</v>
      </c>
      <c r="B405">
        <v>61</v>
      </c>
      <c r="C405">
        <v>3</v>
      </c>
      <c r="D405" s="1">
        <v>41585</v>
      </c>
      <c r="E405">
        <v>613</v>
      </c>
      <c r="F405">
        <v>86</v>
      </c>
      <c r="G405" t="s">
        <v>39</v>
      </c>
      <c r="H405" t="s">
        <v>22</v>
      </c>
      <c r="I405">
        <v>55</v>
      </c>
      <c r="J405" t="s">
        <v>23</v>
      </c>
      <c r="K405" t="s">
        <v>32</v>
      </c>
      <c r="L405" t="s">
        <v>61</v>
      </c>
      <c r="M405">
        <v>3</v>
      </c>
      <c r="N405">
        <v>157</v>
      </c>
      <c r="O405" t="s">
        <v>59</v>
      </c>
      <c r="P405">
        <v>50</v>
      </c>
      <c r="Q405">
        <v>70</v>
      </c>
      <c r="R405">
        <v>0</v>
      </c>
      <c r="S405">
        <v>120</v>
      </c>
      <c r="T405">
        <v>84</v>
      </c>
      <c r="U405" t="s">
        <v>35</v>
      </c>
      <c r="V405">
        <f t="shared" si="36"/>
        <v>1.9108280254777069E-2</v>
      </c>
      <c r="W405">
        <f t="shared" si="37"/>
        <v>3</v>
      </c>
      <c r="X405">
        <f t="shared" si="38"/>
        <v>37</v>
      </c>
      <c r="Y405">
        <f t="shared" si="39"/>
        <v>0.38853503184713378</v>
      </c>
      <c r="Z405" s="7" t="str">
        <f t="shared" si="40"/>
        <v>Low Sales</v>
      </c>
      <c r="AA405" s="7" t="str">
        <f t="shared" si="41"/>
        <v>Low Margin</v>
      </c>
    </row>
    <row r="406" spans="1:27" x14ac:dyDescent="0.25">
      <c r="A406" t="s">
        <v>98</v>
      </c>
      <c r="B406">
        <v>53</v>
      </c>
      <c r="C406">
        <v>23</v>
      </c>
      <c r="D406" s="1">
        <v>41586</v>
      </c>
      <c r="E406">
        <v>321</v>
      </c>
      <c r="F406">
        <v>88</v>
      </c>
      <c r="G406" t="s">
        <v>39</v>
      </c>
      <c r="H406" t="s">
        <v>36</v>
      </c>
      <c r="I406">
        <v>16</v>
      </c>
      <c r="J406" t="s">
        <v>23</v>
      </c>
      <c r="K406" t="s">
        <v>32</v>
      </c>
      <c r="L406" t="s">
        <v>33</v>
      </c>
      <c r="M406">
        <v>73</v>
      </c>
      <c r="N406">
        <v>150</v>
      </c>
      <c r="O406" t="s">
        <v>60</v>
      </c>
      <c r="P406">
        <v>30</v>
      </c>
      <c r="Q406">
        <v>70</v>
      </c>
      <c r="R406">
        <v>50</v>
      </c>
      <c r="S406">
        <v>100</v>
      </c>
      <c r="T406">
        <v>39</v>
      </c>
      <c r="U406" t="s">
        <v>35</v>
      </c>
      <c r="V406">
        <f t="shared" si="36"/>
        <v>0.48666666666666669</v>
      </c>
      <c r="W406">
        <f t="shared" si="37"/>
        <v>23</v>
      </c>
      <c r="X406">
        <f t="shared" si="38"/>
        <v>50</v>
      </c>
      <c r="Y406">
        <f t="shared" si="39"/>
        <v>0.35333333333333333</v>
      </c>
      <c r="Z406" s="7" t="str">
        <f t="shared" si="40"/>
        <v>Low Sales</v>
      </c>
      <c r="AA406" s="7" t="str">
        <f t="shared" si="41"/>
        <v>High Margin</v>
      </c>
    </row>
    <row r="407" spans="1:27" x14ac:dyDescent="0.25">
      <c r="A407" t="s">
        <v>169</v>
      </c>
      <c r="B407">
        <v>47</v>
      </c>
      <c r="C407">
        <v>-19</v>
      </c>
      <c r="D407" s="1">
        <v>41587</v>
      </c>
      <c r="E407">
        <v>521</v>
      </c>
      <c r="F407">
        <v>65</v>
      </c>
      <c r="G407" t="s">
        <v>21</v>
      </c>
      <c r="H407" t="s">
        <v>22</v>
      </c>
      <c r="I407">
        <v>42</v>
      </c>
      <c r="J407" t="s">
        <v>40</v>
      </c>
      <c r="K407" t="s">
        <v>45</v>
      </c>
      <c r="L407" t="s">
        <v>46</v>
      </c>
      <c r="M407">
        <v>-9</v>
      </c>
      <c r="N407">
        <v>119</v>
      </c>
      <c r="O407" t="s">
        <v>65</v>
      </c>
      <c r="P407">
        <v>40</v>
      </c>
      <c r="Q407">
        <v>70</v>
      </c>
      <c r="R407">
        <v>10</v>
      </c>
      <c r="S407">
        <v>110</v>
      </c>
      <c r="T407">
        <v>71</v>
      </c>
      <c r="U407" t="s">
        <v>27</v>
      </c>
      <c r="V407">
        <f t="shared" si="36"/>
        <v>-7.5630252100840331E-2</v>
      </c>
      <c r="W407">
        <f t="shared" si="37"/>
        <v>-19</v>
      </c>
      <c r="X407">
        <f t="shared" si="38"/>
        <v>9</v>
      </c>
      <c r="Y407">
        <f t="shared" si="39"/>
        <v>0.3949579831932773</v>
      </c>
      <c r="Z407" s="7" t="str">
        <f t="shared" si="40"/>
        <v>Low Sales</v>
      </c>
      <c r="AA407" s="7" t="str">
        <f t="shared" si="41"/>
        <v>Low Margin</v>
      </c>
    </row>
    <row r="408" spans="1:27" x14ac:dyDescent="0.25">
      <c r="A408" t="s">
        <v>172</v>
      </c>
      <c r="B408">
        <v>54</v>
      </c>
      <c r="C408">
        <v>3</v>
      </c>
      <c r="D408" s="1">
        <v>41588</v>
      </c>
      <c r="E408">
        <v>424</v>
      </c>
      <c r="F408">
        <v>73</v>
      </c>
      <c r="G408" t="s">
        <v>21</v>
      </c>
      <c r="H408" t="s">
        <v>22</v>
      </c>
      <c r="I408">
        <v>17</v>
      </c>
      <c r="J408" t="s">
        <v>40</v>
      </c>
      <c r="K408" t="s">
        <v>45</v>
      </c>
      <c r="L408" t="s">
        <v>50</v>
      </c>
      <c r="M408">
        <v>43</v>
      </c>
      <c r="N408">
        <v>135</v>
      </c>
      <c r="O408" t="s">
        <v>65</v>
      </c>
      <c r="P408">
        <v>50</v>
      </c>
      <c r="Q408">
        <v>70</v>
      </c>
      <c r="R408">
        <v>40</v>
      </c>
      <c r="S408">
        <v>120</v>
      </c>
      <c r="T408">
        <v>44</v>
      </c>
      <c r="U408" t="s">
        <v>35</v>
      </c>
      <c r="V408">
        <f t="shared" si="36"/>
        <v>0.31851851851851853</v>
      </c>
      <c r="W408">
        <f t="shared" si="37"/>
        <v>3</v>
      </c>
      <c r="X408">
        <f t="shared" si="38"/>
        <v>15</v>
      </c>
      <c r="Y408">
        <f t="shared" si="39"/>
        <v>0.4</v>
      </c>
      <c r="Z408" s="7" t="str">
        <f t="shared" si="40"/>
        <v>Low Sales</v>
      </c>
      <c r="AA408" s="7" t="str">
        <f t="shared" si="41"/>
        <v>High Margin</v>
      </c>
    </row>
    <row r="409" spans="1:27" x14ac:dyDescent="0.25">
      <c r="A409" t="s">
        <v>175</v>
      </c>
      <c r="B409">
        <v>67</v>
      </c>
      <c r="C409">
        <v>40</v>
      </c>
      <c r="D409" s="1">
        <v>41589</v>
      </c>
      <c r="E409">
        <v>-1239</v>
      </c>
      <c r="F409">
        <v>101</v>
      </c>
      <c r="G409" t="s">
        <v>21</v>
      </c>
      <c r="H409" t="s">
        <v>29</v>
      </c>
      <c r="I409">
        <v>22</v>
      </c>
      <c r="J409" t="s">
        <v>40</v>
      </c>
      <c r="K409" t="s">
        <v>41</v>
      </c>
      <c r="L409" t="s">
        <v>54</v>
      </c>
      <c r="M409">
        <v>70</v>
      </c>
      <c r="N409">
        <v>179</v>
      </c>
      <c r="O409" t="s">
        <v>30</v>
      </c>
      <c r="P409">
        <v>50</v>
      </c>
      <c r="Q409">
        <v>70</v>
      </c>
      <c r="R409">
        <v>30</v>
      </c>
      <c r="S409">
        <v>120</v>
      </c>
      <c r="T409">
        <v>54</v>
      </c>
      <c r="U409" t="s">
        <v>35</v>
      </c>
      <c r="V409">
        <f t="shared" si="36"/>
        <v>0.39106145251396646</v>
      </c>
      <c r="W409">
        <f t="shared" si="37"/>
        <v>40</v>
      </c>
      <c r="X409">
        <f t="shared" si="38"/>
        <v>59</v>
      </c>
      <c r="Y409">
        <f t="shared" si="39"/>
        <v>0.37430167597765363</v>
      </c>
      <c r="Z409" s="7" t="str">
        <f t="shared" si="40"/>
        <v>Low Sales</v>
      </c>
      <c r="AA409" s="7" t="str">
        <f t="shared" si="41"/>
        <v>High Margin</v>
      </c>
    </row>
    <row r="410" spans="1:27" x14ac:dyDescent="0.25">
      <c r="A410" t="s">
        <v>157</v>
      </c>
      <c r="B410">
        <v>54</v>
      </c>
      <c r="C410">
        <v>29</v>
      </c>
      <c r="D410" s="1">
        <v>41590</v>
      </c>
      <c r="E410">
        <v>601</v>
      </c>
      <c r="F410">
        <v>79</v>
      </c>
      <c r="G410" t="s">
        <v>21</v>
      </c>
      <c r="H410" t="s">
        <v>22</v>
      </c>
      <c r="I410">
        <v>15</v>
      </c>
      <c r="J410" t="s">
        <v>23</v>
      </c>
      <c r="K410" t="s">
        <v>32</v>
      </c>
      <c r="L410" t="s">
        <v>33</v>
      </c>
      <c r="M410">
        <v>79</v>
      </c>
      <c r="N410">
        <v>142</v>
      </c>
      <c r="O410" t="s">
        <v>63</v>
      </c>
      <c r="P410">
        <v>40</v>
      </c>
      <c r="Q410">
        <v>70</v>
      </c>
      <c r="R410">
        <v>50</v>
      </c>
      <c r="S410">
        <v>110</v>
      </c>
      <c r="T410">
        <v>26</v>
      </c>
      <c r="U410" t="s">
        <v>35</v>
      </c>
      <c r="V410">
        <f t="shared" si="36"/>
        <v>0.55633802816901412</v>
      </c>
      <c r="W410">
        <f t="shared" si="37"/>
        <v>29</v>
      </c>
      <c r="X410">
        <f t="shared" si="38"/>
        <v>32</v>
      </c>
      <c r="Y410">
        <f t="shared" si="39"/>
        <v>0.38028169014084506</v>
      </c>
      <c r="Z410" s="7" t="str">
        <f t="shared" si="40"/>
        <v>Low Sales</v>
      </c>
      <c r="AA410" s="7" t="str">
        <f t="shared" si="41"/>
        <v>High Margin</v>
      </c>
    </row>
    <row r="411" spans="1:27" x14ac:dyDescent="0.25">
      <c r="A411" t="s">
        <v>122</v>
      </c>
      <c r="B411">
        <v>63</v>
      </c>
      <c r="C411">
        <v>13</v>
      </c>
      <c r="D411" s="1">
        <v>41591</v>
      </c>
      <c r="E411">
        <v>1075</v>
      </c>
      <c r="F411">
        <v>76</v>
      </c>
      <c r="G411" t="s">
        <v>39</v>
      </c>
      <c r="H411" t="s">
        <v>22</v>
      </c>
      <c r="I411">
        <v>19</v>
      </c>
      <c r="J411" t="s">
        <v>40</v>
      </c>
      <c r="K411" t="s">
        <v>45</v>
      </c>
      <c r="L411" t="s">
        <v>46</v>
      </c>
      <c r="M411">
        <v>53</v>
      </c>
      <c r="N411">
        <v>148</v>
      </c>
      <c r="O411" t="s">
        <v>58</v>
      </c>
      <c r="P411">
        <v>60</v>
      </c>
      <c r="Q411">
        <v>70</v>
      </c>
      <c r="R411">
        <v>40</v>
      </c>
      <c r="S411">
        <v>130</v>
      </c>
      <c r="T411">
        <v>40</v>
      </c>
      <c r="U411" t="s">
        <v>27</v>
      </c>
      <c r="V411">
        <f t="shared" si="36"/>
        <v>0.35810810810810811</v>
      </c>
      <c r="W411">
        <f t="shared" si="37"/>
        <v>13</v>
      </c>
      <c r="X411">
        <f t="shared" si="38"/>
        <v>18</v>
      </c>
      <c r="Y411">
        <f t="shared" si="39"/>
        <v>0.42567567567567566</v>
      </c>
      <c r="Z411" s="7" t="str">
        <f t="shared" si="40"/>
        <v>Low Sales</v>
      </c>
      <c r="AA411" s="7" t="str">
        <f t="shared" si="41"/>
        <v>High Margin</v>
      </c>
    </row>
    <row r="412" spans="1:27" x14ac:dyDescent="0.25">
      <c r="A412" t="s">
        <v>99</v>
      </c>
      <c r="B412">
        <v>49</v>
      </c>
      <c r="C412">
        <v>-9</v>
      </c>
      <c r="D412" s="1">
        <v>41592</v>
      </c>
      <c r="E412">
        <v>392</v>
      </c>
      <c r="F412">
        <v>65</v>
      </c>
      <c r="G412" t="s">
        <v>39</v>
      </c>
      <c r="H412" t="s">
        <v>31</v>
      </c>
      <c r="I412">
        <v>16</v>
      </c>
      <c r="J412" t="s">
        <v>40</v>
      </c>
      <c r="K412" t="s">
        <v>41</v>
      </c>
      <c r="L412" t="s">
        <v>42</v>
      </c>
      <c r="M412">
        <v>31</v>
      </c>
      <c r="N412">
        <v>121</v>
      </c>
      <c r="O412" t="s">
        <v>44</v>
      </c>
      <c r="P412">
        <v>40</v>
      </c>
      <c r="Q412">
        <v>70</v>
      </c>
      <c r="R412">
        <v>40</v>
      </c>
      <c r="S412">
        <v>110</v>
      </c>
      <c r="T412">
        <v>44</v>
      </c>
      <c r="U412" t="s">
        <v>27</v>
      </c>
      <c r="V412">
        <f t="shared" si="36"/>
        <v>0.256198347107438</v>
      </c>
      <c r="W412">
        <f t="shared" si="37"/>
        <v>-9</v>
      </c>
      <c r="X412">
        <f t="shared" si="38"/>
        <v>11</v>
      </c>
      <c r="Y412">
        <f t="shared" si="39"/>
        <v>0.4049586776859504</v>
      </c>
      <c r="Z412" s="7" t="str">
        <f t="shared" si="40"/>
        <v>Low Sales</v>
      </c>
      <c r="AA412" s="7" t="str">
        <f t="shared" si="41"/>
        <v>High Margin</v>
      </c>
    </row>
    <row r="413" spans="1:27" x14ac:dyDescent="0.25">
      <c r="A413" t="s">
        <v>77</v>
      </c>
      <c r="B413">
        <v>50</v>
      </c>
      <c r="C413">
        <v>20</v>
      </c>
      <c r="D413" s="1">
        <v>41593</v>
      </c>
      <c r="E413">
        <v>898</v>
      </c>
      <c r="F413">
        <v>73</v>
      </c>
      <c r="G413" t="s">
        <v>39</v>
      </c>
      <c r="H413" t="s">
        <v>36</v>
      </c>
      <c r="I413">
        <v>14</v>
      </c>
      <c r="J413" t="s">
        <v>40</v>
      </c>
      <c r="K413" t="s">
        <v>41</v>
      </c>
      <c r="L413" t="s">
        <v>42</v>
      </c>
      <c r="M413">
        <v>70</v>
      </c>
      <c r="N413">
        <v>131</v>
      </c>
      <c r="O413" t="s">
        <v>49</v>
      </c>
      <c r="P413">
        <v>40</v>
      </c>
      <c r="Q413">
        <v>70</v>
      </c>
      <c r="R413">
        <v>50</v>
      </c>
      <c r="S413">
        <v>110</v>
      </c>
      <c r="T413">
        <v>26</v>
      </c>
      <c r="U413" t="s">
        <v>27</v>
      </c>
      <c r="V413">
        <f t="shared" si="36"/>
        <v>0.53435114503816794</v>
      </c>
      <c r="W413">
        <f t="shared" si="37"/>
        <v>20</v>
      </c>
      <c r="X413">
        <f t="shared" si="38"/>
        <v>21</v>
      </c>
      <c r="Y413">
        <f t="shared" si="39"/>
        <v>0.38167938931297712</v>
      </c>
      <c r="Z413" s="7" t="str">
        <f t="shared" si="40"/>
        <v>Low Sales</v>
      </c>
      <c r="AA413" s="7" t="str">
        <f t="shared" si="41"/>
        <v>High Margin</v>
      </c>
    </row>
    <row r="414" spans="1:27" x14ac:dyDescent="0.25">
      <c r="A414" t="s">
        <v>78</v>
      </c>
      <c r="B414">
        <v>52</v>
      </c>
      <c r="C414">
        <v>5</v>
      </c>
      <c r="D414" s="1">
        <v>41594</v>
      </c>
      <c r="E414">
        <v>327</v>
      </c>
      <c r="F414">
        <v>75</v>
      </c>
      <c r="G414" t="s">
        <v>39</v>
      </c>
      <c r="H414" t="s">
        <v>31</v>
      </c>
      <c r="I414">
        <v>16</v>
      </c>
      <c r="J414" t="s">
        <v>40</v>
      </c>
      <c r="K414" t="s">
        <v>45</v>
      </c>
      <c r="L414" t="s">
        <v>50</v>
      </c>
      <c r="M414">
        <v>55</v>
      </c>
      <c r="N414">
        <v>135</v>
      </c>
      <c r="O414" t="s">
        <v>51</v>
      </c>
      <c r="P414">
        <v>40</v>
      </c>
      <c r="Q414">
        <v>70</v>
      </c>
      <c r="R414">
        <v>50</v>
      </c>
      <c r="S414">
        <v>110</v>
      </c>
      <c r="T414">
        <v>38</v>
      </c>
      <c r="U414" t="s">
        <v>35</v>
      </c>
      <c r="V414">
        <f t="shared" si="36"/>
        <v>0.40740740740740738</v>
      </c>
      <c r="W414">
        <f t="shared" si="37"/>
        <v>5</v>
      </c>
      <c r="X414">
        <f t="shared" si="38"/>
        <v>25</v>
      </c>
      <c r="Y414">
        <f t="shared" si="39"/>
        <v>0.38518518518518519</v>
      </c>
      <c r="Z414" s="7" t="str">
        <f t="shared" si="40"/>
        <v>Low Sales</v>
      </c>
      <c r="AA414" s="7" t="str">
        <f t="shared" si="41"/>
        <v>High Margin</v>
      </c>
    </row>
    <row r="415" spans="1:27" x14ac:dyDescent="0.25">
      <c r="A415" t="s">
        <v>99</v>
      </c>
      <c r="B415">
        <v>55</v>
      </c>
      <c r="C415">
        <v>-13</v>
      </c>
      <c r="D415" s="1">
        <v>41595</v>
      </c>
      <c r="E415">
        <v>627</v>
      </c>
      <c r="F415">
        <v>76</v>
      </c>
      <c r="G415" t="s">
        <v>39</v>
      </c>
      <c r="H415" t="s">
        <v>31</v>
      </c>
      <c r="I415">
        <v>49</v>
      </c>
      <c r="J415" t="s">
        <v>40</v>
      </c>
      <c r="K415" t="s">
        <v>41</v>
      </c>
      <c r="L415" t="s">
        <v>53</v>
      </c>
      <c r="M415">
        <v>-3</v>
      </c>
      <c r="N415">
        <v>140</v>
      </c>
      <c r="O415" t="s">
        <v>44</v>
      </c>
      <c r="P415">
        <v>50</v>
      </c>
      <c r="Q415">
        <v>70</v>
      </c>
      <c r="R415">
        <v>10</v>
      </c>
      <c r="S415">
        <v>120</v>
      </c>
      <c r="T415">
        <v>78</v>
      </c>
      <c r="U415" t="s">
        <v>35</v>
      </c>
      <c r="V415">
        <f t="shared" si="36"/>
        <v>-2.1428571428571429E-2</v>
      </c>
      <c r="W415">
        <f t="shared" si="37"/>
        <v>-13</v>
      </c>
      <c r="X415">
        <f t="shared" si="38"/>
        <v>20</v>
      </c>
      <c r="Y415">
        <f t="shared" si="39"/>
        <v>0.39285714285714285</v>
      </c>
      <c r="Z415" s="7" t="str">
        <f t="shared" si="40"/>
        <v>Low Sales</v>
      </c>
      <c r="AA415" s="7" t="str">
        <f t="shared" si="41"/>
        <v>Low Margin</v>
      </c>
    </row>
    <row r="416" spans="1:27" x14ac:dyDescent="0.25">
      <c r="A416" t="s">
        <v>78</v>
      </c>
      <c r="B416">
        <v>49</v>
      </c>
      <c r="C416">
        <v>-16</v>
      </c>
      <c r="D416" s="1">
        <v>41596</v>
      </c>
      <c r="E416">
        <v>335</v>
      </c>
      <c r="F416">
        <v>69</v>
      </c>
      <c r="G416" t="s">
        <v>39</v>
      </c>
      <c r="H416" t="s">
        <v>31</v>
      </c>
      <c r="I416">
        <v>44</v>
      </c>
      <c r="J416" t="s">
        <v>40</v>
      </c>
      <c r="K416" t="s">
        <v>41</v>
      </c>
      <c r="L416" t="s">
        <v>53</v>
      </c>
      <c r="M416">
        <v>-6</v>
      </c>
      <c r="N416">
        <v>126</v>
      </c>
      <c r="O416" t="s">
        <v>51</v>
      </c>
      <c r="P416">
        <v>40</v>
      </c>
      <c r="Q416">
        <v>70</v>
      </c>
      <c r="R416">
        <v>10</v>
      </c>
      <c r="S416">
        <v>110</v>
      </c>
      <c r="T416">
        <v>73</v>
      </c>
      <c r="U416" t="s">
        <v>35</v>
      </c>
      <c r="V416">
        <f t="shared" si="36"/>
        <v>-4.7619047619047616E-2</v>
      </c>
      <c r="W416">
        <f t="shared" si="37"/>
        <v>-16</v>
      </c>
      <c r="X416">
        <f t="shared" si="38"/>
        <v>16</v>
      </c>
      <c r="Y416">
        <f t="shared" si="39"/>
        <v>0.3888888888888889</v>
      </c>
      <c r="Z416" s="7" t="str">
        <f t="shared" si="40"/>
        <v>Low Sales</v>
      </c>
      <c r="AA416" s="7" t="str">
        <f t="shared" si="41"/>
        <v>Low Margin</v>
      </c>
    </row>
    <row r="417" spans="1:27" x14ac:dyDescent="0.25">
      <c r="A417" t="s">
        <v>117</v>
      </c>
      <c r="B417">
        <v>41</v>
      </c>
      <c r="C417">
        <v>-19</v>
      </c>
      <c r="D417" s="1">
        <v>41597</v>
      </c>
      <c r="E417">
        <v>482</v>
      </c>
      <c r="F417">
        <v>57</v>
      </c>
      <c r="G417" t="s">
        <v>39</v>
      </c>
      <c r="H417" t="s">
        <v>36</v>
      </c>
      <c r="I417">
        <v>13</v>
      </c>
      <c r="J417" t="s">
        <v>40</v>
      </c>
      <c r="K417" t="s">
        <v>45</v>
      </c>
      <c r="L417" t="s">
        <v>52</v>
      </c>
      <c r="M417">
        <v>1</v>
      </c>
      <c r="N417">
        <v>104</v>
      </c>
      <c r="O417" t="s">
        <v>56</v>
      </c>
      <c r="P417">
        <v>40</v>
      </c>
      <c r="Q417">
        <v>70</v>
      </c>
      <c r="R417">
        <v>20</v>
      </c>
      <c r="S417">
        <v>110</v>
      </c>
      <c r="T417">
        <v>56</v>
      </c>
      <c r="U417" t="s">
        <v>35</v>
      </c>
      <c r="V417">
        <f t="shared" si="36"/>
        <v>9.6153846153846159E-3</v>
      </c>
      <c r="W417">
        <f t="shared" si="37"/>
        <v>-19</v>
      </c>
      <c r="X417">
        <f t="shared" si="38"/>
        <v>-6</v>
      </c>
      <c r="Y417">
        <f t="shared" si="39"/>
        <v>0.39423076923076922</v>
      </c>
      <c r="Z417" s="7" t="str">
        <f t="shared" si="40"/>
        <v>Low Sales</v>
      </c>
      <c r="AA417" s="7" t="str">
        <f t="shared" si="41"/>
        <v>Low Margin</v>
      </c>
    </row>
    <row r="418" spans="1:27" x14ac:dyDescent="0.25">
      <c r="A418" t="s">
        <v>80</v>
      </c>
      <c r="B418">
        <v>54</v>
      </c>
      <c r="C418">
        <v>2</v>
      </c>
      <c r="D418" s="1">
        <v>41598</v>
      </c>
      <c r="E418">
        <v>424</v>
      </c>
      <c r="F418">
        <v>73</v>
      </c>
      <c r="G418" t="s">
        <v>39</v>
      </c>
      <c r="H418" t="s">
        <v>36</v>
      </c>
      <c r="I418">
        <v>17</v>
      </c>
      <c r="J418" t="s">
        <v>40</v>
      </c>
      <c r="K418" t="s">
        <v>41</v>
      </c>
      <c r="L418" t="s">
        <v>53</v>
      </c>
      <c r="M418">
        <v>42</v>
      </c>
      <c r="N418">
        <v>135</v>
      </c>
      <c r="O418" t="s">
        <v>56</v>
      </c>
      <c r="P418">
        <v>50</v>
      </c>
      <c r="Q418">
        <v>70</v>
      </c>
      <c r="R418">
        <v>40</v>
      </c>
      <c r="S418">
        <v>120</v>
      </c>
      <c r="T418">
        <v>45</v>
      </c>
      <c r="U418" t="s">
        <v>35</v>
      </c>
      <c r="V418">
        <f t="shared" si="36"/>
        <v>0.31111111111111112</v>
      </c>
      <c r="W418">
        <f t="shared" si="37"/>
        <v>2</v>
      </c>
      <c r="X418">
        <f t="shared" si="38"/>
        <v>15</v>
      </c>
      <c r="Y418">
        <f t="shared" si="39"/>
        <v>0.4</v>
      </c>
      <c r="Z418" s="7" t="str">
        <f t="shared" si="40"/>
        <v>Low Sales</v>
      </c>
      <c r="AA418" s="7" t="str">
        <f t="shared" si="41"/>
        <v>High Margin</v>
      </c>
    </row>
    <row r="419" spans="1:27" x14ac:dyDescent="0.25">
      <c r="A419" t="s">
        <v>115</v>
      </c>
      <c r="B419">
        <v>65</v>
      </c>
      <c r="C419">
        <v>13</v>
      </c>
      <c r="D419" s="1">
        <v>41599</v>
      </c>
      <c r="E419">
        <v>403</v>
      </c>
      <c r="F419">
        <v>80</v>
      </c>
      <c r="G419" t="s">
        <v>39</v>
      </c>
      <c r="H419" t="s">
        <v>29</v>
      </c>
      <c r="I419">
        <v>24</v>
      </c>
      <c r="J419" t="s">
        <v>23</v>
      </c>
      <c r="K419" t="s">
        <v>24</v>
      </c>
      <c r="L419" t="s">
        <v>57</v>
      </c>
      <c r="M419">
        <v>33</v>
      </c>
      <c r="N419">
        <v>155</v>
      </c>
      <c r="O419" t="s">
        <v>47</v>
      </c>
      <c r="P419">
        <v>60</v>
      </c>
      <c r="Q419">
        <v>70</v>
      </c>
      <c r="R419">
        <v>20</v>
      </c>
      <c r="S419">
        <v>130</v>
      </c>
      <c r="T419">
        <v>58</v>
      </c>
      <c r="U419" t="s">
        <v>27</v>
      </c>
      <c r="V419">
        <f t="shared" si="36"/>
        <v>0.2129032258064516</v>
      </c>
      <c r="W419">
        <f t="shared" si="37"/>
        <v>13</v>
      </c>
      <c r="X419">
        <f t="shared" si="38"/>
        <v>25</v>
      </c>
      <c r="Y419">
        <f t="shared" si="39"/>
        <v>0.41935483870967744</v>
      </c>
      <c r="Z419" s="7" t="str">
        <f t="shared" si="40"/>
        <v>Low Sales</v>
      </c>
      <c r="AA419" s="7" t="str">
        <f t="shared" si="41"/>
        <v>High Margin</v>
      </c>
    </row>
    <row r="420" spans="1:27" x14ac:dyDescent="0.25">
      <c r="A420" t="s">
        <v>77</v>
      </c>
      <c r="B420">
        <v>52</v>
      </c>
      <c r="C420">
        <v>13</v>
      </c>
      <c r="D420" s="1">
        <v>41600</v>
      </c>
      <c r="E420">
        <v>327</v>
      </c>
      <c r="F420">
        <v>75</v>
      </c>
      <c r="G420" t="s">
        <v>39</v>
      </c>
      <c r="H420" t="s">
        <v>36</v>
      </c>
      <c r="I420">
        <v>16</v>
      </c>
      <c r="J420" t="s">
        <v>23</v>
      </c>
      <c r="K420" t="s">
        <v>24</v>
      </c>
      <c r="L420" t="s">
        <v>57</v>
      </c>
      <c r="M420">
        <v>53</v>
      </c>
      <c r="N420">
        <v>135</v>
      </c>
      <c r="O420" t="s">
        <v>49</v>
      </c>
      <c r="P420">
        <v>40</v>
      </c>
      <c r="Q420">
        <v>70</v>
      </c>
      <c r="R420">
        <v>40</v>
      </c>
      <c r="S420">
        <v>110</v>
      </c>
      <c r="T420">
        <v>39</v>
      </c>
      <c r="U420" t="s">
        <v>27</v>
      </c>
      <c r="V420">
        <f t="shared" si="36"/>
        <v>0.3925925925925926</v>
      </c>
      <c r="W420">
        <f t="shared" si="37"/>
        <v>13</v>
      </c>
      <c r="X420">
        <f t="shared" si="38"/>
        <v>25</v>
      </c>
      <c r="Y420">
        <f t="shared" si="39"/>
        <v>0.38518518518518519</v>
      </c>
      <c r="Z420" s="7" t="str">
        <f t="shared" si="40"/>
        <v>Low Sales</v>
      </c>
      <c r="AA420" s="7" t="str">
        <f t="shared" si="41"/>
        <v>High Margin</v>
      </c>
    </row>
    <row r="421" spans="1:27" x14ac:dyDescent="0.25">
      <c r="A421" t="s">
        <v>77</v>
      </c>
      <c r="B421">
        <v>48</v>
      </c>
      <c r="C421">
        <v>2</v>
      </c>
      <c r="D421" s="1">
        <v>41601</v>
      </c>
      <c r="E421">
        <v>462</v>
      </c>
      <c r="F421">
        <v>74</v>
      </c>
      <c r="G421" t="s">
        <v>39</v>
      </c>
      <c r="H421" t="s">
        <v>36</v>
      </c>
      <c r="I421">
        <v>15</v>
      </c>
      <c r="J421" t="s">
        <v>23</v>
      </c>
      <c r="K421" t="s">
        <v>24</v>
      </c>
      <c r="L421" t="s">
        <v>25</v>
      </c>
      <c r="M421">
        <v>42</v>
      </c>
      <c r="N421">
        <v>130</v>
      </c>
      <c r="O421" t="s">
        <v>49</v>
      </c>
      <c r="P421">
        <v>40</v>
      </c>
      <c r="Q421">
        <v>70</v>
      </c>
      <c r="R421">
        <v>40</v>
      </c>
      <c r="S421">
        <v>110</v>
      </c>
      <c r="T421">
        <v>46</v>
      </c>
      <c r="U421" t="s">
        <v>27</v>
      </c>
      <c r="V421">
        <f t="shared" si="36"/>
        <v>0.32307692307692309</v>
      </c>
      <c r="W421">
        <f t="shared" si="37"/>
        <v>2</v>
      </c>
      <c r="X421">
        <f t="shared" si="38"/>
        <v>20</v>
      </c>
      <c r="Y421">
        <f t="shared" si="39"/>
        <v>0.36923076923076925</v>
      </c>
      <c r="Z421" s="7" t="str">
        <f t="shared" si="40"/>
        <v>Low Sales</v>
      </c>
      <c r="AA421" s="7" t="str">
        <f t="shared" si="41"/>
        <v>High Margin</v>
      </c>
    </row>
    <row r="422" spans="1:27" x14ac:dyDescent="0.25">
      <c r="A422" t="s">
        <v>84</v>
      </c>
      <c r="B422">
        <v>49</v>
      </c>
      <c r="C422">
        <v>18</v>
      </c>
      <c r="D422" s="1">
        <v>41602</v>
      </c>
      <c r="E422">
        <v>845</v>
      </c>
      <c r="F422">
        <v>71</v>
      </c>
      <c r="G422" t="s">
        <v>39</v>
      </c>
      <c r="H422" t="s">
        <v>36</v>
      </c>
      <c r="I422">
        <v>13</v>
      </c>
      <c r="J422" t="s">
        <v>23</v>
      </c>
      <c r="K422" t="s">
        <v>24</v>
      </c>
      <c r="L422" t="s">
        <v>25</v>
      </c>
      <c r="M422">
        <v>68</v>
      </c>
      <c r="N422">
        <v>128</v>
      </c>
      <c r="O422" t="s">
        <v>60</v>
      </c>
      <c r="P422">
        <v>40</v>
      </c>
      <c r="Q422">
        <v>70</v>
      </c>
      <c r="R422">
        <v>50</v>
      </c>
      <c r="S422">
        <v>110</v>
      </c>
      <c r="T422">
        <v>25</v>
      </c>
      <c r="U422" t="s">
        <v>27</v>
      </c>
      <c r="V422">
        <f t="shared" si="36"/>
        <v>0.53125</v>
      </c>
      <c r="W422">
        <f t="shared" si="37"/>
        <v>18</v>
      </c>
      <c r="X422">
        <f t="shared" si="38"/>
        <v>18</v>
      </c>
      <c r="Y422">
        <f t="shared" si="39"/>
        <v>0.3828125</v>
      </c>
      <c r="Z422" s="7" t="str">
        <f t="shared" si="40"/>
        <v>Low Sales</v>
      </c>
      <c r="AA422" s="7" t="str">
        <f t="shared" si="41"/>
        <v>High Margin</v>
      </c>
    </row>
    <row r="423" spans="1:27" x14ac:dyDescent="0.25">
      <c r="A423" t="s">
        <v>135</v>
      </c>
      <c r="B423">
        <v>50</v>
      </c>
      <c r="C423">
        <v>20</v>
      </c>
      <c r="D423" s="1">
        <v>41603</v>
      </c>
      <c r="E423">
        <v>898</v>
      </c>
      <c r="F423">
        <v>73</v>
      </c>
      <c r="G423" t="s">
        <v>39</v>
      </c>
      <c r="H423" t="s">
        <v>31</v>
      </c>
      <c r="I423">
        <v>14</v>
      </c>
      <c r="J423" t="s">
        <v>23</v>
      </c>
      <c r="K423" t="s">
        <v>32</v>
      </c>
      <c r="L423" t="s">
        <v>33</v>
      </c>
      <c r="M423">
        <v>70</v>
      </c>
      <c r="N423">
        <v>131</v>
      </c>
      <c r="O423" t="s">
        <v>44</v>
      </c>
      <c r="P423">
        <v>50</v>
      </c>
      <c r="Q423">
        <v>70</v>
      </c>
      <c r="R423">
        <v>50</v>
      </c>
      <c r="S423">
        <v>120</v>
      </c>
      <c r="T423">
        <v>26</v>
      </c>
      <c r="U423" t="s">
        <v>35</v>
      </c>
      <c r="V423">
        <f t="shared" si="36"/>
        <v>0.53435114503816794</v>
      </c>
      <c r="W423">
        <f t="shared" si="37"/>
        <v>20</v>
      </c>
      <c r="X423">
        <f t="shared" si="38"/>
        <v>11</v>
      </c>
      <c r="Y423">
        <f t="shared" si="39"/>
        <v>0.38167938931297712</v>
      </c>
      <c r="Z423" s="7" t="str">
        <f t="shared" si="40"/>
        <v>Low Sales</v>
      </c>
      <c r="AA423" s="7" t="str">
        <f t="shared" si="41"/>
        <v>High Margin</v>
      </c>
    </row>
    <row r="424" spans="1:27" x14ac:dyDescent="0.25">
      <c r="A424" t="s">
        <v>158</v>
      </c>
      <c r="B424">
        <v>21</v>
      </c>
      <c r="C424">
        <v>-14</v>
      </c>
      <c r="D424" s="1">
        <v>41604</v>
      </c>
      <c r="E424">
        <v>480</v>
      </c>
      <c r="F424">
        <v>32</v>
      </c>
      <c r="G424" t="s">
        <v>21</v>
      </c>
      <c r="H424" t="s">
        <v>22</v>
      </c>
      <c r="I424">
        <v>5</v>
      </c>
      <c r="J424" t="s">
        <v>23</v>
      </c>
      <c r="K424" t="s">
        <v>24</v>
      </c>
      <c r="L424" t="s">
        <v>57</v>
      </c>
      <c r="M424">
        <v>16</v>
      </c>
      <c r="N424">
        <v>53</v>
      </c>
      <c r="O424" t="s">
        <v>65</v>
      </c>
      <c r="P424">
        <v>0</v>
      </c>
      <c r="Q424">
        <v>30</v>
      </c>
      <c r="R424">
        <v>30</v>
      </c>
      <c r="S424">
        <v>30</v>
      </c>
      <c r="T424">
        <v>16</v>
      </c>
      <c r="U424" t="s">
        <v>27</v>
      </c>
      <c r="V424">
        <f t="shared" si="36"/>
        <v>0.30188679245283018</v>
      </c>
      <c r="W424">
        <f t="shared" si="37"/>
        <v>-14</v>
      </c>
      <c r="X424">
        <f t="shared" si="38"/>
        <v>23</v>
      </c>
      <c r="Y424">
        <f t="shared" si="39"/>
        <v>0.39622641509433965</v>
      </c>
      <c r="Z424" s="7" t="str">
        <f t="shared" si="40"/>
        <v>Low Sales</v>
      </c>
      <c r="AA424" s="7" t="str">
        <f t="shared" si="41"/>
        <v>High Margin</v>
      </c>
    </row>
    <row r="425" spans="1:27" x14ac:dyDescent="0.25">
      <c r="A425" t="s">
        <v>169</v>
      </c>
      <c r="B425">
        <v>27</v>
      </c>
      <c r="C425">
        <v>-10</v>
      </c>
      <c r="D425" s="1">
        <v>41605</v>
      </c>
      <c r="E425">
        <v>859</v>
      </c>
      <c r="F425">
        <v>39</v>
      </c>
      <c r="G425" t="s">
        <v>21</v>
      </c>
      <c r="H425" t="s">
        <v>22</v>
      </c>
      <c r="I425">
        <v>7</v>
      </c>
      <c r="J425" t="s">
        <v>23</v>
      </c>
      <c r="K425" t="s">
        <v>24</v>
      </c>
      <c r="L425" t="s">
        <v>25</v>
      </c>
      <c r="M425">
        <v>20</v>
      </c>
      <c r="N425">
        <v>66</v>
      </c>
      <c r="O425" t="s">
        <v>65</v>
      </c>
      <c r="P425">
        <v>10</v>
      </c>
      <c r="Q425">
        <v>30</v>
      </c>
      <c r="R425">
        <v>30</v>
      </c>
      <c r="S425">
        <v>40</v>
      </c>
      <c r="T425">
        <v>19</v>
      </c>
      <c r="U425" t="s">
        <v>27</v>
      </c>
      <c r="V425">
        <f t="shared" si="36"/>
        <v>0.30303030303030304</v>
      </c>
      <c r="W425">
        <f t="shared" si="37"/>
        <v>-10</v>
      </c>
      <c r="X425">
        <f t="shared" si="38"/>
        <v>26</v>
      </c>
      <c r="Y425">
        <f t="shared" si="39"/>
        <v>0.40909090909090912</v>
      </c>
      <c r="Z425" s="7" t="str">
        <f t="shared" si="40"/>
        <v>Low Sales</v>
      </c>
      <c r="AA425" s="7" t="str">
        <f t="shared" si="41"/>
        <v>High Margin</v>
      </c>
    </row>
    <row r="426" spans="1:27" x14ac:dyDescent="0.25">
      <c r="A426" t="s">
        <v>71</v>
      </c>
      <c r="B426">
        <v>56</v>
      </c>
      <c r="C426">
        <v>-4</v>
      </c>
      <c r="D426" s="1">
        <v>41606</v>
      </c>
      <c r="E426">
        <v>385</v>
      </c>
      <c r="F426">
        <v>70</v>
      </c>
      <c r="G426" t="s">
        <v>21</v>
      </c>
      <c r="H426" t="s">
        <v>31</v>
      </c>
      <c r="I426">
        <v>21</v>
      </c>
      <c r="J426" t="s">
        <v>23</v>
      </c>
      <c r="K426" t="s">
        <v>24</v>
      </c>
      <c r="L426" t="s">
        <v>25</v>
      </c>
      <c r="M426">
        <v>16</v>
      </c>
      <c r="N426">
        <v>126</v>
      </c>
      <c r="O426" t="s">
        <v>34</v>
      </c>
      <c r="P426">
        <v>30</v>
      </c>
      <c r="Q426">
        <v>30</v>
      </c>
      <c r="R426">
        <v>20</v>
      </c>
      <c r="S426">
        <v>60</v>
      </c>
      <c r="T426">
        <v>54</v>
      </c>
      <c r="U426" t="s">
        <v>27</v>
      </c>
      <c r="V426">
        <f t="shared" si="36"/>
        <v>0.12698412698412698</v>
      </c>
      <c r="W426">
        <f t="shared" si="37"/>
        <v>-4</v>
      </c>
      <c r="X426">
        <f t="shared" si="38"/>
        <v>66</v>
      </c>
      <c r="Y426">
        <f t="shared" si="39"/>
        <v>0.44444444444444442</v>
      </c>
      <c r="Z426" s="7" t="str">
        <f t="shared" si="40"/>
        <v>Low Sales</v>
      </c>
      <c r="AA426" s="7" t="str">
        <f t="shared" si="41"/>
        <v>High Margin</v>
      </c>
    </row>
    <row r="427" spans="1:27" x14ac:dyDescent="0.25">
      <c r="A427" t="s">
        <v>176</v>
      </c>
      <c r="B427">
        <v>54</v>
      </c>
      <c r="C427">
        <v>-7</v>
      </c>
      <c r="D427" s="1">
        <v>41607</v>
      </c>
      <c r="E427">
        <v>404</v>
      </c>
      <c r="F427">
        <v>66</v>
      </c>
      <c r="G427" t="s">
        <v>21</v>
      </c>
      <c r="H427" t="s">
        <v>31</v>
      </c>
      <c r="I427">
        <v>20</v>
      </c>
      <c r="J427" t="s">
        <v>23</v>
      </c>
      <c r="K427" t="s">
        <v>24</v>
      </c>
      <c r="L427" t="s">
        <v>25</v>
      </c>
      <c r="M427">
        <v>13</v>
      </c>
      <c r="N427">
        <v>120</v>
      </c>
      <c r="O427" t="s">
        <v>62</v>
      </c>
      <c r="P427">
        <v>30</v>
      </c>
      <c r="Q427">
        <v>30</v>
      </c>
      <c r="R427">
        <v>20</v>
      </c>
      <c r="S427">
        <v>60</v>
      </c>
      <c r="T427">
        <v>53</v>
      </c>
      <c r="U427" t="s">
        <v>27</v>
      </c>
      <c r="V427">
        <f t="shared" si="36"/>
        <v>0.10833333333333334</v>
      </c>
      <c r="W427">
        <f t="shared" si="37"/>
        <v>-7</v>
      </c>
      <c r="X427">
        <f t="shared" si="38"/>
        <v>60</v>
      </c>
      <c r="Y427">
        <f t="shared" si="39"/>
        <v>0.45</v>
      </c>
      <c r="Z427" s="7" t="str">
        <f t="shared" si="40"/>
        <v>Low Sales</v>
      </c>
      <c r="AA427" s="7" t="str">
        <f t="shared" si="41"/>
        <v>High Margin</v>
      </c>
    </row>
    <row r="428" spans="1:27" x14ac:dyDescent="0.25">
      <c r="A428" t="s">
        <v>177</v>
      </c>
      <c r="B428">
        <v>21</v>
      </c>
      <c r="C428">
        <v>-15</v>
      </c>
      <c r="D428" s="1">
        <v>41608</v>
      </c>
      <c r="E428">
        <v>480</v>
      </c>
      <c r="F428">
        <v>32</v>
      </c>
      <c r="G428" t="s">
        <v>21</v>
      </c>
      <c r="H428" t="s">
        <v>31</v>
      </c>
      <c r="I428">
        <v>5</v>
      </c>
      <c r="J428" t="s">
        <v>23</v>
      </c>
      <c r="K428" t="s">
        <v>32</v>
      </c>
      <c r="L428" t="s">
        <v>37</v>
      </c>
      <c r="M428">
        <v>15</v>
      </c>
      <c r="N428">
        <v>53</v>
      </c>
      <c r="O428" t="s">
        <v>62</v>
      </c>
      <c r="P428">
        <v>20</v>
      </c>
      <c r="Q428">
        <v>30</v>
      </c>
      <c r="R428">
        <v>30</v>
      </c>
      <c r="S428">
        <v>50</v>
      </c>
      <c r="T428">
        <v>17</v>
      </c>
      <c r="U428" t="s">
        <v>35</v>
      </c>
      <c r="V428">
        <f t="shared" si="36"/>
        <v>0.28301886792452829</v>
      </c>
      <c r="W428">
        <f t="shared" si="37"/>
        <v>-15</v>
      </c>
      <c r="X428">
        <f t="shared" si="38"/>
        <v>3</v>
      </c>
      <c r="Y428">
        <f t="shared" si="39"/>
        <v>0.39622641509433965</v>
      </c>
      <c r="Z428" s="7" t="str">
        <f t="shared" si="40"/>
        <v>Low Sales</v>
      </c>
      <c r="AA428" s="7" t="str">
        <f t="shared" si="41"/>
        <v>High Margin</v>
      </c>
    </row>
    <row r="429" spans="1:27" x14ac:dyDescent="0.25">
      <c r="A429" t="s">
        <v>107</v>
      </c>
      <c r="B429">
        <v>39</v>
      </c>
      <c r="C429">
        <v>-6</v>
      </c>
      <c r="D429" s="1">
        <v>41609</v>
      </c>
      <c r="E429">
        <v>244</v>
      </c>
      <c r="F429">
        <v>53</v>
      </c>
      <c r="G429" t="s">
        <v>39</v>
      </c>
      <c r="H429" t="s">
        <v>29</v>
      </c>
      <c r="I429">
        <v>12</v>
      </c>
      <c r="J429" t="s">
        <v>40</v>
      </c>
      <c r="K429" t="s">
        <v>41</v>
      </c>
      <c r="L429" t="s">
        <v>42</v>
      </c>
      <c r="M429">
        <v>14</v>
      </c>
      <c r="N429">
        <v>92</v>
      </c>
      <c r="O429" t="s">
        <v>64</v>
      </c>
      <c r="P429">
        <v>20</v>
      </c>
      <c r="Q429">
        <v>30</v>
      </c>
      <c r="R429">
        <v>20</v>
      </c>
      <c r="S429">
        <v>50</v>
      </c>
      <c r="T429">
        <v>39</v>
      </c>
      <c r="U429" t="s">
        <v>27</v>
      </c>
      <c r="V429">
        <f t="shared" si="36"/>
        <v>0.15217391304347827</v>
      </c>
      <c r="W429">
        <f t="shared" si="37"/>
        <v>-6</v>
      </c>
      <c r="X429">
        <f t="shared" si="38"/>
        <v>42</v>
      </c>
      <c r="Y429">
        <f t="shared" si="39"/>
        <v>0.42391304347826086</v>
      </c>
      <c r="Z429" s="7" t="str">
        <f t="shared" si="40"/>
        <v>Low Sales</v>
      </c>
      <c r="AA429" s="7" t="str">
        <f t="shared" si="41"/>
        <v>High Margin</v>
      </c>
    </row>
    <row r="430" spans="1:27" x14ac:dyDescent="0.25">
      <c r="A430" t="s">
        <v>116</v>
      </c>
      <c r="B430">
        <v>23</v>
      </c>
      <c r="C430">
        <v>-13</v>
      </c>
      <c r="D430" s="1">
        <v>41610</v>
      </c>
      <c r="E430">
        <v>800</v>
      </c>
      <c r="F430">
        <v>35</v>
      </c>
      <c r="G430" t="s">
        <v>39</v>
      </c>
      <c r="H430" t="s">
        <v>36</v>
      </c>
      <c r="I430">
        <v>6</v>
      </c>
      <c r="J430" t="s">
        <v>40</v>
      </c>
      <c r="K430" t="s">
        <v>41</v>
      </c>
      <c r="L430" t="s">
        <v>42</v>
      </c>
      <c r="M430">
        <v>17</v>
      </c>
      <c r="N430">
        <v>58</v>
      </c>
      <c r="O430" t="s">
        <v>48</v>
      </c>
      <c r="P430">
        <v>10</v>
      </c>
      <c r="Q430">
        <v>30</v>
      </c>
      <c r="R430">
        <v>30</v>
      </c>
      <c r="S430">
        <v>40</v>
      </c>
      <c r="T430">
        <v>18</v>
      </c>
      <c r="U430" t="s">
        <v>27</v>
      </c>
      <c r="V430">
        <f t="shared" si="36"/>
        <v>0.29310344827586204</v>
      </c>
      <c r="W430">
        <f t="shared" si="37"/>
        <v>-13</v>
      </c>
      <c r="X430">
        <f t="shared" si="38"/>
        <v>18</v>
      </c>
      <c r="Y430">
        <f t="shared" si="39"/>
        <v>0.39655172413793105</v>
      </c>
      <c r="Z430" s="7" t="str">
        <f t="shared" si="40"/>
        <v>Low Sales</v>
      </c>
      <c r="AA430" s="7" t="str">
        <f t="shared" si="41"/>
        <v>High Margin</v>
      </c>
    </row>
    <row r="431" spans="1:27" x14ac:dyDescent="0.25">
      <c r="A431" t="s">
        <v>114</v>
      </c>
      <c r="B431">
        <v>21</v>
      </c>
      <c r="C431">
        <v>-15</v>
      </c>
      <c r="D431" s="1">
        <v>41611</v>
      </c>
      <c r="E431">
        <v>846</v>
      </c>
      <c r="F431">
        <v>31</v>
      </c>
      <c r="G431" t="s">
        <v>39</v>
      </c>
      <c r="H431" t="s">
        <v>22</v>
      </c>
      <c r="I431">
        <v>5</v>
      </c>
      <c r="J431" t="s">
        <v>40</v>
      </c>
      <c r="K431" t="s">
        <v>45</v>
      </c>
      <c r="L431" t="s">
        <v>50</v>
      </c>
      <c r="M431">
        <v>15</v>
      </c>
      <c r="N431">
        <v>52</v>
      </c>
      <c r="O431" t="s">
        <v>43</v>
      </c>
      <c r="P431">
        <v>10</v>
      </c>
      <c r="Q431">
        <v>30</v>
      </c>
      <c r="R431">
        <v>30</v>
      </c>
      <c r="S431">
        <v>40</v>
      </c>
      <c r="T431">
        <v>16</v>
      </c>
      <c r="U431" t="s">
        <v>35</v>
      </c>
      <c r="V431">
        <f t="shared" si="36"/>
        <v>0.28846153846153844</v>
      </c>
      <c r="W431">
        <f t="shared" si="37"/>
        <v>-15</v>
      </c>
      <c r="X431">
        <f t="shared" si="38"/>
        <v>12</v>
      </c>
      <c r="Y431">
        <f t="shared" si="39"/>
        <v>0.40384615384615385</v>
      </c>
      <c r="Z431" s="7" t="str">
        <f t="shared" si="40"/>
        <v>Low Sales</v>
      </c>
      <c r="AA431" s="7" t="str">
        <f t="shared" si="41"/>
        <v>High Margin</v>
      </c>
    </row>
    <row r="432" spans="1:27" x14ac:dyDescent="0.25">
      <c r="A432" t="s">
        <v>78</v>
      </c>
      <c r="B432">
        <v>25</v>
      </c>
      <c r="C432">
        <v>-22</v>
      </c>
      <c r="D432" s="1">
        <v>41612</v>
      </c>
      <c r="E432">
        <v>209</v>
      </c>
      <c r="F432">
        <v>31</v>
      </c>
      <c r="G432" t="s">
        <v>39</v>
      </c>
      <c r="H432" t="s">
        <v>31</v>
      </c>
      <c r="I432">
        <v>9</v>
      </c>
      <c r="J432" t="s">
        <v>40</v>
      </c>
      <c r="K432" t="s">
        <v>41</v>
      </c>
      <c r="L432" t="s">
        <v>66</v>
      </c>
      <c r="M432">
        <v>-12</v>
      </c>
      <c r="N432">
        <v>56</v>
      </c>
      <c r="O432" t="s">
        <v>51</v>
      </c>
      <c r="P432">
        <v>10</v>
      </c>
      <c r="Q432">
        <v>30</v>
      </c>
      <c r="R432">
        <v>10</v>
      </c>
      <c r="S432">
        <v>40</v>
      </c>
      <c r="T432">
        <v>43</v>
      </c>
      <c r="U432" t="s">
        <v>35</v>
      </c>
      <c r="V432">
        <f t="shared" si="36"/>
        <v>-0.21428571428571427</v>
      </c>
      <c r="W432">
        <f t="shared" si="37"/>
        <v>-22</v>
      </c>
      <c r="X432">
        <f t="shared" si="38"/>
        <v>16</v>
      </c>
      <c r="Y432">
        <f t="shared" si="39"/>
        <v>0.44642857142857145</v>
      </c>
      <c r="Z432" s="7" t="str">
        <f t="shared" si="40"/>
        <v>Low Sales</v>
      </c>
      <c r="AA432" s="7" t="str">
        <f t="shared" si="41"/>
        <v>Low Margin</v>
      </c>
    </row>
    <row r="433" spans="1:27" x14ac:dyDescent="0.25">
      <c r="A433" t="s">
        <v>115</v>
      </c>
      <c r="B433">
        <v>21</v>
      </c>
      <c r="C433">
        <v>-15</v>
      </c>
      <c r="D433" s="1">
        <v>41613</v>
      </c>
      <c r="E433">
        <v>480</v>
      </c>
      <c r="F433">
        <v>32</v>
      </c>
      <c r="G433" t="s">
        <v>39</v>
      </c>
      <c r="H433" t="s">
        <v>29</v>
      </c>
      <c r="I433">
        <v>5</v>
      </c>
      <c r="J433" t="s">
        <v>40</v>
      </c>
      <c r="K433" t="s">
        <v>41</v>
      </c>
      <c r="L433" t="s">
        <v>53</v>
      </c>
      <c r="M433">
        <v>15</v>
      </c>
      <c r="N433">
        <v>53</v>
      </c>
      <c r="O433" t="s">
        <v>47</v>
      </c>
      <c r="P433">
        <v>0</v>
      </c>
      <c r="Q433">
        <v>30</v>
      </c>
      <c r="R433">
        <v>30</v>
      </c>
      <c r="S433">
        <v>30</v>
      </c>
      <c r="T433">
        <v>17</v>
      </c>
      <c r="U433" t="s">
        <v>35</v>
      </c>
      <c r="V433">
        <f t="shared" si="36"/>
        <v>0.28301886792452829</v>
      </c>
      <c r="W433">
        <f t="shared" si="37"/>
        <v>-15</v>
      </c>
      <c r="X433">
        <f t="shared" si="38"/>
        <v>23</v>
      </c>
      <c r="Y433">
        <f t="shared" si="39"/>
        <v>0.39622641509433965</v>
      </c>
      <c r="Z433" s="7" t="str">
        <f t="shared" si="40"/>
        <v>Low Sales</v>
      </c>
      <c r="AA433" s="7" t="str">
        <f t="shared" si="41"/>
        <v>High Margin</v>
      </c>
    </row>
    <row r="434" spans="1:27" x14ac:dyDescent="0.25">
      <c r="A434" t="s">
        <v>116</v>
      </c>
      <c r="B434">
        <v>0</v>
      </c>
      <c r="C434">
        <v>2</v>
      </c>
      <c r="D434" s="1">
        <v>41614</v>
      </c>
      <c r="E434">
        <v>430</v>
      </c>
      <c r="F434">
        <v>43</v>
      </c>
      <c r="G434" t="s">
        <v>39</v>
      </c>
      <c r="H434" t="s">
        <v>36</v>
      </c>
      <c r="I434">
        <v>0</v>
      </c>
      <c r="J434" t="s">
        <v>40</v>
      </c>
      <c r="K434" t="s">
        <v>41</v>
      </c>
      <c r="L434" t="s">
        <v>54</v>
      </c>
      <c r="M434">
        <v>32</v>
      </c>
      <c r="N434">
        <v>43</v>
      </c>
      <c r="O434" t="s">
        <v>48</v>
      </c>
      <c r="P434">
        <v>0</v>
      </c>
      <c r="Q434">
        <v>30</v>
      </c>
      <c r="R434">
        <v>30</v>
      </c>
      <c r="S434">
        <v>30</v>
      </c>
      <c r="T434">
        <v>11</v>
      </c>
      <c r="U434" t="s">
        <v>35</v>
      </c>
      <c r="V434">
        <f t="shared" si="36"/>
        <v>0.7441860465116279</v>
      </c>
      <c r="W434">
        <f t="shared" si="37"/>
        <v>2</v>
      </c>
      <c r="X434">
        <f t="shared" si="38"/>
        <v>13</v>
      </c>
      <c r="Y434">
        <f t="shared" si="39"/>
        <v>0</v>
      </c>
      <c r="Z434" s="7" t="str">
        <f t="shared" si="40"/>
        <v>Low Sales</v>
      </c>
      <c r="AA434" s="7" t="str">
        <f t="shared" si="41"/>
        <v>High Margin</v>
      </c>
    </row>
    <row r="435" spans="1:27" x14ac:dyDescent="0.25">
      <c r="A435" t="s">
        <v>78</v>
      </c>
      <c r="B435">
        <v>34</v>
      </c>
      <c r="C435">
        <v>-23</v>
      </c>
      <c r="D435" s="1">
        <v>41615</v>
      </c>
      <c r="E435">
        <v>240</v>
      </c>
      <c r="F435">
        <v>43</v>
      </c>
      <c r="G435" t="s">
        <v>39</v>
      </c>
      <c r="H435" t="s">
        <v>31</v>
      </c>
      <c r="I435">
        <v>12</v>
      </c>
      <c r="J435" t="s">
        <v>23</v>
      </c>
      <c r="K435" t="s">
        <v>24</v>
      </c>
      <c r="L435" t="s">
        <v>25</v>
      </c>
      <c r="M435">
        <v>-3</v>
      </c>
      <c r="N435">
        <v>77</v>
      </c>
      <c r="O435" t="s">
        <v>51</v>
      </c>
      <c r="P435">
        <v>10</v>
      </c>
      <c r="Q435">
        <v>30</v>
      </c>
      <c r="R435">
        <v>20</v>
      </c>
      <c r="S435">
        <v>40</v>
      </c>
      <c r="T435">
        <v>46</v>
      </c>
      <c r="U435" t="s">
        <v>27</v>
      </c>
      <c r="V435">
        <f t="shared" si="36"/>
        <v>-3.896103896103896E-2</v>
      </c>
      <c r="W435">
        <f t="shared" si="37"/>
        <v>-23</v>
      </c>
      <c r="X435">
        <f t="shared" si="38"/>
        <v>37</v>
      </c>
      <c r="Y435">
        <f t="shared" si="39"/>
        <v>0.44155844155844154</v>
      </c>
      <c r="Z435" s="7" t="str">
        <f t="shared" si="40"/>
        <v>Low Sales</v>
      </c>
      <c r="AA435" s="7" t="str">
        <f t="shared" si="41"/>
        <v>Low Margin</v>
      </c>
    </row>
    <row r="436" spans="1:27" x14ac:dyDescent="0.25">
      <c r="A436" t="s">
        <v>107</v>
      </c>
      <c r="B436">
        <v>21</v>
      </c>
      <c r="C436">
        <v>-16</v>
      </c>
      <c r="D436" s="1">
        <v>41616</v>
      </c>
      <c r="E436">
        <v>846</v>
      </c>
      <c r="F436">
        <v>31</v>
      </c>
      <c r="G436" t="s">
        <v>39</v>
      </c>
      <c r="H436" t="s">
        <v>29</v>
      </c>
      <c r="I436">
        <v>5</v>
      </c>
      <c r="J436" t="s">
        <v>23</v>
      </c>
      <c r="K436" t="s">
        <v>24</v>
      </c>
      <c r="L436" t="s">
        <v>57</v>
      </c>
      <c r="M436">
        <v>14</v>
      </c>
      <c r="N436">
        <v>52</v>
      </c>
      <c r="O436" t="s">
        <v>64</v>
      </c>
      <c r="P436">
        <v>10</v>
      </c>
      <c r="Q436">
        <v>30</v>
      </c>
      <c r="R436">
        <v>30</v>
      </c>
      <c r="S436">
        <v>40</v>
      </c>
      <c r="T436">
        <v>17</v>
      </c>
      <c r="U436" t="s">
        <v>27</v>
      </c>
      <c r="V436">
        <f t="shared" si="36"/>
        <v>0.26923076923076922</v>
      </c>
      <c r="W436">
        <f t="shared" si="37"/>
        <v>-16</v>
      </c>
      <c r="X436">
        <f t="shared" si="38"/>
        <v>12</v>
      </c>
      <c r="Y436">
        <f t="shared" si="39"/>
        <v>0.40384615384615385</v>
      </c>
      <c r="Z436" s="7" t="str">
        <f t="shared" si="40"/>
        <v>Low Sales</v>
      </c>
      <c r="AA436" s="7" t="str">
        <f t="shared" si="41"/>
        <v>High Margin</v>
      </c>
    </row>
    <row r="437" spans="1:27" x14ac:dyDescent="0.25">
      <c r="A437" t="s">
        <v>85</v>
      </c>
      <c r="B437">
        <v>25</v>
      </c>
      <c r="C437">
        <v>-13</v>
      </c>
      <c r="D437" s="1">
        <v>41617</v>
      </c>
      <c r="E437">
        <v>820</v>
      </c>
      <c r="F437">
        <v>36</v>
      </c>
      <c r="G437" t="s">
        <v>39</v>
      </c>
      <c r="H437" t="s">
        <v>36</v>
      </c>
      <c r="I437">
        <v>7</v>
      </c>
      <c r="J437" t="s">
        <v>23</v>
      </c>
      <c r="K437" t="s">
        <v>24</v>
      </c>
      <c r="L437" t="s">
        <v>57</v>
      </c>
      <c r="M437">
        <v>17</v>
      </c>
      <c r="N437">
        <v>61</v>
      </c>
      <c r="O437" t="s">
        <v>56</v>
      </c>
      <c r="P437">
        <v>10</v>
      </c>
      <c r="Q437">
        <v>30</v>
      </c>
      <c r="R437">
        <v>30</v>
      </c>
      <c r="S437">
        <v>40</v>
      </c>
      <c r="T437">
        <v>19</v>
      </c>
      <c r="U437" t="s">
        <v>27</v>
      </c>
      <c r="V437">
        <f t="shared" si="36"/>
        <v>0.27868852459016391</v>
      </c>
      <c r="W437">
        <f t="shared" si="37"/>
        <v>-13</v>
      </c>
      <c r="X437">
        <f t="shared" si="38"/>
        <v>21</v>
      </c>
      <c r="Y437">
        <f t="shared" si="39"/>
        <v>0.4098360655737705</v>
      </c>
      <c r="Z437" s="7" t="str">
        <f t="shared" si="40"/>
        <v>Low Sales</v>
      </c>
      <c r="AA437" s="7" t="str">
        <f t="shared" si="41"/>
        <v>High Margin</v>
      </c>
    </row>
    <row r="438" spans="1:27" x14ac:dyDescent="0.25">
      <c r="A438" t="s">
        <v>94</v>
      </c>
      <c r="B438">
        <v>34</v>
      </c>
      <c r="C438">
        <v>-13</v>
      </c>
      <c r="D438" s="1">
        <v>41618</v>
      </c>
      <c r="E438">
        <v>240</v>
      </c>
      <c r="F438">
        <v>43</v>
      </c>
      <c r="G438" t="s">
        <v>39</v>
      </c>
      <c r="H438" t="s">
        <v>22</v>
      </c>
      <c r="I438">
        <v>12</v>
      </c>
      <c r="J438" t="s">
        <v>23</v>
      </c>
      <c r="K438" t="s">
        <v>32</v>
      </c>
      <c r="L438" t="s">
        <v>37</v>
      </c>
      <c r="M438">
        <v>-3</v>
      </c>
      <c r="N438">
        <v>77</v>
      </c>
      <c r="O438" t="s">
        <v>58</v>
      </c>
      <c r="P438">
        <v>10</v>
      </c>
      <c r="Q438">
        <v>30</v>
      </c>
      <c r="R438">
        <v>10</v>
      </c>
      <c r="S438">
        <v>40</v>
      </c>
      <c r="T438">
        <v>46</v>
      </c>
      <c r="U438" t="s">
        <v>35</v>
      </c>
      <c r="V438">
        <f t="shared" si="36"/>
        <v>-3.896103896103896E-2</v>
      </c>
      <c r="W438">
        <f t="shared" si="37"/>
        <v>-13</v>
      </c>
      <c r="X438">
        <f t="shared" si="38"/>
        <v>37</v>
      </c>
      <c r="Y438">
        <f t="shared" si="39"/>
        <v>0.44155844155844154</v>
      </c>
      <c r="Z438" s="7" t="str">
        <f t="shared" si="40"/>
        <v>Low Sales</v>
      </c>
      <c r="AA438" s="7" t="str">
        <f t="shared" si="41"/>
        <v>Low Margin</v>
      </c>
    </row>
    <row r="439" spans="1:27" x14ac:dyDescent="0.25">
      <c r="A439" t="s">
        <v>78</v>
      </c>
      <c r="B439">
        <v>21</v>
      </c>
      <c r="C439">
        <v>-16</v>
      </c>
      <c r="D439" s="1">
        <v>41619</v>
      </c>
      <c r="E439">
        <v>846</v>
      </c>
      <c r="F439">
        <v>31</v>
      </c>
      <c r="G439" t="s">
        <v>39</v>
      </c>
      <c r="H439" t="s">
        <v>31</v>
      </c>
      <c r="I439">
        <v>5</v>
      </c>
      <c r="J439" t="s">
        <v>23</v>
      </c>
      <c r="K439" t="s">
        <v>32</v>
      </c>
      <c r="L439" t="s">
        <v>33</v>
      </c>
      <c r="M439">
        <v>14</v>
      </c>
      <c r="N439">
        <v>52</v>
      </c>
      <c r="O439" t="s">
        <v>51</v>
      </c>
      <c r="P439">
        <v>20</v>
      </c>
      <c r="Q439">
        <v>30</v>
      </c>
      <c r="R439">
        <v>30</v>
      </c>
      <c r="S439">
        <v>50</v>
      </c>
      <c r="T439">
        <v>17</v>
      </c>
      <c r="U439" t="s">
        <v>35</v>
      </c>
      <c r="V439">
        <f t="shared" si="36"/>
        <v>0.26923076923076922</v>
      </c>
      <c r="W439">
        <f t="shared" si="37"/>
        <v>-16</v>
      </c>
      <c r="X439">
        <f t="shared" si="38"/>
        <v>2</v>
      </c>
      <c r="Y439">
        <f t="shared" si="39"/>
        <v>0.40384615384615385</v>
      </c>
      <c r="Z439" s="7" t="str">
        <f t="shared" si="40"/>
        <v>Low Sales</v>
      </c>
      <c r="AA439" s="7" t="str">
        <f t="shared" si="41"/>
        <v>High Margin</v>
      </c>
    </row>
    <row r="440" spans="1:27" x14ac:dyDescent="0.25">
      <c r="A440" t="s">
        <v>77</v>
      </c>
      <c r="B440">
        <v>39</v>
      </c>
      <c r="C440">
        <v>-6</v>
      </c>
      <c r="D440" s="1">
        <v>41620</v>
      </c>
      <c r="E440">
        <v>244</v>
      </c>
      <c r="F440">
        <v>53</v>
      </c>
      <c r="G440" t="s">
        <v>39</v>
      </c>
      <c r="H440" t="s">
        <v>36</v>
      </c>
      <c r="I440">
        <v>12</v>
      </c>
      <c r="J440" t="s">
        <v>23</v>
      </c>
      <c r="K440" t="s">
        <v>32</v>
      </c>
      <c r="L440" t="s">
        <v>61</v>
      </c>
      <c r="M440">
        <v>14</v>
      </c>
      <c r="N440">
        <v>92</v>
      </c>
      <c r="O440" t="s">
        <v>49</v>
      </c>
      <c r="P440">
        <v>10</v>
      </c>
      <c r="Q440">
        <v>30</v>
      </c>
      <c r="R440">
        <v>20</v>
      </c>
      <c r="S440">
        <v>40</v>
      </c>
      <c r="T440">
        <v>39</v>
      </c>
      <c r="U440" t="s">
        <v>35</v>
      </c>
      <c r="V440">
        <f t="shared" si="36"/>
        <v>0.15217391304347827</v>
      </c>
      <c r="W440">
        <f t="shared" si="37"/>
        <v>-6</v>
      </c>
      <c r="X440">
        <f t="shared" si="38"/>
        <v>52</v>
      </c>
      <c r="Y440">
        <f t="shared" si="39"/>
        <v>0.42391304347826086</v>
      </c>
      <c r="Z440" s="7" t="str">
        <f t="shared" si="40"/>
        <v>Low Sales</v>
      </c>
      <c r="AA440" s="7" t="str">
        <f t="shared" si="41"/>
        <v>High Margin</v>
      </c>
    </row>
    <row r="441" spans="1:27" x14ac:dyDescent="0.25">
      <c r="A441" t="s">
        <v>146</v>
      </c>
      <c r="B441">
        <v>46</v>
      </c>
      <c r="C441">
        <v>1</v>
      </c>
      <c r="D441" s="1">
        <v>41621</v>
      </c>
      <c r="E441">
        <v>449</v>
      </c>
      <c r="F441">
        <v>67</v>
      </c>
      <c r="G441" t="s">
        <v>39</v>
      </c>
      <c r="H441" t="s">
        <v>36</v>
      </c>
      <c r="I441">
        <v>14</v>
      </c>
      <c r="J441" t="s">
        <v>23</v>
      </c>
      <c r="K441" t="s">
        <v>32</v>
      </c>
      <c r="L441" t="s">
        <v>61</v>
      </c>
      <c r="M441">
        <v>31</v>
      </c>
      <c r="N441">
        <v>113</v>
      </c>
      <c r="O441" t="s">
        <v>60</v>
      </c>
      <c r="P441">
        <v>20</v>
      </c>
      <c r="Q441">
        <v>30</v>
      </c>
      <c r="R441">
        <v>30</v>
      </c>
      <c r="S441">
        <v>50</v>
      </c>
      <c r="T441">
        <v>36</v>
      </c>
      <c r="U441" t="s">
        <v>35</v>
      </c>
      <c r="V441">
        <f t="shared" si="36"/>
        <v>0.27433628318584069</v>
      </c>
      <c r="W441">
        <f t="shared" si="37"/>
        <v>1</v>
      </c>
      <c r="X441">
        <f t="shared" si="38"/>
        <v>63</v>
      </c>
      <c r="Y441">
        <f t="shared" si="39"/>
        <v>0.40707964601769914</v>
      </c>
      <c r="Z441" s="7" t="str">
        <f t="shared" si="40"/>
        <v>Low Sales</v>
      </c>
      <c r="AA441" s="7" t="str">
        <f t="shared" si="41"/>
        <v>High Margin</v>
      </c>
    </row>
    <row r="442" spans="1:27" x14ac:dyDescent="0.25">
      <c r="A442" t="s">
        <v>76</v>
      </c>
      <c r="B442">
        <v>22</v>
      </c>
      <c r="C442">
        <v>-3</v>
      </c>
      <c r="D442" s="1">
        <v>41622</v>
      </c>
      <c r="E442">
        <v>802</v>
      </c>
      <c r="F442">
        <v>34</v>
      </c>
      <c r="G442" t="s">
        <v>39</v>
      </c>
      <c r="H442" t="s">
        <v>36</v>
      </c>
      <c r="I442">
        <v>6</v>
      </c>
      <c r="J442" t="s">
        <v>40</v>
      </c>
      <c r="K442" t="s">
        <v>41</v>
      </c>
      <c r="L442" t="s">
        <v>42</v>
      </c>
      <c r="M442">
        <v>17</v>
      </c>
      <c r="N442">
        <v>56</v>
      </c>
      <c r="O442" t="s">
        <v>48</v>
      </c>
      <c r="P442">
        <v>20</v>
      </c>
      <c r="Q442">
        <v>30</v>
      </c>
      <c r="R442">
        <v>20</v>
      </c>
      <c r="S442">
        <v>50</v>
      </c>
      <c r="T442">
        <v>17</v>
      </c>
      <c r="U442" t="s">
        <v>27</v>
      </c>
      <c r="V442">
        <f t="shared" si="36"/>
        <v>0.30357142857142855</v>
      </c>
      <c r="W442">
        <f t="shared" si="37"/>
        <v>-3</v>
      </c>
      <c r="X442">
        <f t="shared" si="38"/>
        <v>6</v>
      </c>
      <c r="Y442">
        <f t="shared" si="39"/>
        <v>0.39285714285714285</v>
      </c>
      <c r="Z442" s="7" t="str">
        <f t="shared" si="40"/>
        <v>Low Sales</v>
      </c>
      <c r="AA442" s="7" t="str">
        <f t="shared" si="41"/>
        <v>High Margin</v>
      </c>
    </row>
    <row r="443" spans="1:27" x14ac:dyDescent="0.25">
      <c r="A443" t="s">
        <v>107</v>
      </c>
      <c r="B443">
        <v>34</v>
      </c>
      <c r="C443">
        <v>6</v>
      </c>
      <c r="D443" s="1">
        <v>41623</v>
      </c>
      <c r="E443">
        <v>-522</v>
      </c>
      <c r="F443">
        <v>42</v>
      </c>
      <c r="G443" t="s">
        <v>39</v>
      </c>
      <c r="H443" t="s">
        <v>29</v>
      </c>
      <c r="I443">
        <v>12</v>
      </c>
      <c r="J443" t="s">
        <v>40</v>
      </c>
      <c r="K443" t="s">
        <v>41</v>
      </c>
      <c r="L443" t="s">
        <v>54</v>
      </c>
      <c r="M443">
        <v>-4</v>
      </c>
      <c r="N443">
        <v>76</v>
      </c>
      <c r="O443" t="s">
        <v>64</v>
      </c>
      <c r="P443">
        <v>20</v>
      </c>
      <c r="Q443">
        <v>30</v>
      </c>
      <c r="R443">
        <v>-10</v>
      </c>
      <c r="S443">
        <v>50</v>
      </c>
      <c r="T443">
        <v>46</v>
      </c>
      <c r="U443" t="s">
        <v>35</v>
      </c>
      <c r="V443">
        <f t="shared" si="36"/>
        <v>-5.2631578947368418E-2</v>
      </c>
      <c r="W443">
        <f t="shared" si="37"/>
        <v>6</v>
      </c>
      <c r="X443">
        <f t="shared" si="38"/>
        <v>26</v>
      </c>
      <c r="Y443">
        <f t="shared" si="39"/>
        <v>0.44736842105263158</v>
      </c>
      <c r="Z443" s="7" t="str">
        <f t="shared" si="40"/>
        <v>Low Sales</v>
      </c>
      <c r="AA443" s="7" t="str">
        <f t="shared" si="41"/>
        <v>Low Margin</v>
      </c>
    </row>
    <row r="444" spans="1:27" x14ac:dyDescent="0.25">
      <c r="A444" t="s">
        <v>124</v>
      </c>
      <c r="B444">
        <v>22</v>
      </c>
      <c r="C444">
        <v>-9</v>
      </c>
      <c r="D444" s="1">
        <v>41624</v>
      </c>
      <c r="E444">
        <v>570</v>
      </c>
      <c r="F444">
        <v>30</v>
      </c>
      <c r="G444" t="s">
        <v>39</v>
      </c>
      <c r="H444" t="s">
        <v>36</v>
      </c>
      <c r="I444">
        <v>7</v>
      </c>
      <c r="J444" t="s">
        <v>40</v>
      </c>
      <c r="K444" t="s">
        <v>41</v>
      </c>
      <c r="L444" t="s">
        <v>54</v>
      </c>
      <c r="M444">
        <v>11</v>
      </c>
      <c r="N444">
        <v>52</v>
      </c>
      <c r="O444" t="s">
        <v>60</v>
      </c>
      <c r="P444">
        <v>20</v>
      </c>
      <c r="Q444">
        <v>30</v>
      </c>
      <c r="R444">
        <v>20</v>
      </c>
      <c r="S444">
        <v>50</v>
      </c>
      <c r="T444">
        <v>19</v>
      </c>
      <c r="U444" t="s">
        <v>35</v>
      </c>
      <c r="V444">
        <f t="shared" si="36"/>
        <v>0.21153846153846154</v>
      </c>
      <c r="W444">
        <f t="shared" si="37"/>
        <v>-9</v>
      </c>
      <c r="X444">
        <f t="shared" si="38"/>
        <v>2</v>
      </c>
      <c r="Y444">
        <f t="shared" si="39"/>
        <v>0.42307692307692307</v>
      </c>
      <c r="Z444" s="7" t="str">
        <f t="shared" si="40"/>
        <v>Low Sales</v>
      </c>
      <c r="AA444" s="7" t="str">
        <f t="shared" si="41"/>
        <v>High Margin</v>
      </c>
    </row>
    <row r="445" spans="1:27" x14ac:dyDescent="0.25">
      <c r="A445" t="s">
        <v>78</v>
      </c>
      <c r="B445">
        <v>33</v>
      </c>
      <c r="C445">
        <v>-4</v>
      </c>
      <c r="D445" s="1">
        <v>41625</v>
      </c>
      <c r="E445">
        <v>243</v>
      </c>
      <c r="F445">
        <v>41</v>
      </c>
      <c r="G445" t="s">
        <v>39</v>
      </c>
      <c r="H445" t="s">
        <v>31</v>
      </c>
      <c r="I445">
        <v>12</v>
      </c>
      <c r="J445" t="s">
        <v>23</v>
      </c>
      <c r="K445" t="s">
        <v>24</v>
      </c>
      <c r="L445" t="s">
        <v>25</v>
      </c>
      <c r="M445">
        <v>-4</v>
      </c>
      <c r="N445">
        <v>74</v>
      </c>
      <c r="O445" t="s">
        <v>51</v>
      </c>
      <c r="P445">
        <v>20</v>
      </c>
      <c r="Q445">
        <v>30</v>
      </c>
      <c r="R445">
        <v>0</v>
      </c>
      <c r="S445">
        <v>50</v>
      </c>
      <c r="T445">
        <v>45</v>
      </c>
      <c r="U445" t="s">
        <v>27</v>
      </c>
      <c r="V445">
        <f t="shared" si="36"/>
        <v>-5.4054054054054057E-2</v>
      </c>
      <c r="W445">
        <f t="shared" si="37"/>
        <v>-4</v>
      </c>
      <c r="X445">
        <f t="shared" si="38"/>
        <v>24</v>
      </c>
      <c r="Y445">
        <f t="shared" si="39"/>
        <v>0.44594594594594594</v>
      </c>
      <c r="Z445" s="7" t="str">
        <f t="shared" si="40"/>
        <v>Low Sales</v>
      </c>
      <c r="AA445" s="7" t="str">
        <f t="shared" si="41"/>
        <v>Low Margin</v>
      </c>
    </row>
    <row r="446" spans="1:27" x14ac:dyDescent="0.25">
      <c r="A446" t="s">
        <v>107</v>
      </c>
      <c r="B446">
        <v>29</v>
      </c>
      <c r="C446">
        <v>-5</v>
      </c>
      <c r="D446" s="1">
        <v>41626</v>
      </c>
      <c r="E446">
        <v>1003</v>
      </c>
      <c r="F446">
        <v>35</v>
      </c>
      <c r="G446" t="s">
        <v>39</v>
      </c>
      <c r="H446" t="s">
        <v>29</v>
      </c>
      <c r="I446">
        <v>8</v>
      </c>
      <c r="J446" t="s">
        <v>23</v>
      </c>
      <c r="K446" t="s">
        <v>24</v>
      </c>
      <c r="L446" t="s">
        <v>25</v>
      </c>
      <c r="M446">
        <v>5</v>
      </c>
      <c r="N446">
        <v>64</v>
      </c>
      <c r="O446" t="s">
        <v>64</v>
      </c>
      <c r="P446">
        <v>20</v>
      </c>
      <c r="Q446">
        <v>30</v>
      </c>
      <c r="R446">
        <v>10</v>
      </c>
      <c r="S446">
        <v>50</v>
      </c>
      <c r="T446">
        <v>30</v>
      </c>
      <c r="U446" t="s">
        <v>27</v>
      </c>
      <c r="V446">
        <f t="shared" si="36"/>
        <v>7.8125E-2</v>
      </c>
      <c r="W446">
        <f t="shared" si="37"/>
        <v>-5</v>
      </c>
      <c r="X446">
        <f t="shared" si="38"/>
        <v>14</v>
      </c>
      <c r="Y446">
        <f t="shared" si="39"/>
        <v>0.453125</v>
      </c>
      <c r="Z446" s="7" t="str">
        <f t="shared" si="40"/>
        <v>Low Sales</v>
      </c>
      <c r="AA446" s="7" t="str">
        <f t="shared" si="41"/>
        <v>Low Margin</v>
      </c>
    </row>
    <row r="447" spans="1:27" x14ac:dyDescent="0.25">
      <c r="A447" t="s">
        <v>80</v>
      </c>
      <c r="B447">
        <v>25</v>
      </c>
      <c r="C447">
        <v>-1</v>
      </c>
      <c r="D447" s="1">
        <v>41627</v>
      </c>
      <c r="E447">
        <v>823</v>
      </c>
      <c r="F447">
        <v>38</v>
      </c>
      <c r="G447" t="s">
        <v>39</v>
      </c>
      <c r="H447" t="s">
        <v>36</v>
      </c>
      <c r="I447">
        <v>7</v>
      </c>
      <c r="J447" t="s">
        <v>23</v>
      </c>
      <c r="K447" t="s">
        <v>24</v>
      </c>
      <c r="L447" t="s">
        <v>57</v>
      </c>
      <c r="M447">
        <v>19</v>
      </c>
      <c r="N447">
        <v>63</v>
      </c>
      <c r="O447" t="s">
        <v>56</v>
      </c>
      <c r="P447">
        <v>20</v>
      </c>
      <c r="Q447">
        <v>30</v>
      </c>
      <c r="R447">
        <v>20</v>
      </c>
      <c r="S447">
        <v>50</v>
      </c>
      <c r="T447">
        <v>19</v>
      </c>
      <c r="U447" t="s">
        <v>27</v>
      </c>
      <c r="V447">
        <f t="shared" si="36"/>
        <v>0.30158730158730157</v>
      </c>
      <c r="W447">
        <f t="shared" si="37"/>
        <v>-1</v>
      </c>
      <c r="X447">
        <f t="shared" si="38"/>
        <v>13</v>
      </c>
      <c r="Y447">
        <f t="shared" si="39"/>
        <v>0.3968253968253968</v>
      </c>
      <c r="Z447" s="7" t="str">
        <f t="shared" si="40"/>
        <v>Low Sales</v>
      </c>
      <c r="AA447" s="7" t="str">
        <f t="shared" si="41"/>
        <v>High Margin</v>
      </c>
    </row>
    <row r="448" spans="1:27" x14ac:dyDescent="0.25">
      <c r="A448" t="s">
        <v>78</v>
      </c>
      <c r="B448">
        <v>15</v>
      </c>
      <c r="C448">
        <v>-12</v>
      </c>
      <c r="D448" s="1">
        <v>41628</v>
      </c>
      <c r="E448">
        <v>848</v>
      </c>
      <c r="F448">
        <v>24</v>
      </c>
      <c r="G448" t="s">
        <v>39</v>
      </c>
      <c r="H448" t="s">
        <v>31</v>
      </c>
      <c r="I448">
        <v>4</v>
      </c>
      <c r="J448" t="s">
        <v>23</v>
      </c>
      <c r="K448" t="s">
        <v>32</v>
      </c>
      <c r="L448" t="s">
        <v>33</v>
      </c>
      <c r="M448">
        <v>8</v>
      </c>
      <c r="N448">
        <v>39</v>
      </c>
      <c r="O448" t="s">
        <v>51</v>
      </c>
      <c r="P448">
        <v>10</v>
      </c>
      <c r="Q448">
        <v>30</v>
      </c>
      <c r="R448">
        <v>20</v>
      </c>
      <c r="S448">
        <v>40</v>
      </c>
      <c r="T448">
        <v>16</v>
      </c>
      <c r="U448" t="s">
        <v>35</v>
      </c>
      <c r="V448">
        <f t="shared" si="36"/>
        <v>0.20512820512820512</v>
      </c>
      <c r="W448">
        <f t="shared" si="37"/>
        <v>-12</v>
      </c>
      <c r="X448">
        <f t="shared" si="38"/>
        <v>-1</v>
      </c>
      <c r="Y448">
        <f t="shared" si="39"/>
        <v>0.38461538461538464</v>
      </c>
      <c r="Z448" s="7" t="str">
        <f t="shared" si="40"/>
        <v>Low Sales</v>
      </c>
      <c r="AA448" s="7" t="str">
        <f t="shared" si="41"/>
        <v>High Margin</v>
      </c>
    </row>
    <row r="449" spans="1:27" x14ac:dyDescent="0.25">
      <c r="A449" t="s">
        <v>117</v>
      </c>
      <c r="B449">
        <v>32</v>
      </c>
      <c r="C449">
        <v>-2</v>
      </c>
      <c r="D449" s="1">
        <v>41629</v>
      </c>
      <c r="E449">
        <v>482</v>
      </c>
      <c r="F449">
        <v>48</v>
      </c>
      <c r="G449" t="s">
        <v>39</v>
      </c>
      <c r="H449" t="s">
        <v>36</v>
      </c>
      <c r="I449">
        <v>8</v>
      </c>
      <c r="J449" t="s">
        <v>23</v>
      </c>
      <c r="K449" t="s">
        <v>32</v>
      </c>
      <c r="L449" t="s">
        <v>33</v>
      </c>
      <c r="M449">
        <v>28</v>
      </c>
      <c r="N449">
        <v>80</v>
      </c>
      <c r="O449" t="s">
        <v>56</v>
      </c>
      <c r="P449">
        <v>20</v>
      </c>
      <c r="Q449">
        <v>30</v>
      </c>
      <c r="R449">
        <v>30</v>
      </c>
      <c r="S449">
        <v>50</v>
      </c>
      <c r="T449">
        <v>20</v>
      </c>
      <c r="U449" t="s">
        <v>35</v>
      </c>
      <c r="V449">
        <f t="shared" si="36"/>
        <v>0.35</v>
      </c>
      <c r="W449">
        <f t="shared" si="37"/>
        <v>-2</v>
      </c>
      <c r="X449">
        <f t="shared" si="38"/>
        <v>30</v>
      </c>
      <c r="Y449">
        <f t="shared" si="39"/>
        <v>0.4</v>
      </c>
      <c r="Z449" s="7" t="str">
        <f t="shared" si="40"/>
        <v>Low Sales</v>
      </c>
      <c r="AA449" s="7" t="str">
        <f t="shared" si="41"/>
        <v>High Margin</v>
      </c>
    </row>
    <row r="450" spans="1:27" x14ac:dyDescent="0.25">
      <c r="A450" t="s">
        <v>77</v>
      </c>
      <c r="B450">
        <v>35</v>
      </c>
      <c r="C450">
        <v>-1</v>
      </c>
      <c r="D450" s="1">
        <v>41630</v>
      </c>
      <c r="E450">
        <v>248</v>
      </c>
      <c r="F450">
        <v>47</v>
      </c>
      <c r="G450" t="s">
        <v>39</v>
      </c>
      <c r="H450" t="s">
        <v>36</v>
      </c>
      <c r="I450">
        <v>11</v>
      </c>
      <c r="J450" t="s">
        <v>23</v>
      </c>
      <c r="K450" t="s">
        <v>32</v>
      </c>
      <c r="L450" t="s">
        <v>61</v>
      </c>
      <c r="M450">
        <v>9</v>
      </c>
      <c r="N450">
        <v>82</v>
      </c>
      <c r="O450" t="s">
        <v>49</v>
      </c>
      <c r="P450">
        <v>20</v>
      </c>
      <c r="Q450">
        <v>30</v>
      </c>
      <c r="R450">
        <v>10</v>
      </c>
      <c r="S450">
        <v>50</v>
      </c>
      <c r="T450">
        <v>38</v>
      </c>
      <c r="U450" t="s">
        <v>35</v>
      </c>
      <c r="V450">
        <f t="shared" ref="V450:V513" si="42">M450/N450</f>
        <v>0.10975609756097561</v>
      </c>
      <c r="W450">
        <f t="shared" ref="W450:W513" si="43">M450-R450</f>
        <v>-1</v>
      </c>
      <c r="X450">
        <f t="shared" ref="X450:X513" si="44">N450-S450</f>
        <v>32</v>
      </c>
      <c r="Y450">
        <f t="shared" ref="Y450:Y513" si="45">B450/N450</f>
        <v>0.42682926829268292</v>
      </c>
      <c r="Z450" s="7" t="str">
        <f t="shared" ref="Z450:Z513" si="46">IF(N450&gt;=AVERAGE(N450:N1511),"High Sales","Low Sales")</f>
        <v>Low Sales</v>
      </c>
      <c r="AA450" s="7" t="str">
        <f t="shared" ref="AA450:AA513" si="47">IF(V450&gt;=AVERAGE(V450:V1511), "High Margin", "Low Margin")</f>
        <v>High Margin</v>
      </c>
    </row>
    <row r="451" spans="1:27" x14ac:dyDescent="0.25">
      <c r="A451" t="s">
        <v>83</v>
      </c>
      <c r="B451">
        <v>34</v>
      </c>
      <c r="C451">
        <v>-3</v>
      </c>
      <c r="D451" s="1">
        <v>41631</v>
      </c>
      <c r="E451">
        <v>211</v>
      </c>
      <c r="F451">
        <v>42</v>
      </c>
      <c r="G451" t="s">
        <v>39</v>
      </c>
      <c r="H451" t="s">
        <v>36</v>
      </c>
      <c r="I451">
        <v>12</v>
      </c>
      <c r="J451" t="s">
        <v>23</v>
      </c>
      <c r="K451" t="s">
        <v>32</v>
      </c>
      <c r="L451" t="s">
        <v>37</v>
      </c>
      <c r="M451">
        <v>-3</v>
      </c>
      <c r="N451">
        <v>76</v>
      </c>
      <c r="O451" t="s">
        <v>49</v>
      </c>
      <c r="P451">
        <v>20</v>
      </c>
      <c r="Q451">
        <v>30</v>
      </c>
      <c r="R451">
        <v>0</v>
      </c>
      <c r="S451">
        <v>50</v>
      </c>
      <c r="T451">
        <v>45</v>
      </c>
      <c r="U451" t="s">
        <v>35</v>
      </c>
      <c r="V451">
        <f t="shared" si="42"/>
        <v>-3.9473684210526314E-2</v>
      </c>
      <c r="W451">
        <f t="shared" si="43"/>
        <v>-3</v>
      </c>
      <c r="X451">
        <f t="shared" si="44"/>
        <v>26</v>
      </c>
      <c r="Y451">
        <f t="shared" si="45"/>
        <v>0.44736842105263158</v>
      </c>
      <c r="Z451" s="7" t="str">
        <f t="shared" si="46"/>
        <v>Low Sales</v>
      </c>
      <c r="AA451" s="7" t="str">
        <f t="shared" si="47"/>
        <v>Low Margin</v>
      </c>
    </row>
    <row r="452" spans="1:27" x14ac:dyDescent="0.25">
      <c r="A452" t="s">
        <v>173</v>
      </c>
      <c r="B452">
        <v>24</v>
      </c>
      <c r="C452">
        <v>-8</v>
      </c>
      <c r="D452" s="1">
        <v>41632</v>
      </c>
      <c r="E452">
        <v>567</v>
      </c>
      <c r="F452">
        <v>32</v>
      </c>
      <c r="G452" t="s">
        <v>21</v>
      </c>
      <c r="H452" t="s">
        <v>31</v>
      </c>
      <c r="I452">
        <v>7</v>
      </c>
      <c r="J452" t="s">
        <v>23</v>
      </c>
      <c r="K452" t="s">
        <v>24</v>
      </c>
      <c r="L452" t="s">
        <v>57</v>
      </c>
      <c r="M452">
        <v>12</v>
      </c>
      <c r="N452">
        <v>56</v>
      </c>
      <c r="O452" t="s">
        <v>34</v>
      </c>
      <c r="P452">
        <v>10</v>
      </c>
      <c r="Q452">
        <v>30</v>
      </c>
      <c r="R452">
        <v>20</v>
      </c>
      <c r="S452">
        <v>40</v>
      </c>
      <c r="T452">
        <v>20</v>
      </c>
      <c r="U452" t="s">
        <v>27</v>
      </c>
      <c r="V452">
        <f t="shared" si="42"/>
        <v>0.21428571428571427</v>
      </c>
      <c r="W452">
        <f t="shared" si="43"/>
        <v>-8</v>
      </c>
      <c r="X452">
        <f t="shared" si="44"/>
        <v>16</v>
      </c>
      <c r="Y452">
        <f t="shared" si="45"/>
        <v>0.42857142857142855</v>
      </c>
      <c r="Z452" s="7" t="str">
        <f t="shared" si="46"/>
        <v>Low Sales</v>
      </c>
      <c r="AA452" s="7" t="str">
        <f t="shared" si="47"/>
        <v>High Margin</v>
      </c>
    </row>
    <row r="453" spans="1:27" x14ac:dyDescent="0.25">
      <c r="A453" t="s">
        <v>107</v>
      </c>
      <c r="B453">
        <v>38</v>
      </c>
      <c r="C453">
        <v>12</v>
      </c>
      <c r="D453" s="1">
        <v>41633</v>
      </c>
      <c r="E453">
        <v>256</v>
      </c>
      <c r="F453">
        <v>51</v>
      </c>
      <c r="G453" t="s">
        <v>39</v>
      </c>
      <c r="H453" t="s">
        <v>29</v>
      </c>
      <c r="I453">
        <v>12</v>
      </c>
      <c r="J453" t="s">
        <v>40</v>
      </c>
      <c r="K453" t="s">
        <v>41</v>
      </c>
      <c r="L453" t="s">
        <v>42</v>
      </c>
      <c r="M453">
        <v>12</v>
      </c>
      <c r="N453">
        <v>89</v>
      </c>
      <c r="O453" t="s">
        <v>64</v>
      </c>
      <c r="P453">
        <v>30</v>
      </c>
      <c r="Q453">
        <v>30</v>
      </c>
      <c r="R453">
        <v>0</v>
      </c>
      <c r="S453">
        <v>60</v>
      </c>
      <c r="T453">
        <v>39</v>
      </c>
      <c r="U453" t="s">
        <v>27</v>
      </c>
      <c r="V453">
        <f t="shared" si="42"/>
        <v>0.1348314606741573</v>
      </c>
      <c r="W453">
        <f t="shared" si="43"/>
        <v>12</v>
      </c>
      <c r="X453">
        <f t="shared" si="44"/>
        <v>29</v>
      </c>
      <c r="Y453">
        <f t="shared" si="45"/>
        <v>0.42696629213483145</v>
      </c>
      <c r="Z453" s="7" t="str">
        <f t="shared" si="46"/>
        <v>Low Sales</v>
      </c>
      <c r="AA453" s="7" t="str">
        <f t="shared" si="47"/>
        <v>High Margin</v>
      </c>
    </row>
    <row r="454" spans="1:27" x14ac:dyDescent="0.25">
      <c r="A454" t="s">
        <v>116</v>
      </c>
      <c r="B454">
        <v>23</v>
      </c>
      <c r="C454">
        <v>-3</v>
      </c>
      <c r="D454" s="1">
        <v>41634</v>
      </c>
      <c r="E454">
        <v>807</v>
      </c>
      <c r="F454">
        <v>35</v>
      </c>
      <c r="G454" t="s">
        <v>39</v>
      </c>
      <c r="H454" t="s">
        <v>36</v>
      </c>
      <c r="I454">
        <v>6</v>
      </c>
      <c r="J454" t="s">
        <v>40</v>
      </c>
      <c r="K454" t="s">
        <v>41</v>
      </c>
      <c r="L454" t="s">
        <v>42</v>
      </c>
      <c r="M454">
        <v>17</v>
      </c>
      <c r="N454">
        <v>58</v>
      </c>
      <c r="O454" t="s">
        <v>48</v>
      </c>
      <c r="P454">
        <v>20</v>
      </c>
      <c r="Q454">
        <v>30</v>
      </c>
      <c r="R454">
        <v>20</v>
      </c>
      <c r="S454">
        <v>50</v>
      </c>
      <c r="T454">
        <v>18</v>
      </c>
      <c r="U454" t="s">
        <v>27</v>
      </c>
      <c r="V454">
        <f t="shared" si="42"/>
        <v>0.29310344827586204</v>
      </c>
      <c r="W454">
        <f t="shared" si="43"/>
        <v>-3</v>
      </c>
      <c r="X454">
        <f t="shared" si="44"/>
        <v>8</v>
      </c>
      <c r="Y454">
        <f t="shared" si="45"/>
        <v>0.39655172413793105</v>
      </c>
      <c r="Z454" s="7" t="str">
        <f t="shared" si="46"/>
        <v>Low Sales</v>
      </c>
      <c r="AA454" s="7" t="str">
        <f t="shared" si="47"/>
        <v>High Margin</v>
      </c>
    </row>
    <row r="455" spans="1:27" x14ac:dyDescent="0.25">
      <c r="A455" t="s">
        <v>145</v>
      </c>
      <c r="B455">
        <v>16</v>
      </c>
      <c r="C455">
        <v>-10</v>
      </c>
      <c r="D455" s="1">
        <v>41635</v>
      </c>
      <c r="E455">
        <v>851</v>
      </c>
      <c r="F455">
        <v>25</v>
      </c>
      <c r="G455" t="s">
        <v>39</v>
      </c>
      <c r="H455" t="s">
        <v>22</v>
      </c>
      <c r="I455">
        <v>4</v>
      </c>
      <c r="J455" t="s">
        <v>40</v>
      </c>
      <c r="K455" t="s">
        <v>45</v>
      </c>
      <c r="L455" t="s">
        <v>50</v>
      </c>
      <c r="M455">
        <v>10</v>
      </c>
      <c r="N455">
        <v>41</v>
      </c>
      <c r="O455" t="s">
        <v>43</v>
      </c>
      <c r="P455">
        <v>10</v>
      </c>
      <c r="Q455">
        <v>30</v>
      </c>
      <c r="R455">
        <v>20</v>
      </c>
      <c r="S455">
        <v>40</v>
      </c>
      <c r="T455">
        <v>15</v>
      </c>
      <c r="U455" t="s">
        <v>35</v>
      </c>
      <c r="V455">
        <f t="shared" si="42"/>
        <v>0.24390243902439024</v>
      </c>
      <c r="W455">
        <f t="shared" si="43"/>
        <v>-10</v>
      </c>
      <c r="X455">
        <f t="shared" si="44"/>
        <v>1</v>
      </c>
      <c r="Y455">
        <f t="shared" si="45"/>
        <v>0.3902439024390244</v>
      </c>
      <c r="Z455" s="7" t="str">
        <f t="shared" si="46"/>
        <v>Low Sales</v>
      </c>
      <c r="AA455" s="7" t="str">
        <f t="shared" si="47"/>
        <v>High Margin</v>
      </c>
    </row>
    <row r="456" spans="1:27" x14ac:dyDescent="0.25">
      <c r="A456" t="s">
        <v>114</v>
      </c>
      <c r="B456">
        <v>31</v>
      </c>
      <c r="C456">
        <v>-2</v>
      </c>
      <c r="D456" s="1">
        <v>41636</v>
      </c>
      <c r="E456">
        <v>1009</v>
      </c>
      <c r="F456">
        <v>38</v>
      </c>
      <c r="G456" t="s">
        <v>39</v>
      </c>
      <c r="H456" t="s">
        <v>22</v>
      </c>
      <c r="I456">
        <v>9</v>
      </c>
      <c r="J456" t="s">
        <v>40</v>
      </c>
      <c r="K456" t="s">
        <v>45</v>
      </c>
      <c r="L456" t="s">
        <v>52</v>
      </c>
      <c r="M456">
        <v>8</v>
      </c>
      <c r="N456">
        <v>69</v>
      </c>
      <c r="O456" t="s">
        <v>43</v>
      </c>
      <c r="P456">
        <v>30</v>
      </c>
      <c r="Q456">
        <v>30</v>
      </c>
      <c r="R456">
        <v>10</v>
      </c>
      <c r="S456">
        <v>60</v>
      </c>
      <c r="T456">
        <v>30</v>
      </c>
      <c r="U456" t="s">
        <v>35</v>
      </c>
      <c r="V456">
        <f t="shared" si="42"/>
        <v>0.11594202898550725</v>
      </c>
      <c r="W456">
        <f t="shared" si="43"/>
        <v>-2</v>
      </c>
      <c r="X456">
        <f t="shared" si="44"/>
        <v>9</v>
      </c>
      <c r="Y456">
        <f t="shared" si="45"/>
        <v>0.44927536231884058</v>
      </c>
      <c r="Z456" s="7" t="str">
        <f t="shared" si="46"/>
        <v>Low Sales</v>
      </c>
      <c r="AA456" s="7" t="str">
        <f t="shared" si="47"/>
        <v>High Margin</v>
      </c>
    </row>
    <row r="457" spans="1:27" x14ac:dyDescent="0.25">
      <c r="A457" t="s">
        <v>78</v>
      </c>
      <c r="B457">
        <v>20</v>
      </c>
      <c r="C457">
        <v>-16</v>
      </c>
      <c r="D457" s="1">
        <v>41637</v>
      </c>
      <c r="E457">
        <v>218</v>
      </c>
      <c r="F457">
        <v>25</v>
      </c>
      <c r="G457" t="s">
        <v>39</v>
      </c>
      <c r="H457" t="s">
        <v>31</v>
      </c>
      <c r="I457">
        <v>7</v>
      </c>
      <c r="J457" t="s">
        <v>40</v>
      </c>
      <c r="K457" t="s">
        <v>41</v>
      </c>
      <c r="L457" t="s">
        <v>66</v>
      </c>
      <c r="M457">
        <v>-16</v>
      </c>
      <c r="N457">
        <v>45</v>
      </c>
      <c r="O457" t="s">
        <v>51</v>
      </c>
      <c r="P457">
        <v>10</v>
      </c>
      <c r="Q457">
        <v>30</v>
      </c>
      <c r="R457">
        <v>0</v>
      </c>
      <c r="S457">
        <v>40</v>
      </c>
      <c r="T457">
        <v>41</v>
      </c>
      <c r="U457" t="s">
        <v>35</v>
      </c>
      <c r="V457">
        <f t="shared" si="42"/>
        <v>-0.35555555555555557</v>
      </c>
      <c r="W457">
        <f t="shared" si="43"/>
        <v>-16</v>
      </c>
      <c r="X457">
        <f t="shared" si="44"/>
        <v>5</v>
      </c>
      <c r="Y457">
        <f t="shared" si="45"/>
        <v>0.44444444444444442</v>
      </c>
      <c r="Z457" s="7" t="str">
        <f t="shared" si="46"/>
        <v>Low Sales</v>
      </c>
      <c r="AA457" s="7" t="str">
        <f t="shared" si="47"/>
        <v>Low Margin</v>
      </c>
    </row>
    <row r="458" spans="1:27" x14ac:dyDescent="0.25">
      <c r="A458" t="s">
        <v>96</v>
      </c>
      <c r="B458">
        <v>29</v>
      </c>
      <c r="C458">
        <v>4</v>
      </c>
      <c r="D458" s="1">
        <v>41638</v>
      </c>
      <c r="E458">
        <v>490</v>
      </c>
      <c r="F458">
        <v>44</v>
      </c>
      <c r="G458" t="s">
        <v>39</v>
      </c>
      <c r="H458" t="s">
        <v>29</v>
      </c>
      <c r="I458">
        <v>8</v>
      </c>
      <c r="J458" t="s">
        <v>40</v>
      </c>
      <c r="K458" t="s">
        <v>41</v>
      </c>
      <c r="L458" t="s">
        <v>53</v>
      </c>
      <c r="M458">
        <v>24</v>
      </c>
      <c r="N458">
        <v>73</v>
      </c>
      <c r="O458" t="s">
        <v>47</v>
      </c>
      <c r="P458">
        <v>20</v>
      </c>
      <c r="Q458">
        <v>30</v>
      </c>
      <c r="R458">
        <v>20</v>
      </c>
      <c r="S458">
        <v>50</v>
      </c>
      <c r="T458">
        <v>20</v>
      </c>
      <c r="U458" t="s">
        <v>35</v>
      </c>
      <c r="V458">
        <f t="shared" si="42"/>
        <v>0.32876712328767121</v>
      </c>
      <c r="W458">
        <f t="shared" si="43"/>
        <v>4</v>
      </c>
      <c r="X458">
        <f t="shared" si="44"/>
        <v>23</v>
      </c>
      <c r="Y458">
        <f t="shared" si="45"/>
        <v>0.39726027397260272</v>
      </c>
      <c r="Z458" s="7" t="str">
        <f t="shared" si="46"/>
        <v>Low Sales</v>
      </c>
      <c r="AA458" s="7" t="str">
        <f t="shared" si="47"/>
        <v>High Margin</v>
      </c>
    </row>
    <row r="459" spans="1:27" x14ac:dyDescent="0.25">
      <c r="A459" t="s">
        <v>124</v>
      </c>
      <c r="B459">
        <v>24</v>
      </c>
      <c r="C459">
        <v>-7</v>
      </c>
      <c r="D459" s="1">
        <v>41639</v>
      </c>
      <c r="E459">
        <v>567</v>
      </c>
      <c r="F459">
        <v>32</v>
      </c>
      <c r="G459" t="s">
        <v>39</v>
      </c>
      <c r="H459" t="s">
        <v>36</v>
      </c>
      <c r="I459">
        <v>7</v>
      </c>
      <c r="J459" t="s">
        <v>40</v>
      </c>
      <c r="K459" t="s">
        <v>41</v>
      </c>
      <c r="L459" t="s">
        <v>54</v>
      </c>
      <c r="M459">
        <v>13</v>
      </c>
      <c r="N459">
        <v>56</v>
      </c>
      <c r="O459" t="s">
        <v>60</v>
      </c>
      <c r="P459">
        <v>20</v>
      </c>
      <c r="Q459">
        <v>30</v>
      </c>
      <c r="R459">
        <v>20</v>
      </c>
      <c r="S459">
        <v>50</v>
      </c>
      <c r="T459">
        <v>19</v>
      </c>
      <c r="U459" t="s">
        <v>35</v>
      </c>
      <c r="V459">
        <f t="shared" si="42"/>
        <v>0.23214285714285715</v>
      </c>
      <c r="W459">
        <f t="shared" si="43"/>
        <v>-7</v>
      </c>
      <c r="X459">
        <f t="shared" si="44"/>
        <v>6</v>
      </c>
      <c r="Y459">
        <f t="shared" si="45"/>
        <v>0.42857142857142855</v>
      </c>
      <c r="Z459" s="7" t="str">
        <f t="shared" si="46"/>
        <v>Low Sales</v>
      </c>
      <c r="AA459" s="7" t="str">
        <f t="shared" si="47"/>
        <v>High Margin</v>
      </c>
    </row>
    <row r="460" spans="1:27" x14ac:dyDescent="0.25">
      <c r="A460" t="s">
        <v>117</v>
      </c>
      <c r="B460">
        <v>24</v>
      </c>
      <c r="C460">
        <v>-1</v>
      </c>
      <c r="D460" s="1">
        <v>41640</v>
      </c>
      <c r="E460">
        <v>829</v>
      </c>
      <c r="F460">
        <v>36</v>
      </c>
      <c r="G460" t="s">
        <v>39</v>
      </c>
      <c r="H460" t="s">
        <v>36</v>
      </c>
      <c r="I460">
        <v>6</v>
      </c>
      <c r="J460" t="s">
        <v>23</v>
      </c>
      <c r="K460" t="s">
        <v>24</v>
      </c>
      <c r="L460" t="s">
        <v>57</v>
      </c>
      <c r="M460">
        <v>19</v>
      </c>
      <c r="N460">
        <v>60</v>
      </c>
      <c r="O460" t="s">
        <v>56</v>
      </c>
      <c r="P460">
        <v>20</v>
      </c>
      <c r="Q460">
        <v>30</v>
      </c>
      <c r="R460">
        <v>20</v>
      </c>
      <c r="S460">
        <v>50</v>
      </c>
      <c r="T460">
        <v>17</v>
      </c>
      <c r="U460" t="s">
        <v>27</v>
      </c>
      <c r="V460">
        <f t="shared" si="42"/>
        <v>0.31666666666666665</v>
      </c>
      <c r="W460">
        <f t="shared" si="43"/>
        <v>-1</v>
      </c>
      <c r="X460">
        <f t="shared" si="44"/>
        <v>10</v>
      </c>
      <c r="Y460">
        <f t="shared" si="45"/>
        <v>0.4</v>
      </c>
      <c r="Z460" s="7" t="str">
        <f t="shared" si="46"/>
        <v>Low Sales</v>
      </c>
      <c r="AA460" s="7" t="str">
        <f t="shared" si="47"/>
        <v>High Margin</v>
      </c>
    </row>
    <row r="461" spans="1:27" x14ac:dyDescent="0.25">
      <c r="A461" t="s">
        <v>78</v>
      </c>
      <c r="B461">
        <v>16</v>
      </c>
      <c r="C461">
        <v>-10</v>
      </c>
      <c r="D461" s="1">
        <v>41641</v>
      </c>
      <c r="E461">
        <v>851</v>
      </c>
      <c r="F461">
        <v>25</v>
      </c>
      <c r="G461" t="s">
        <v>39</v>
      </c>
      <c r="H461" t="s">
        <v>31</v>
      </c>
      <c r="I461">
        <v>4</v>
      </c>
      <c r="J461" t="s">
        <v>23</v>
      </c>
      <c r="K461" t="s">
        <v>32</v>
      </c>
      <c r="L461" t="s">
        <v>33</v>
      </c>
      <c r="M461">
        <v>10</v>
      </c>
      <c r="N461">
        <v>41</v>
      </c>
      <c r="O461" t="s">
        <v>51</v>
      </c>
      <c r="P461">
        <v>10</v>
      </c>
      <c r="Q461">
        <v>30</v>
      </c>
      <c r="R461">
        <v>20</v>
      </c>
      <c r="S461">
        <v>40</v>
      </c>
      <c r="T461">
        <v>15</v>
      </c>
      <c r="U461" t="s">
        <v>35</v>
      </c>
      <c r="V461">
        <f t="shared" si="42"/>
        <v>0.24390243902439024</v>
      </c>
      <c r="W461">
        <f t="shared" si="43"/>
        <v>-10</v>
      </c>
      <c r="X461">
        <f t="shared" si="44"/>
        <v>1</v>
      </c>
      <c r="Y461">
        <f t="shared" si="45"/>
        <v>0.3902439024390244</v>
      </c>
      <c r="Z461" s="7" t="str">
        <f t="shared" si="46"/>
        <v>Low Sales</v>
      </c>
      <c r="AA461" s="7" t="str">
        <f t="shared" si="47"/>
        <v>High Margin</v>
      </c>
    </row>
    <row r="462" spans="1:27" x14ac:dyDescent="0.25">
      <c r="A462" t="s">
        <v>85</v>
      </c>
      <c r="B462">
        <v>29</v>
      </c>
      <c r="C462">
        <v>-5</v>
      </c>
      <c r="D462" s="1">
        <v>41642</v>
      </c>
      <c r="E462">
        <v>490</v>
      </c>
      <c r="F462">
        <v>44</v>
      </c>
      <c r="G462" t="s">
        <v>39</v>
      </c>
      <c r="H462" t="s">
        <v>36</v>
      </c>
      <c r="I462">
        <v>8</v>
      </c>
      <c r="J462" t="s">
        <v>23</v>
      </c>
      <c r="K462" t="s">
        <v>32</v>
      </c>
      <c r="L462" t="s">
        <v>33</v>
      </c>
      <c r="M462">
        <v>25</v>
      </c>
      <c r="N462">
        <v>73</v>
      </c>
      <c r="O462" t="s">
        <v>56</v>
      </c>
      <c r="P462">
        <v>20</v>
      </c>
      <c r="Q462">
        <v>30</v>
      </c>
      <c r="R462">
        <v>30</v>
      </c>
      <c r="S462">
        <v>50</v>
      </c>
      <c r="T462">
        <v>19</v>
      </c>
      <c r="U462" t="s">
        <v>35</v>
      </c>
      <c r="V462">
        <f t="shared" si="42"/>
        <v>0.34246575342465752</v>
      </c>
      <c r="W462">
        <f t="shared" si="43"/>
        <v>-5</v>
      </c>
      <c r="X462">
        <f t="shared" si="44"/>
        <v>23</v>
      </c>
      <c r="Y462">
        <f t="shared" si="45"/>
        <v>0.39726027397260272</v>
      </c>
      <c r="Z462" s="7" t="str">
        <f t="shared" si="46"/>
        <v>Low Sales</v>
      </c>
      <c r="AA462" s="7" t="str">
        <f t="shared" si="47"/>
        <v>High Margin</v>
      </c>
    </row>
    <row r="463" spans="1:27" x14ac:dyDescent="0.25">
      <c r="A463" t="s">
        <v>158</v>
      </c>
      <c r="B463">
        <v>21</v>
      </c>
      <c r="C463">
        <v>-6</v>
      </c>
      <c r="D463" s="1">
        <v>41643</v>
      </c>
      <c r="E463">
        <v>480</v>
      </c>
      <c r="F463">
        <v>32</v>
      </c>
      <c r="G463" t="s">
        <v>21</v>
      </c>
      <c r="H463" t="s">
        <v>22</v>
      </c>
      <c r="I463">
        <v>5</v>
      </c>
      <c r="J463" t="s">
        <v>23</v>
      </c>
      <c r="K463" t="s">
        <v>24</v>
      </c>
      <c r="L463" t="s">
        <v>57</v>
      </c>
      <c r="M463">
        <v>24</v>
      </c>
      <c r="N463">
        <v>56</v>
      </c>
      <c r="O463" t="s">
        <v>65</v>
      </c>
      <c r="P463">
        <v>0</v>
      </c>
      <c r="Q463">
        <v>30</v>
      </c>
      <c r="R463">
        <v>30</v>
      </c>
      <c r="S463">
        <v>30</v>
      </c>
      <c r="T463">
        <v>16</v>
      </c>
      <c r="U463" t="s">
        <v>27</v>
      </c>
      <c r="V463">
        <f t="shared" si="42"/>
        <v>0.42857142857142855</v>
      </c>
      <c r="W463">
        <f t="shared" si="43"/>
        <v>-6</v>
      </c>
      <c r="X463">
        <f t="shared" si="44"/>
        <v>26</v>
      </c>
      <c r="Y463">
        <f t="shared" si="45"/>
        <v>0.375</v>
      </c>
      <c r="Z463" s="7" t="str">
        <f t="shared" si="46"/>
        <v>Low Sales</v>
      </c>
      <c r="AA463" s="7" t="str">
        <f t="shared" si="47"/>
        <v>High Margin</v>
      </c>
    </row>
    <row r="464" spans="1:27" x14ac:dyDescent="0.25">
      <c r="A464" t="s">
        <v>158</v>
      </c>
      <c r="B464">
        <v>27</v>
      </c>
      <c r="C464">
        <v>0</v>
      </c>
      <c r="D464" s="1">
        <v>41644</v>
      </c>
      <c r="E464">
        <v>859</v>
      </c>
      <c r="F464">
        <v>39</v>
      </c>
      <c r="G464" t="s">
        <v>21</v>
      </c>
      <c r="H464" t="s">
        <v>22</v>
      </c>
      <c r="I464">
        <v>7</v>
      </c>
      <c r="J464" t="s">
        <v>23</v>
      </c>
      <c r="K464" t="s">
        <v>24</v>
      </c>
      <c r="L464" t="s">
        <v>25</v>
      </c>
      <c r="M464">
        <v>30</v>
      </c>
      <c r="N464">
        <v>70</v>
      </c>
      <c r="O464" t="s">
        <v>65</v>
      </c>
      <c r="P464">
        <v>10</v>
      </c>
      <c r="Q464">
        <v>30</v>
      </c>
      <c r="R464">
        <v>30</v>
      </c>
      <c r="S464">
        <v>40</v>
      </c>
      <c r="T464">
        <v>19</v>
      </c>
      <c r="U464" t="s">
        <v>27</v>
      </c>
      <c r="V464">
        <f t="shared" si="42"/>
        <v>0.42857142857142855</v>
      </c>
      <c r="W464">
        <f t="shared" si="43"/>
        <v>0</v>
      </c>
      <c r="X464">
        <f t="shared" si="44"/>
        <v>30</v>
      </c>
      <c r="Y464">
        <f t="shared" si="45"/>
        <v>0.38571428571428573</v>
      </c>
      <c r="Z464" s="7" t="str">
        <f t="shared" si="46"/>
        <v>Low Sales</v>
      </c>
      <c r="AA464" s="7" t="str">
        <f t="shared" si="47"/>
        <v>High Margin</v>
      </c>
    </row>
    <row r="465" spans="1:27" x14ac:dyDescent="0.25">
      <c r="A465" t="s">
        <v>178</v>
      </c>
      <c r="B465">
        <v>56</v>
      </c>
      <c r="C465">
        <v>4</v>
      </c>
      <c r="D465" s="1">
        <v>41645</v>
      </c>
      <c r="E465">
        <v>385</v>
      </c>
      <c r="F465">
        <v>70</v>
      </c>
      <c r="G465" t="s">
        <v>21</v>
      </c>
      <c r="H465" t="s">
        <v>31</v>
      </c>
      <c r="I465">
        <v>21</v>
      </c>
      <c r="J465" t="s">
        <v>23</v>
      </c>
      <c r="K465" t="s">
        <v>24</v>
      </c>
      <c r="L465" t="s">
        <v>25</v>
      </c>
      <c r="M465">
        <v>24</v>
      </c>
      <c r="N465">
        <v>134</v>
      </c>
      <c r="O465" t="s">
        <v>34</v>
      </c>
      <c r="P465">
        <v>30</v>
      </c>
      <c r="Q465">
        <v>30</v>
      </c>
      <c r="R465">
        <v>20</v>
      </c>
      <c r="S465">
        <v>60</v>
      </c>
      <c r="T465">
        <v>54</v>
      </c>
      <c r="U465" t="s">
        <v>27</v>
      </c>
      <c r="V465">
        <f t="shared" si="42"/>
        <v>0.17910447761194029</v>
      </c>
      <c r="W465">
        <f t="shared" si="43"/>
        <v>4</v>
      </c>
      <c r="X465">
        <f t="shared" si="44"/>
        <v>74</v>
      </c>
      <c r="Y465">
        <f t="shared" si="45"/>
        <v>0.41791044776119401</v>
      </c>
      <c r="Z465" s="7" t="str">
        <f t="shared" si="46"/>
        <v>Low Sales</v>
      </c>
      <c r="AA465" s="7" t="str">
        <f t="shared" si="47"/>
        <v>High Margin</v>
      </c>
    </row>
    <row r="466" spans="1:27" x14ac:dyDescent="0.25">
      <c r="A466" t="s">
        <v>93</v>
      </c>
      <c r="B466">
        <v>54</v>
      </c>
      <c r="C466">
        <v>-1</v>
      </c>
      <c r="D466" s="1">
        <v>41646</v>
      </c>
      <c r="E466">
        <v>404</v>
      </c>
      <c r="F466">
        <v>66</v>
      </c>
      <c r="G466" t="s">
        <v>21</v>
      </c>
      <c r="H466" t="s">
        <v>31</v>
      </c>
      <c r="I466">
        <v>20</v>
      </c>
      <c r="J466" t="s">
        <v>23</v>
      </c>
      <c r="K466" t="s">
        <v>24</v>
      </c>
      <c r="L466" t="s">
        <v>25</v>
      </c>
      <c r="M466">
        <v>19</v>
      </c>
      <c r="N466">
        <v>128</v>
      </c>
      <c r="O466" t="s">
        <v>62</v>
      </c>
      <c r="P466">
        <v>30</v>
      </c>
      <c r="Q466">
        <v>30</v>
      </c>
      <c r="R466">
        <v>20</v>
      </c>
      <c r="S466">
        <v>60</v>
      </c>
      <c r="T466">
        <v>53</v>
      </c>
      <c r="U466" t="s">
        <v>27</v>
      </c>
      <c r="V466">
        <f t="shared" si="42"/>
        <v>0.1484375</v>
      </c>
      <c r="W466">
        <f t="shared" si="43"/>
        <v>-1</v>
      </c>
      <c r="X466">
        <f t="shared" si="44"/>
        <v>68</v>
      </c>
      <c r="Y466">
        <f t="shared" si="45"/>
        <v>0.421875</v>
      </c>
      <c r="Z466" s="7" t="str">
        <f t="shared" si="46"/>
        <v>Low Sales</v>
      </c>
      <c r="AA466" s="7" t="str">
        <f t="shared" si="47"/>
        <v>High Margin</v>
      </c>
    </row>
    <row r="467" spans="1:27" x14ac:dyDescent="0.25">
      <c r="A467" t="s">
        <v>176</v>
      </c>
      <c r="B467">
        <v>21</v>
      </c>
      <c r="C467">
        <v>-8</v>
      </c>
      <c r="D467" s="1">
        <v>41647</v>
      </c>
      <c r="E467">
        <v>480</v>
      </c>
      <c r="F467">
        <v>32</v>
      </c>
      <c r="G467" t="s">
        <v>21</v>
      </c>
      <c r="H467" t="s">
        <v>31</v>
      </c>
      <c r="I467">
        <v>5</v>
      </c>
      <c r="J467" t="s">
        <v>23</v>
      </c>
      <c r="K467" t="s">
        <v>32</v>
      </c>
      <c r="L467" t="s">
        <v>37</v>
      </c>
      <c r="M467">
        <v>22</v>
      </c>
      <c r="N467">
        <v>56</v>
      </c>
      <c r="O467" t="s">
        <v>62</v>
      </c>
      <c r="P467">
        <v>20</v>
      </c>
      <c r="Q467">
        <v>30</v>
      </c>
      <c r="R467">
        <v>30</v>
      </c>
      <c r="S467">
        <v>50</v>
      </c>
      <c r="T467">
        <v>17</v>
      </c>
      <c r="U467" t="s">
        <v>35</v>
      </c>
      <c r="V467">
        <f t="shared" si="42"/>
        <v>0.39285714285714285</v>
      </c>
      <c r="W467">
        <f t="shared" si="43"/>
        <v>-8</v>
      </c>
      <c r="X467">
        <f t="shared" si="44"/>
        <v>6</v>
      </c>
      <c r="Y467">
        <f t="shared" si="45"/>
        <v>0.375</v>
      </c>
      <c r="Z467" s="7" t="str">
        <f t="shared" si="46"/>
        <v>Low Sales</v>
      </c>
      <c r="AA467" s="7" t="str">
        <f t="shared" si="47"/>
        <v>High Margin</v>
      </c>
    </row>
    <row r="468" spans="1:27" x14ac:dyDescent="0.25">
      <c r="A468" t="s">
        <v>107</v>
      </c>
      <c r="B468">
        <v>39</v>
      </c>
      <c r="C468">
        <v>1</v>
      </c>
      <c r="D468" s="1">
        <v>41648</v>
      </c>
      <c r="E468">
        <v>244</v>
      </c>
      <c r="F468">
        <v>53</v>
      </c>
      <c r="G468" t="s">
        <v>39</v>
      </c>
      <c r="H468" t="s">
        <v>29</v>
      </c>
      <c r="I468">
        <v>12</v>
      </c>
      <c r="J468" t="s">
        <v>40</v>
      </c>
      <c r="K468" t="s">
        <v>41</v>
      </c>
      <c r="L468" t="s">
        <v>42</v>
      </c>
      <c r="M468">
        <v>21</v>
      </c>
      <c r="N468">
        <v>98</v>
      </c>
      <c r="O468" t="s">
        <v>64</v>
      </c>
      <c r="P468">
        <v>20</v>
      </c>
      <c r="Q468">
        <v>30</v>
      </c>
      <c r="R468">
        <v>20</v>
      </c>
      <c r="S468">
        <v>50</v>
      </c>
      <c r="T468">
        <v>39</v>
      </c>
      <c r="U468" t="s">
        <v>27</v>
      </c>
      <c r="V468">
        <f t="shared" si="42"/>
        <v>0.21428571428571427</v>
      </c>
      <c r="W468">
        <f t="shared" si="43"/>
        <v>1</v>
      </c>
      <c r="X468">
        <f t="shared" si="44"/>
        <v>48</v>
      </c>
      <c r="Y468">
        <f t="shared" si="45"/>
        <v>0.39795918367346939</v>
      </c>
      <c r="Z468" s="7" t="str">
        <f t="shared" si="46"/>
        <v>Low Sales</v>
      </c>
      <c r="AA468" s="7" t="str">
        <f t="shared" si="47"/>
        <v>High Margin</v>
      </c>
    </row>
    <row r="469" spans="1:27" x14ac:dyDescent="0.25">
      <c r="A469" t="s">
        <v>76</v>
      </c>
      <c r="B469">
        <v>23</v>
      </c>
      <c r="C469">
        <v>-5</v>
      </c>
      <c r="D469" s="1">
        <v>41649</v>
      </c>
      <c r="E469">
        <v>800</v>
      </c>
      <c r="F469">
        <v>35</v>
      </c>
      <c r="G469" t="s">
        <v>39</v>
      </c>
      <c r="H469" t="s">
        <v>36</v>
      </c>
      <c r="I469">
        <v>6</v>
      </c>
      <c r="J469" t="s">
        <v>40</v>
      </c>
      <c r="K469" t="s">
        <v>41</v>
      </c>
      <c r="L469" t="s">
        <v>42</v>
      </c>
      <c r="M469">
        <v>25</v>
      </c>
      <c r="N469">
        <v>62</v>
      </c>
      <c r="O469" t="s">
        <v>48</v>
      </c>
      <c r="P469">
        <v>10</v>
      </c>
      <c r="Q469">
        <v>30</v>
      </c>
      <c r="R469">
        <v>30</v>
      </c>
      <c r="S469">
        <v>40</v>
      </c>
      <c r="T469">
        <v>18</v>
      </c>
      <c r="U469" t="s">
        <v>27</v>
      </c>
      <c r="V469">
        <f t="shared" si="42"/>
        <v>0.40322580645161288</v>
      </c>
      <c r="W469">
        <f t="shared" si="43"/>
        <v>-5</v>
      </c>
      <c r="X469">
        <f t="shared" si="44"/>
        <v>22</v>
      </c>
      <c r="Y469">
        <f t="shared" si="45"/>
        <v>0.37096774193548387</v>
      </c>
      <c r="Z469" s="7" t="str">
        <f t="shared" si="46"/>
        <v>Low Sales</v>
      </c>
      <c r="AA469" s="7" t="str">
        <f t="shared" si="47"/>
        <v>High Margin</v>
      </c>
    </row>
    <row r="470" spans="1:27" x14ac:dyDescent="0.25">
      <c r="A470" t="s">
        <v>142</v>
      </c>
      <c r="B470">
        <v>21</v>
      </c>
      <c r="C470">
        <v>-8</v>
      </c>
      <c r="D470" s="1">
        <v>41650</v>
      </c>
      <c r="E470">
        <v>846</v>
      </c>
      <c r="F470">
        <v>31</v>
      </c>
      <c r="G470" t="s">
        <v>39</v>
      </c>
      <c r="H470" t="s">
        <v>22</v>
      </c>
      <c r="I470">
        <v>5</v>
      </c>
      <c r="J470" t="s">
        <v>40</v>
      </c>
      <c r="K470" t="s">
        <v>45</v>
      </c>
      <c r="L470" t="s">
        <v>50</v>
      </c>
      <c r="M470">
        <v>22</v>
      </c>
      <c r="N470">
        <v>55</v>
      </c>
      <c r="O470" t="s">
        <v>43</v>
      </c>
      <c r="P470">
        <v>10</v>
      </c>
      <c r="Q470">
        <v>30</v>
      </c>
      <c r="R470">
        <v>30</v>
      </c>
      <c r="S470">
        <v>40</v>
      </c>
      <c r="T470">
        <v>16</v>
      </c>
      <c r="U470" t="s">
        <v>35</v>
      </c>
      <c r="V470">
        <f t="shared" si="42"/>
        <v>0.4</v>
      </c>
      <c r="W470">
        <f t="shared" si="43"/>
        <v>-8</v>
      </c>
      <c r="X470">
        <f t="shared" si="44"/>
        <v>15</v>
      </c>
      <c r="Y470">
        <f t="shared" si="45"/>
        <v>0.38181818181818183</v>
      </c>
      <c r="Z470" s="7" t="str">
        <f t="shared" si="46"/>
        <v>Low Sales</v>
      </c>
      <c r="AA470" s="7" t="str">
        <f t="shared" si="47"/>
        <v>High Margin</v>
      </c>
    </row>
    <row r="471" spans="1:27" x14ac:dyDescent="0.25">
      <c r="A471" t="s">
        <v>78</v>
      </c>
      <c r="B471">
        <v>25</v>
      </c>
      <c r="C471">
        <v>-28</v>
      </c>
      <c r="D471" s="1">
        <v>41651</v>
      </c>
      <c r="E471">
        <v>209</v>
      </c>
      <c r="F471">
        <v>31</v>
      </c>
      <c r="G471" t="s">
        <v>39</v>
      </c>
      <c r="H471" t="s">
        <v>31</v>
      </c>
      <c r="I471">
        <v>9</v>
      </c>
      <c r="J471" t="s">
        <v>40</v>
      </c>
      <c r="K471" t="s">
        <v>41</v>
      </c>
      <c r="L471" t="s">
        <v>66</v>
      </c>
      <c r="M471">
        <v>-18</v>
      </c>
      <c r="N471">
        <v>60</v>
      </c>
      <c r="O471" t="s">
        <v>51</v>
      </c>
      <c r="P471">
        <v>10</v>
      </c>
      <c r="Q471">
        <v>30</v>
      </c>
      <c r="R471">
        <v>10</v>
      </c>
      <c r="S471">
        <v>40</v>
      </c>
      <c r="T471">
        <v>43</v>
      </c>
      <c r="U471" t="s">
        <v>35</v>
      </c>
      <c r="V471">
        <f t="shared" si="42"/>
        <v>-0.3</v>
      </c>
      <c r="W471">
        <f t="shared" si="43"/>
        <v>-28</v>
      </c>
      <c r="X471">
        <f t="shared" si="44"/>
        <v>20</v>
      </c>
      <c r="Y471">
        <f t="shared" si="45"/>
        <v>0.41666666666666669</v>
      </c>
      <c r="Z471" s="7" t="str">
        <f t="shared" si="46"/>
        <v>Low Sales</v>
      </c>
      <c r="AA471" s="7" t="str">
        <f t="shared" si="47"/>
        <v>Low Margin</v>
      </c>
    </row>
    <row r="472" spans="1:27" x14ac:dyDescent="0.25">
      <c r="A472" t="s">
        <v>96</v>
      </c>
      <c r="B472">
        <v>21</v>
      </c>
      <c r="C472">
        <v>-8</v>
      </c>
      <c r="D472" s="1">
        <v>41652</v>
      </c>
      <c r="E472">
        <v>480</v>
      </c>
      <c r="F472">
        <v>32</v>
      </c>
      <c r="G472" t="s">
        <v>39</v>
      </c>
      <c r="H472" t="s">
        <v>29</v>
      </c>
      <c r="I472">
        <v>5</v>
      </c>
      <c r="J472" t="s">
        <v>40</v>
      </c>
      <c r="K472" t="s">
        <v>41</v>
      </c>
      <c r="L472" t="s">
        <v>53</v>
      </c>
      <c r="M472">
        <v>22</v>
      </c>
      <c r="N472">
        <v>56</v>
      </c>
      <c r="O472" t="s">
        <v>47</v>
      </c>
      <c r="P472">
        <v>0</v>
      </c>
      <c r="Q472">
        <v>30</v>
      </c>
      <c r="R472">
        <v>30</v>
      </c>
      <c r="S472">
        <v>30</v>
      </c>
      <c r="T472">
        <v>17</v>
      </c>
      <c r="U472" t="s">
        <v>35</v>
      </c>
      <c r="V472">
        <f t="shared" si="42"/>
        <v>0.39285714285714285</v>
      </c>
      <c r="W472">
        <f t="shared" si="43"/>
        <v>-8</v>
      </c>
      <c r="X472">
        <f t="shared" si="44"/>
        <v>26</v>
      </c>
      <c r="Y472">
        <f t="shared" si="45"/>
        <v>0.375</v>
      </c>
      <c r="Z472" s="7" t="str">
        <f t="shared" si="46"/>
        <v>Low Sales</v>
      </c>
      <c r="AA472" s="7" t="str">
        <f t="shared" si="47"/>
        <v>High Margin</v>
      </c>
    </row>
    <row r="473" spans="1:27" x14ac:dyDescent="0.25">
      <c r="A473" t="s">
        <v>116</v>
      </c>
      <c r="B473">
        <v>0</v>
      </c>
      <c r="C473">
        <v>17</v>
      </c>
      <c r="D473" s="1">
        <v>41653</v>
      </c>
      <c r="E473">
        <v>430</v>
      </c>
      <c r="F473">
        <v>43</v>
      </c>
      <c r="G473" t="s">
        <v>39</v>
      </c>
      <c r="H473" t="s">
        <v>36</v>
      </c>
      <c r="I473">
        <v>0</v>
      </c>
      <c r="J473" t="s">
        <v>40</v>
      </c>
      <c r="K473" t="s">
        <v>41</v>
      </c>
      <c r="L473" t="s">
        <v>54</v>
      </c>
      <c r="M473">
        <v>47</v>
      </c>
      <c r="N473">
        <v>46</v>
      </c>
      <c r="O473" t="s">
        <v>48</v>
      </c>
      <c r="P473">
        <v>0</v>
      </c>
      <c r="Q473">
        <v>30</v>
      </c>
      <c r="R473">
        <v>30</v>
      </c>
      <c r="S473">
        <v>30</v>
      </c>
      <c r="T473">
        <v>11</v>
      </c>
      <c r="U473" t="s">
        <v>35</v>
      </c>
      <c r="V473">
        <f t="shared" si="42"/>
        <v>1.0217391304347827</v>
      </c>
      <c r="W473">
        <f t="shared" si="43"/>
        <v>17</v>
      </c>
      <c r="X473">
        <f t="shared" si="44"/>
        <v>16</v>
      </c>
      <c r="Y473">
        <f t="shared" si="45"/>
        <v>0</v>
      </c>
      <c r="Z473" s="7" t="str">
        <f t="shared" si="46"/>
        <v>Low Sales</v>
      </c>
      <c r="AA473" s="7" t="str">
        <f t="shared" si="47"/>
        <v>High Margin</v>
      </c>
    </row>
    <row r="474" spans="1:27" x14ac:dyDescent="0.25">
      <c r="A474" t="s">
        <v>78</v>
      </c>
      <c r="B474">
        <v>34</v>
      </c>
      <c r="C474">
        <v>-24</v>
      </c>
      <c r="D474" s="1">
        <v>41654</v>
      </c>
      <c r="E474">
        <v>240</v>
      </c>
      <c r="F474">
        <v>43</v>
      </c>
      <c r="G474" t="s">
        <v>39</v>
      </c>
      <c r="H474" t="s">
        <v>31</v>
      </c>
      <c r="I474">
        <v>12</v>
      </c>
      <c r="J474" t="s">
        <v>23</v>
      </c>
      <c r="K474" t="s">
        <v>24</v>
      </c>
      <c r="L474" t="s">
        <v>25</v>
      </c>
      <c r="M474">
        <v>-4</v>
      </c>
      <c r="N474">
        <v>82</v>
      </c>
      <c r="O474" t="s">
        <v>51</v>
      </c>
      <c r="P474">
        <v>10</v>
      </c>
      <c r="Q474">
        <v>30</v>
      </c>
      <c r="R474">
        <v>20</v>
      </c>
      <c r="S474">
        <v>40</v>
      </c>
      <c r="T474">
        <v>46</v>
      </c>
      <c r="U474" t="s">
        <v>27</v>
      </c>
      <c r="V474">
        <f t="shared" si="42"/>
        <v>-4.878048780487805E-2</v>
      </c>
      <c r="W474">
        <f t="shared" si="43"/>
        <v>-24</v>
      </c>
      <c r="X474">
        <f t="shared" si="44"/>
        <v>42</v>
      </c>
      <c r="Y474">
        <f t="shared" si="45"/>
        <v>0.41463414634146339</v>
      </c>
      <c r="Z474" s="7" t="str">
        <f t="shared" si="46"/>
        <v>Low Sales</v>
      </c>
      <c r="AA474" s="7" t="str">
        <f t="shared" si="47"/>
        <v>Low Margin</v>
      </c>
    </row>
    <row r="475" spans="1:27" x14ac:dyDescent="0.25">
      <c r="A475" t="s">
        <v>107</v>
      </c>
      <c r="B475">
        <v>21</v>
      </c>
      <c r="C475">
        <v>-9</v>
      </c>
      <c r="D475" s="1">
        <v>41655</v>
      </c>
      <c r="E475">
        <v>846</v>
      </c>
      <c r="F475">
        <v>31</v>
      </c>
      <c r="G475" t="s">
        <v>39</v>
      </c>
      <c r="H475" t="s">
        <v>29</v>
      </c>
      <c r="I475">
        <v>5</v>
      </c>
      <c r="J475" t="s">
        <v>23</v>
      </c>
      <c r="K475" t="s">
        <v>24</v>
      </c>
      <c r="L475" t="s">
        <v>57</v>
      </c>
      <c r="M475">
        <v>21</v>
      </c>
      <c r="N475">
        <v>55</v>
      </c>
      <c r="O475" t="s">
        <v>64</v>
      </c>
      <c r="P475">
        <v>10</v>
      </c>
      <c r="Q475">
        <v>30</v>
      </c>
      <c r="R475">
        <v>30</v>
      </c>
      <c r="S475">
        <v>40</v>
      </c>
      <c r="T475">
        <v>17</v>
      </c>
      <c r="U475" t="s">
        <v>27</v>
      </c>
      <c r="V475">
        <f t="shared" si="42"/>
        <v>0.38181818181818183</v>
      </c>
      <c r="W475">
        <f t="shared" si="43"/>
        <v>-9</v>
      </c>
      <c r="X475">
        <f t="shared" si="44"/>
        <v>15</v>
      </c>
      <c r="Y475">
        <f t="shared" si="45"/>
        <v>0.38181818181818183</v>
      </c>
      <c r="Z475" s="7" t="str">
        <f t="shared" si="46"/>
        <v>Low Sales</v>
      </c>
      <c r="AA475" s="7" t="str">
        <f t="shared" si="47"/>
        <v>High Margin</v>
      </c>
    </row>
    <row r="476" spans="1:27" x14ac:dyDescent="0.25">
      <c r="A476" t="s">
        <v>85</v>
      </c>
      <c r="B476">
        <v>25</v>
      </c>
      <c r="C476">
        <v>-5</v>
      </c>
      <c r="D476" s="1">
        <v>41656</v>
      </c>
      <c r="E476">
        <v>820</v>
      </c>
      <c r="F476">
        <v>36</v>
      </c>
      <c r="G476" t="s">
        <v>39</v>
      </c>
      <c r="H476" t="s">
        <v>36</v>
      </c>
      <c r="I476">
        <v>7</v>
      </c>
      <c r="J476" t="s">
        <v>23</v>
      </c>
      <c r="K476" t="s">
        <v>24</v>
      </c>
      <c r="L476" t="s">
        <v>57</v>
      </c>
      <c r="M476">
        <v>25</v>
      </c>
      <c r="N476">
        <v>65</v>
      </c>
      <c r="O476" t="s">
        <v>56</v>
      </c>
      <c r="P476">
        <v>10</v>
      </c>
      <c r="Q476">
        <v>30</v>
      </c>
      <c r="R476">
        <v>30</v>
      </c>
      <c r="S476">
        <v>40</v>
      </c>
      <c r="T476">
        <v>19</v>
      </c>
      <c r="U476" t="s">
        <v>27</v>
      </c>
      <c r="V476">
        <f t="shared" si="42"/>
        <v>0.38461538461538464</v>
      </c>
      <c r="W476">
        <f t="shared" si="43"/>
        <v>-5</v>
      </c>
      <c r="X476">
        <f t="shared" si="44"/>
        <v>25</v>
      </c>
      <c r="Y476">
        <f t="shared" si="45"/>
        <v>0.38461538461538464</v>
      </c>
      <c r="Z476" s="7" t="str">
        <f t="shared" si="46"/>
        <v>Low Sales</v>
      </c>
      <c r="AA476" s="7" t="str">
        <f t="shared" si="47"/>
        <v>High Margin</v>
      </c>
    </row>
    <row r="477" spans="1:27" x14ac:dyDescent="0.25">
      <c r="A477" t="s">
        <v>94</v>
      </c>
      <c r="B477">
        <v>34</v>
      </c>
      <c r="C477">
        <v>-14</v>
      </c>
      <c r="D477" s="1">
        <v>41657</v>
      </c>
      <c r="E477">
        <v>240</v>
      </c>
      <c r="F477">
        <v>43</v>
      </c>
      <c r="G477" t="s">
        <v>39</v>
      </c>
      <c r="H477" t="s">
        <v>22</v>
      </c>
      <c r="I477">
        <v>12</v>
      </c>
      <c r="J477" t="s">
        <v>23</v>
      </c>
      <c r="K477" t="s">
        <v>32</v>
      </c>
      <c r="L477" t="s">
        <v>37</v>
      </c>
      <c r="M477">
        <v>-4</v>
      </c>
      <c r="N477">
        <v>82</v>
      </c>
      <c r="O477" t="s">
        <v>58</v>
      </c>
      <c r="P477">
        <v>10</v>
      </c>
      <c r="Q477">
        <v>30</v>
      </c>
      <c r="R477">
        <v>10</v>
      </c>
      <c r="S477">
        <v>40</v>
      </c>
      <c r="T477">
        <v>46</v>
      </c>
      <c r="U477" t="s">
        <v>35</v>
      </c>
      <c r="V477">
        <f t="shared" si="42"/>
        <v>-4.878048780487805E-2</v>
      </c>
      <c r="W477">
        <f t="shared" si="43"/>
        <v>-14</v>
      </c>
      <c r="X477">
        <f t="shared" si="44"/>
        <v>42</v>
      </c>
      <c r="Y477">
        <f t="shared" si="45"/>
        <v>0.41463414634146339</v>
      </c>
      <c r="Z477" s="7" t="str">
        <f t="shared" si="46"/>
        <v>Low Sales</v>
      </c>
      <c r="AA477" s="7" t="str">
        <f t="shared" si="47"/>
        <v>Low Margin</v>
      </c>
    </row>
    <row r="478" spans="1:27" x14ac:dyDescent="0.25">
      <c r="A478" t="s">
        <v>78</v>
      </c>
      <c r="B478">
        <v>21</v>
      </c>
      <c r="C478">
        <v>-9</v>
      </c>
      <c r="D478" s="1">
        <v>41658</v>
      </c>
      <c r="E478">
        <v>846</v>
      </c>
      <c r="F478">
        <v>31</v>
      </c>
      <c r="G478" t="s">
        <v>39</v>
      </c>
      <c r="H478" t="s">
        <v>31</v>
      </c>
      <c r="I478">
        <v>5</v>
      </c>
      <c r="J478" t="s">
        <v>23</v>
      </c>
      <c r="K478" t="s">
        <v>32</v>
      </c>
      <c r="L478" t="s">
        <v>33</v>
      </c>
      <c r="M478">
        <v>21</v>
      </c>
      <c r="N478">
        <v>55</v>
      </c>
      <c r="O478" t="s">
        <v>51</v>
      </c>
      <c r="P478">
        <v>20</v>
      </c>
      <c r="Q478">
        <v>30</v>
      </c>
      <c r="R478">
        <v>30</v>
      </c>
      <c r="S478">
        <v>50</v>
      </c>
      <c r="T478">
        <v>17</v>
      </c>
      <c r="U478" t="s">
        <v>35</v>
      </c>
      <c r="V478">
        <f t="shared" si="42"/>
        <v>0.38181818181818183</v>
      </c>
      <c r="W478">
        <f t="shared" si="43"/>
        <v>-9</v>
      </c>
      <c r="X478">
        <f t="shared" si="44"/>
        <v>5</v>
      </c>
      <c r="Y478">
        <f t="shared" si="45"/>
        <v>0.38181818181818183</v>
      </c>
      <c r="Z478" s="7" t="str">
        <f t="shared" si="46"/>
        <v>Low Sales</v>
      </c>
      <c r="AA478" s="7" t="str">
        <f t="shared" si="47"/>
        <v>High Margin</v>
      </c>
    </row>
    <row r="479" spans="1:27" x14ac:dyDescent="0.25">
      <c r="A479" t="s">
        <v>77</v>
      </c>
      <c r="B479">
        <v>39</v>
      </c>
      <c r="C479">
        <v>1</v>
      </c>
      <c r="D479" s="1">
        <v>41659</v>
      </c>
      <c r="E479">
        <v>244</v>
      </c>
      <c r="F479">
        <v>53</v>
      </c>
      <c r="G479" t="s">
        <v>39</v>
      </c>
      <c r="H479" t="s">
        <v>36</v>
      </c>
      <c r="I479">
        <v>12</v>
      </c>
      <c r="J479" t="s">
        <v>23</v>
      </c>
      <c r="K479" t="s">
        <v>32</v>
      </c>
      <c r="L479" t="s">
        <v>61</v>
      </c>
      <c r="M479">
        <v>21</v>
      </c>
      <c r="N479">
        <v>98</v>
      </c>
      <c r="O479" t="s">
        <v>49</v>
      </c>
      <c r="P479">
        <v>10</v>
      </c>
      <c r="Q479">
        <v>30</v>
      </c>
      <c r="R479">
        <v>20</v>
      </c>
      <c r="S479">
        <v>40</v>
      </c>
      <c r="T479">
        <v>39</v>
      </c>
      <c r="U479" t="s">
        <v>35</v>
      </c>
      <c r="V479">
        <f t="shared" si="42"/>
        <v>0.21428571428571427</v>
      </c>
      <c r="W479">
        <f t="shared" si="43"/>
        <v>1</v>
      </c>
      <c r="X479">
        <f t="shared" si="44"/>
        <v>58</v>
      </c>
      <c r="Y479">
        <f t="shared" si="45"/>
        <v>0.39795918367346939</v>
      </c>
      <c r="Z479" s="7" t="str">
        <f t="shared" si="46"/>
        <v>Low Sales</v>
      </c>
      <c r="AA479" s="7" t="str">
        <f t="shared" si="47"/>
        <v>High Margin</v>
      </c>
    </row>
    <row r="480" spans="1:27" x14ac:dyDescent="0.25">
      <c r="A480" t="s">
        <v>98</v>
      </c>
      <c r="B480">
        <v>46</v>
      </c>
      <c r="C480">
        <v>16</v>
      </c>
      <c r="D480" s="1">
        <v>41660</v>
      </c>
      <c r="E480">
        <v>449</v>
      </c>
      <c r="F480">
        <v>67</v>
      </c>
      <c r="G480" t="s">
        <v>39</v>
      </c>
      <c r="H480" t="s">
        <v>36</v>
      </c>
      <c r="I480">
        <v>14</v>
      </c>
      <c r="J480" t="s">
        <v>23</v>
      </c>
      <c r="K480" t="s">
        <v>32</v>
      </c>
      <c r="L480" t="s">
        <v>61</v>
      </c>
      <c r="M480">
        <v>46</v>
      </c>
      <c r="N480">
        <v>120</v>
      </c>
      <c r="O480" t="s">
        <v>60</v>
      </c>
      <c r="P480">
        <v>20</v>
      </c>
      <c r="Q480">
        <v>30</v>
      </c>
      <c r="R480">
        <v>30</v>
      </c>
      <c r="S480">
        <v>50</v>
      </c>
      <c r="T480">
        <v>36</v>
      </c>
      <c r="U480" t="s">
        <v>35</v>
      </c>
      <c r="V480">
        <f t="shared" si="42"/>
        <v>0.38333333333333336</v>
      </c>
      <c r="W480">
        <f t="shared" si="43"/>
        <v>16</v>
      </c>
      <c r="X480">
        <f t="shared" si="44"/>
        <v>70</v>
      </c>
      <c r="Y480">
        <f t="shared" si="45"/>
        <v>0.38333333333333336</v>
      </c>
      <c r="Z480" s="7" t="str">
        <f t="shared" si="46"/>
        <v>Low Sales</v>
      </c>
      <c r="AA480" s="7" t="str">
        <f t="shared" si="47"/>
        <v>High Margin</v>
      </c>
    </row>
    <row r="481" spans="1:27" x14ac:dyDescent="0.25">
      <c r="A481" t="s">
        <v>76</v>
      </c>
      <c r="B481">
        <v>22</v>
      </c>
      <c r="C481">
        <v>5</v>
      </c>
      <c r="D481" s="1">
        <v>41661</v>
      </c>
      <c r="E481">
        <v>802</v>
      </c>
      <c r="F481">
        <v>34</v>
      </c>
      <c r="G481" t="s">
        <v>39</v>
      </c>
      <c r="H481" t="s">
        <v>36</v>
      </c>
      <c r="I481">
        <v>6</v>
      </c>
      <c r="J481" t="s">
        <v>40</v>
      </c>
      <c r="K481" t="s">
        <v>41</v>
      </c>
      <c r="L481" t="s">
        <v>42</v>
      </c>
      <c r="M481">
        <v>25</v>
      </c>
      <c r="N481">
        <v>60</v>
      </c>
      <c r="O481" t="s">
        <v>48</v>
      </c>
      <c r="P481">
        <v>20</v>
      </c>
      <c r="Q481">
        <v>30</v>
      </c>
      <c r="R481">
        <v>20</v>
      </c>
      <c r="S481">
        <v>50</v>
      </c>
      <c r="T481">
        <v>17</v>
      </c>
      <c r="U481" t="s">
        <v>27</v>
      </c>
      <c r="V481">
        <f t="shared" si="42"/>
        <v>0.41666666666666669</v>
      </c>
      <c r="W481">
        <f t="shared" si="43"/>
        <v>5</v>
      </c>
      <c r="X481">
        <f t="shared" si="44"/>
        <v>10</v>
      </c>
      <c r="Y481">
        <f t="shared" si="45"/>
        <v>0.36666666666666664</v>
      </c>
      <c r="Z481" s="7" t="str">
        <f t="shared" si="46"/>
        <v>Low Sales</v>
      </c>
      <c r="AA481" s="7" t="str">
        <f t="shared" si="47"/>
        <v>High Margin</v>
      </c>
    </row>
    <row r="482" spans="1:27" x14ac:dyDescent="0.25">
      <c r="A482" t="s">
        <v>107</v>
      </c>
      <c r="B482">
        <v>34</v>
      </c>
      <c r="C482">
        <v>4</v>
      </c>
      <c r="D482" s="1">
        <v>41662</v>
      </c>
      <c r="E482">
        <v>-522</v>
      </c>
      <c r="F482">
        <v>42</v>
      </c>
      <c r="G482" t="s">
        <v>39</v>
      </c>
      <c r="H482" t="s">
        <v>29</v>
      </c>
      <c r="I482">
        <v>12</v>
      </c>
      <c r="J482" t="s">
        <v>40</v>
      </c>
      <c r="K482" t="s">
        <v>41</v>
      </c>
      <c r="L482" t="s">
        <v>54</v>
      </c>
      <c r="M482">
        <v>-6</v>
      </c>
      <c r="N482">
        <v>81</v>
      </c>
      <c r="O482" t="s">
        <v>64</v>
      </c>
      <c r="P482">
        <v>20</v>
      </c>
      <c r="Q482">
        <v>30</v>
      </c>
      <c r="R482">
        <v>-10</v>
      </c>
      <c r="S482">
        <v>50</v>
      </c>
      <c r="T482">
        <v>46</v>
      </c>
      <c r="U482" t="s">
        <v>35</v>
      </c>
      <c r="V482">
        <f t="shared" si="42"/>
        <v>-7.407407407407407E-2</v>
      </c>
      <c r="W482">
        <f t="shared" si="43"/>
        <v>4</v>
      </c>
      <c r="X482">
        <f t="shared" si="44"/>
        <v>31</v>
      </c>
      <c r="Y482">
        <f t="shared" si="45"/>
        <v>0.41975308641975306</v>
      </c>
      <c r="Z482" s="7" t="str">
        <f t="shared" si="46"/>
        <v>Low Sales</v>
      </c>
      <c r="AA482" s="7" t="str">
        <f t="shared" si="47"/>
        <v>Low Margin</v>
      </c>
    </row>
    <row r="483" spans="1:27" x14ac:dyDescent="0.25">
      <c r="A483" t="s">
        <v>84</v>
      </c>
      <c r="B483">
        <v>22</v>
      </c>
      <c r="C483">
        <v>-4</v>
      </c>
      <c r="D483" s="1">
        <v>41663</v>
      </c>
      <c r="E483">
        <v>570</v>
      </c>
      <c r="F483">
        <v>30</v>
      </c>
      <c r="G483" t="s">
        <v>39</v>
      </c>
      <c r="H483" t="s">
        <v>36</v>
      </c>
      <c r="I483">
        <v>7</v>
      </c>
      <c r="J483" t="s">
        <v>40</v>
      </c>
      <c r="K483" t="s">
        <v>41</v>
      </c>
      <c r="L483" t="s">
        <v>54</v>
      </c>
      <c r="M483">
        <v>16</v>
      </c>
      <c r="N483">
        <v>55</v>
      </c>
      <c r="O483" t="s">
        <v>60</v>
      </c>
      <c r="P483">
        <v>20</v>
      </c>
      <c r="Q483">
        <v>30</v>
      </c>
      <c r="R483">
        <v>20</v>
      </c>
      <c r="S483">
        <v>50</v>
      </c>
      <c r="T483">
        <v>19</v>
      </c>
      <c r="U483" t="s">
        <v>35</v>
      </c>
      <c r="V483">
        <f t="shared" si="42"/>
        <v>0.29090909090909089</v>
      </c>
      <c r="W483">
        <f t="shared" si="43"/>
        <v>-4</v>
      </c>
      <c r="X483">
        <f t="shared" si="44"/>
        <v>5</v>
      </c>
      <c r="Y483">
        <f t="shared" si="45"/>
        <v>0.4</v>
      </c>
      <c r="Z483" s="7" t="str">
        <f t="shared" si="46"/>
        <v>Low Sales</v>
      </c>
      <c r="AA483" s="7" t="str">
        <f t="shared" si="47"/>
        <v>High Margin</v>
      </c>
    </row>
    <row r="484" spans="1:27" x14ac:dyDescent="0.25">
      <c r="A484" t="s">
        <v>78</v>
      </c>
      <c r="B484">
        <v>33</v>
      </c>
      <c r="C484">
        <v>-6</v>
      </c>
      <c r="D484" s="1">
        <v>41664</v>
      </c>
      <c r="E484">
        <v>243</v>
      </c>
      <c r="F484">
        <v>41</v>
      </c>
      <c r="G484" t="s">
        <v>39</v>
      </c>
      <c r="H484" t="s">
        <v>31</v>
      </c>
      <c r="I484">
        <v>12</v>
      </c>
      <c r="J484" t="s">
        <v>23</v>
      </c>
      <c r="K484" t="s">
        <v>24</v>
      </c>
      <c r="L484" t="s">
        <v>25</v>
      </c>
      <c r="M484">
        <v>-6</v>
      </c>
      <c r="N484">
        <v>79</v>
      </c>
      <c r="O484" t="s">
        <v>51</v>
      </c>
      <c r="P484">
        <v>20</v>
      </c>
      <c r="Q484">
        <v>30</v>
      </c>
      <c r="R484">
        <v>0</v>
      </c>
      <c r="S484">
        <v>50</v>
      </c>
      <c r="T484">
        <v>45</v>
      </c>
      <c r="U484" t="s">
        <v>27</v>
      </c>
      <c r="V484">
        <f t="shared" si="42"/>
        <v>-7.5949367088607597E-2</v>
      </c>
      <c r="W484">
        <f t="shared" si="43"/>
        <v>-6</v>
      </c>
      <c r="X484">
        <f t="shared" si="44"/>
        <v>29</v>
      </c>
      <c r="Y484">
        <f t="shared" si="45"/>
        <v>0.41772151898734178</v>
      </c>
      <c r="Z484" s="7" t="str">
        <f t="shared" si="46"/>
        <v>Low Sales</v>
      </c>
      <c r="AA484" s="7" t="str">
        <f t="shared" si="47"/>
        <v>Low Margin</v>
      </c>
    </row>
    <row r="485" spans="1:27" x14ac:dyDescent="0.25">
      <c r="A485" t="s">
        <v>107</v>
      </c>
      <c r="B485">
        <v>29</v>
      </c>
      <c r="C485">
        <v>-3</v>
      </c>
      <c r="D485" s="1">
        <v>41665</v>
      </c>
      <c r="E485">
        <v>1003</v>
      </c>
      <c r="F485">
        <v>35</v>
      </c>
      <c r="G485" t="s">
        <v>39</v>
      </c>
      <c r="H485" t="s">
        <v>29</v>
      </c>
      <c r="I485">
        <v>8</v>
      </c>
      <c r="J485" t="s">
        <v>23</v>
      </c>
      <c r="K485" t="s">
        <v>24</v>
      </c>
      <c r="L485" t="s">
        <v>25</v>
      </c>
      <c r="M485">
        <v>7</v>
      </c>
      <c r="N485">
        <v>68</v>
      </c>
      <c r="O485" t="s">
        <v>64</v>
      </c>
      <c r="P485">
        <v>20</v>
      </c>
      <c r="Q485">
        <v>30</v>
      </c>
      <c r="R485">
        <v>10</v>
      </c>
      <c r="S485">
        <v>50</v>
      </c>
      <c r="T485">
        <v>30</v>
      </c>
      <c r="U485" t="s">
        <v>27</v>
      </c>
      <c r="V485">
        <f t="shared" si="42"/>
        <v>0.10294117647058823</v>
      </c>
      <c r="W485">
        <f t="shared" si="43"/>
        <v>-3</v>
      </c>
      <c r="X485">
        <f t="shared" si="44"/>
        <v>18</v>
      </c>
      <c r="Y485">
        <f t="shared" si="45"/>
        <v>0.4264705882352941</v>
      </c>
      <c r="Z485" s="7" t="str">
        <f t="shared" si="46"/>
        <v>Low Sales</v>
      </c>
      <c r="AA485" s="7" t="str">
        <f t="shared" si="47"/>
        <v>High Margin</v>
      </c>
    </row>
    <row r="486" spans="1:27" x14ac:dyDescent="0.25">
      <c r="A486" t="s">
        <v>117</v>
      </c>
      <c r="B486">
        <v>25</v>
      </c>
      <c r="C486">
        <v>8</v>
      </c>
      <c r="D486" s="1">
        <v>41666</v>
      </c>
      <c r="E486">
        <v>823</v>
      </c>
      <c r="F486">
        <v>38</v>
      </c>
      <c r="G486" t="s">
        <v>39</v>
      </c>
      <c r="H486" t="s">
        <v>36</v>
      </c>
      <c r="I486">
        <v>7</v>
      </c>
      <c r="J486" t="s">
        <v>23</v>
      </c>
      <c r="K486" t="s">
        <v>24</v>
      </c>
      <c r="L486" t="s">
        <v>57</v>
      </c>
      <c r="M486">
        <v>28</v>
      </c>
      <c r="N486">
        <v>67</v>
      </c>
      <c r="O486" t="s">
        <v>56</v>
      </c>
      <c r="P486">
        <v>20</v>
      </c>
      <c r="Q486">
        <v>30</v>
      </c>
      <c r="R486">
        <v>20</v>
      </c>
      <c r="S486">
        <v>50</v>
      </c>
      <c r="T486">
        <v>19</v>
      </c>
      <c r="U486" t="s">
        <v>27</v>
      </c>
      <c r="V486">
        <f t="shared" si="42"/>
        <v>0.41791044776119401</v>
      </c>
      <c r="W486">
        <f t="shared" si="43"/>
        <v>8</v>
      </c>
      <c r="X486">
        <f t="shared" si="44"/>
        <v>17</v>
      </c>
      <c r="Y486">
        <f t="shared" si="45"/>
        <v>0.37313432835820898</v>
      </c>
      <c r="Z486" s="7" t="str">
        <f t="shared" si="46"/>
        <v>Low Sales</v>
      </c>
      <c r="AA486" s="7" t="str">
        <f t="shared" si="47"/>
        <v>High Margin</v>
      </c>
    </row>
    <row r="487" spans="1:27" x14ac:dyDescent="0.25">
      <c r="A487" t="s">
        <v>78</v>
      </c>
      <c r="B487">
        <v>15</v>
      </c>
      <c r="C487">
        <v>-8</v>
      </c>
      <c r="D487" s="1">
        <v>41667</v>
      </c>
      <c r="E487">
        <v>848</v>
      </c>
      <c r="F487">
        <v>24</v>
      </c>
      <c r="G487" t="s">
        <v>39</v>
      </c>
      <c r="H487" t="s">
        <v>31</v>
      </c>
      <c r="I487">
        <v>4</v>
      </c>
      <c r="J487" t="s">
        <v>23</v>
      </c>
      <c r="K487" t="s">
        <v>32</v>
      </c>
      <c r="L487" t="s">
        <v>33</v>
      </c>
      <c r="M487">
        <v>12</v>
      </c>
      <c r="N487">
        <v>42</v>
      </c>
      <c r="O487" t="s">
        <v>51</v>
      </c>
      <c r="P487">
        <v>10</v>
      </c>
      <c r="Q487">
        <v>30</v>
      </c>
      <c r="R487">
        <v>20</v>
      </c>
      <c r="S487">
        <v>40</v>
      </c>
      <c r="T487">
        <v>16</v>
      </c>
      <c r="U487" t="s">
        <v>35</v>
      </c>
      <c r="V487">
        <f t="shared" si="42"/>
        <v>0.2857142857142857</v>
      </c>
      <c r="W487">
        <f t="shared" si="43"/>
        <v>-8</v>
      </c>
      <c r="X487">
        <f t="shared" si="44"/>
        <v>2</v>
      </c>
      <c r="Y487">
        <f t="shared" si="45"/>
        <v>0.35714285714285715</v>
      </c>
      <c r="Z487" s="7" t="str">
        <f t="shared" si="46"/>
        <v>Low Sales</v>
      </c>
      <c r="AA487" s="7" t="str">
        <f t="shared" si="47"/>
        <v>High Margin</v>
      </c>
    </row>
    <row r="488" spans="1:27" x14ac:dyDescent="0.25">
      <c r="A488" t="s">
        <v>80</v>
      </c>
      <c r="B488">
        <v>32</v>
      </c>
      <c r="C488">
        <v>12</v>
      </c>
      <c r="D488" s="1">
        <v>41668</v>
      </c>
      <c r="E488">
        <v>482</v>
      </c>
      <c r="F488">
        <v>48</v>
      </c>
      <c r="G488" t="s">
        <v>39</v>
      </c>
      <c r="H488" t="s">
        <v>36</v>
      </c>
      <c r="I488">
        <v>8</v>
      </c>
      <c r="J488" t="s">
        <v>23</v>
      </c>
      <c r="K488" t="s">
        <v>32</v>
      </c>
      <c r="L488" t="s">
        <v>33</v>
      </c>
      <c r="M488">
        <v>42</v>
      </c>
      <c r="N488">
        <v>85</v>
      </c>
      <c r="O488" t="s">
        <v>56</v>
      </c>
      <c r="P488">
        <v>20</v>
      </c>
      <c r="Q488">
        <v>30</v>
      </c>
      <c r="R488">
        <v>30</v>
      </c>
      <c r="S488">
        <v>50</v>
      </c>
      <c r="T488">
        <v>20</v>
      </c>
      <c r="U488" t="s">
        <v>35</v>
      </c>
      <c r="V488">
        <f t="shared" si="42"/>
        <v>0.49411764705882355</v>
      </c>
      <c r="W488">
        <f t="shared" si="43"/>
        <v>12</v>
      </c>
      <c r="X488">
        <f t="shared" si="44"/>
        <v>35</v>
      </c>
      <c r="Y488">
        <f t="shared" si="45"/>
        <v>0.37647058823529411</v>
      </c>
      <c r="Z488" s="7" t="str">
        <f t="shared" si="46"/>
        <v>Low Sales</v>
      </c>
      <c r="AA488" s="7" t="str">
        <f t="shared" si="47"/>
        <v>High Margin</v>
      </c>
    </row>
    <row r="489" spans="1:27" x14ac:dyDescent="0.25">
      <c r="A489" t="s">
        <v>77</v>
      </c>
      <c r="B489">
        <v>35</v>
      </c>
      <c r="C489">
        <v>3</v>
      </c>
      <c r="D489" s="1">
        <v>41669</v>
      </c>
      <c r="E489">
        <v>248</v>
      </c>
      <c r="F489">
        <v>47</v>
      </c>
      <c r="G489" t="s">
        <v>39</v>
      </c>
      <c r="H489" t="s">
        <v>36</v>
      </c>
      <c r="I489">
        <v>11</v>
      </c>
      <c r="J489" t="s">
        <v>23</v>
      </c>
      <c r="K489" t="s">
        <v>32</v>
      </c>
      <c r="L489" t="s">
        <v>61</v>
      </c>
      <c r="M489">
        <v>13</v>
      </c>
      <c r="N489">
        <v>87</v>
      </c>
      <c r="O489" t="s">
        <v>49</v>
      </c>
      <c r="P489">
        <v>20</v>
      </c>
      <c r="Q489">
        <v>30</v>
      </c>
      <c r="R489">
        <v>10</v>
      </c>
      <c r="S489">
        <v>50</v>
      </c>
      <c r="T489">
        <v>38</v>
      </c>
      <c r="U489" t="s">
        <v>35</v>
      </c>
      <c r="V489">
        <f t="shared" si="42"/>
        <v>0.14942528735632185</v>
      </c>
      <c r="W489">
        <f t="shared" si="43"/>
        <v>3</v>
      </c>
      <c r="X489">
        <f t="shared" si="44"/>
        <v>37</v>
      </c>
      <c r="Y489">
        <f t="shared" si="45"/>
        <v>0.40229885057471265</v>
      </c>
      <c r="Z489" s="7" t="str">
        <f t="shared" si="46"/>
        <v>Low Sales</v>
      </c>
      <c r="AA489" s="7" t="str">
        <f t="shared" si="47"/>
        <v>High Margin</v>
      </c>
    </row>
    <row r="490" spans="1:27" x14ac:dyDescent="0.25">
      <c r="A490" t="s">
        <v>77</v>
      </c>
      <c r="B490">
        <v>34</v>
      </c>
      <c r="C490">
        <v>-4</v>
      </c>
      <c r="D490" s="1">
        <v>41670</v>
      </c>
      <c r="E490">
        <v>211</v>
      </c>
      <c r="F490">
        <v>42</v>
      </c>
      <c r="G490" t="s">
        <v>39</v>
      </c>
      <c r="H490" t="s">
        <v>36</v>
      </c>
      <c r="I490">
        <v>12</v>
      </c>
      <c r="J490" t="s">
        <v>23</v>
      </c>
      <c r="K490" t="s">
        <v>32</v>
      </c>
      <c r="L490" t="s">
        <v>37</v>
      </c>
      <c r="M490">
        <v>-4</v>
      </c>
      <c r="N490">
        <v>81</v>
      </c>
      <c r="O490" t="s">
        <v>49</v>
      </c>
      <c r="P490">
        <v>20</v>
      </c>
      <c r="Q490">
        <v>30</v>
      </c>
      <c r="R490">
        <v>0</v>
      </c>
      <c r="S490">
        <v>50</v>
      </c>
      <c r="T490">
        <v>45</v>
      </c>
      <c r="U490" t="s">
        <v>35</v>
      </c>
      <c r="V490">
        <f t="shared" si="42"/>
        <v>-4.9382716049382713E-2</v>
      </c>
      <c r="W490">
        <f t="shared" si="43"/>
        <v>-4</v>
      </c>
      <c r="X490">
        <f t="shared" si="44"/>
        <v>31</v>
      </c>
      <c r="Y490">
        <f t="shared" si="45"/>
        <v>0.41975308641975306</v>
      </c>
      <c r="Z490" s="7" t="str">
        <f t="shared" si="46"/>
        <v>Low Sales</v>
      </c>
      <c r="AA490" s="7" t="str">
        <f t="shared" si="47"/>
        <v>Low Margin</v>
      </c>
    </row>
    <row r="491" spans="1:27" x14ac:dyDescent="0.25">
      <c r="A491" t="s">
        <v>147</v>
      </c>
      <c r="B491">
        <v>24</v>
      </c>
      <c r="C491">
        <v>-2</v>
      </c>
      <c r="D491" s="1">
        <v>41671</v>
      </c>
      <c r="E491">
        <v>567</v>
      </c>
      <c r="F491">
        <v>32</v>
      </c>
      <c r="G491" t="s">
        <v>21</v>
      </c>
      <c r="H491" t="s">
        <v>31</v>
      </c>
      <c r="I491">
        <v>7</v>
      </c>
      <c r="J491" t="s">
        <v>23</v>
      </c>
      <c r="K491" t="s">
        <v>24</v>
      </c>
      <c r="L491" t="s">
        <v>57</v>
      </c>
      <c r="M491">
        <v>18</v>
      </c>
      <c r="N491">
        <v>60</v>
      </c>
      <c r="O491" t="s">
        <v>34</v>
      </c>
      <c r="P491">
        <v>10</v>
      </c>
      <c r="Q491">
        <v>30</v>
      </c>
      <c r="R491">
        <v>20</v>
      </c>
      <c r="S491">
        <v>40</v>
      </c>
      <c r="T491">
        <v>20</v>
      </c>
      <c r="U491" t="s">
        <v>27</v>
      </c>
      <c r="V491">
        <f t="shared" si="42"/>
        <v>0.3</v>
      </c>
      <c r="W491">
        <f t="shared" si="43"/>
        <v>-2</v>
      </c>
      <c r="X491">
        <f t="shared" si="44"/>
        <v>20</v>
      </c>
      <c r="Y491">
        <f t="shared" si="45"/>
        <v>0.4</v>
      </c>
      <c r="Z491" s="7" t="str">
        <f t="shared" si="46"/>
        <v>Low Sales</v>
      </c>
      <c r="AA491" s="7" t="str">
        <f t="shared" si="47"/>
        <v>High Margin</v>
      </c>
    </row>
    <row r="492" spans="1:27" x14ac:dyDescent="0.25">
      <c r="A492" t="s">
        <v>107</v>
      </c>
      <c r="B492">
        <v>38</v>
      </c>
      <c r="C492">
        <v>18</v>
      </c>
      <c r="D492" s="1">
        <v>41672</v>
      </c>
      <c r="E492">
        <v>256</v>
      </c>
      <c r="F492">
        <v>51</v>
      </c>
      <c r="G492" t="s">
        <v>39</v>
      </c>
      <c r="H492" t="s">
        <v>29</v>
      </c>
      <c r="I492">
        <v>12</v>
      </c>
      <c r="J492" t="s">
        <v>40</v>
      </c>
      <c r="K492" t="s">
        <v>41</v>
      </c>
      <c r="L492" t="s">
        <v>42</v>
      </c>
      <c r="M492">
        <v>18</v>
      </c>
      <c r="N492">
        <v>95</v>
      </c>
      <c r="O492" t="s">
        <v>64</v>
      </c>
      <c r="P492">
        <v>30</v>
      </c>
      <c r="Q492">
        <v>30</v>
      </c>
      <c r="R492">
        <v>0</v>
      </c>
      <c r="S492">
        <v>60</v>
      </c>
      <c r="T492">
        <v>39</v>
      </c>
      <c r="U492" t="s">
        <v>27</v>
      </c>
      <c r="V492">
        <f t="shared" si="42"/>
        <v>0.18947368421052632</v>
      </c>
      <c r="W492">
        <f t="shared" si="43"/>
        <v>18</v>
      </c>
      <c r="X492">
        <f t="shared" si="44"/>
        <v>35</v>
      </c>
      <c r="Y492">
        <f t="shared" si="45"/>
        <v>0.4</v>
      </c>
      <c r="Z492" s="7" t="str">
        <f t="shared" si="46"/>
        <v>Low Sales</v>
      </c>
      <c r="AA492" s="7" t="str">
        <f t="shared" si="47"/>
        <v>High Margin</v>
      </c>
    </row>
    <row r="493" spans="1:27" x14ac:dyDescent="0.25">
      <c r="A493" t="s">
        <v>76</v>
      </c>
      <c r="B493">
        <v>23</v>
      </c>
      <c r="C493">
        <v>5</v>
      </c>
      <c r="D493" s="1">
        <v>41673</v>
      </c>
      <c r="E493">
        <v>807</v>
      </c>
      <c r="F493">
        <v>35</v>
      </c>
      <c r="G493" t="s">
        <v>39</v>
      </c>
      <c r="H493" t="s">
        <v>36</v>
      </c>
      <c r="I493">
        <v>6</v>
      </c>
      <c r="J493" t="s">
        <v>40</v>
      </c>
      <c r="K493" t="s">
        <v>41</v>
      </c>
      <c r="L493" t="s">
        <v>42</v>
      </c>
      <c r="M493">
        <v>25</v>
      </c>
      <c r="N493">
        <v>62</v>
      </c>
      <c r="O493" t="s">
        <v>48</v>
      </c>
      <c r="P493">
        <v>20</v>
      </c>
      <c r="Q493">
        <v>30</v>
      </c>
      <c r="R493">
        <v>20</v>
      </c>
      <c r="S493">
        <v>50</v>
      </c>
      <c r="T493">
        <v>18</v>
      </c>
      <c r="U493" t="s">
        <v>27</v>
      </c>
      <c r="V493">
        <f t="shared" si="42"/>
        <v>0.40322580645161288</v>
      </c>
      <c r="W493">
        <f t="shared" si="43"/>
        <v>5</v>
      </c>
      <c r="X493">
        <f t="shared" si="44"/>
        <v>12</v>
      </c>
      <c r="Y493">
        <f t="shared" si="45"/>
        <v>0.37096774193548387</v>
      </c>
      <c r="Z493" s="7" t="str">
        <f t="shared" si="46"/>
        <v>Low Sales</v>
      </c>
      <c r="AA493" s="7" t="str">
        <f t="shared" si="47"/>
        <v>High Margin</v>
      </c>
    </row>
    <row r="494" spans="1:27" x14ac:dyDescent="0.25">
      <c r="A494" t="s">
        <v>114</v>
      </c>
      <c r="B494">
        <v>16</v>
      </c>
      <c r="C494">
        <v>-5</v>
      </c>
      <c r="D494" s="1">
        <v>41674</v>
      </c>
      <c r="E494">
        <v>851</v>
      </c>
      <c r="F494">
        <v>25</v>
      </c>
      <c r="G494" t="s">
        <v>39</v>
      </c>
      <c r="H494" t="s">
        <v>22</v>
      </c>
      <c r="I494">
        <v>4</v>
      </c>
      <c r="J494" t="s">
        <v>40</v>
      </c>
      <c r="K494" t="s">
        <v>45</v>
      </c>
      <c r="L494" t="s">
        <v>50</v>
      </c>
      <c r="M494">
        <v>15</v>
      </c>
      <c r="N494">
        <v>44</v>
      </c>
      <c r="O494" t="s">
        <v>43</v>
      </c>
      <c r="P494">
        <v>10</v>
      </c>
      <c r="Q494">
        <v>30</v>
      </c>
      <c r="R494">
        <v>20</v>
      </c>
      <c r="S494">
        <v>40</v>
      </c>
      <c r="T494">
        <v>15</v>
      </c>
      <c r="U494" t="s">
        <v>35</v>
      </c>
      <c r="V494">
        <f t="shared" si="42"/>
        <v>0.34090909090909088</v>
      </c>
      <c r="W494">
        <f t="shared" si="43"/>
        <v>-5</v>
      </c>
      <c r="X494">
        <f t="shared" si="44"/>
        <v>4</v>
      </c>
      <c r="Y494">
        <f t="shared" si="45"/>
        <v>0.36363636363636365</v>
      </c>
      <c r="Z494" s="7" t="str">
        <f t="shared" si="46"/>
        <v>Low Sales</v>
      </c>
      <c r="AA494" s="7" t="str">
        <f t="shared" si="47"/>
        <v>High Margin</v>
      </c>
    </row>
    <row r="495" spans="1:27" x14ac:dyDescent="0.25">
      <c r="A495" t="s">
        <v>145</v>
      </c>
      <c r="B495">
        <v>31</v>
      </c>
      <c r="C495">
        <v>2</v>
      </c>
      <c r="D495" s="1">
        <v>41675</v>
      </c>
      <c r="E495">
        <v>1009</v>
      </c>
      <c r="F495">
        <v>38</v>
      </c>
      <c r="G495" t="s">
        <v>39</v>
      </c>
      <c r="H495" t="s">
        <v>22</v>
      </c>
      <c r="I495">
        <v>9</v>
      </c>
      <c r="J495" t="s">
        <v>40</v>
      </c>
      <c r="K495" t="s">
        <v>45</v>
      </c>
      <c r="L495" t="s">
        <v>52</v>
      </c>
      <c r="M495">
        <v>12</v>
      </c>
      <c r="N495">
        <v>74</v>
      </c>
      <c r="O495" t="s">
        <v>43</v>
      </c>
      <c r="P495">
        <v>30</v>
      </c>
      <c r="Q495">
        <v>30</v>
      </c>
      <c r="R495">
        <v>10</v>
      </c>
      <c r="S495">
        <v>60</v>
      </c>
      <c r="T495">
        <v>30</v>
      </c>
      <c r="U495" t="s">
        <v>35</v>
      </c>
      <c r="V495">
        <f t="shared" si="42"/>
        <v>0.16216216216216217</v>
      </c>
      <c r="W495">
        <f t="shared" si="43"/>
        <v>2</v>
      </c>
      <c r="X495">
        <f t="shared" si="44"/>
        <v>14</v>
      </c>
      <c r="Y495">
        <f t="shared" si="45"/>
        <v>0.41891891891891891</v>
      </c>
      <c r="Z495" s="7" t="str">
        <f t="shared" si="46"/>
        <v>Low Sales</v>
      </c>
      <c r="AA495" s="7" t="str">
        <f t="shared" si="47"/>
        <v>High Margin</v>
      </c>
    </row>
    <row r="496" spans="1:27" x14ac:dyDescent="0.25">
      <c r="A496" t="s">
        <v>78</v>
      </c>
      <c r="B496">
        <v>20</v>
      </c>
      <c r="C496">
        <v>-24</v>
      </c>
      <c r="D496" s="1">
        <v>41676</v>
      </c>
      <c r="E496">
        <v>218</v>
      </c>
      <c r="F496">
        <v>25</v>
      </c>
      <c r="G496" t="s">
        <v>39</v>
      </c>
      <c r="H496" t="s">
        <v>31</v>
      </c>
      <c r="I496">
        <v>7</v>
      </c>
      <c r="J496" t="s">
        <v>40</v>
      </c>
      <c r="K496" t="s">
        <v>41</v>
      </c>
      <c r="L496" t="s">
        <v>66</v>
      </c>
      <c r="M496">
        <v>-24</v>
      </c>
      <c r="N496">
        <v>48</v>
      </c>
      <c r="O496" t="s">
        <v>51</v>
      </c>
      <c r="P496">
        <v>10</v>
      </c>
      <c r="Q496">
        <v>30</v>
      </c>
      <c r="R496">
        <v>0</v>
      </c>
      <c r="S496">
        <v>40</v>
      </c>
      <c r="T496">
        <v>41</v>
      </c>
      <c r="U496" t="s">
        <v>35</v>
      </c>
      <c r="V496">
        <f t="shared" si="42"/>
        <v>-0.5</v>
      </c>
      <c r="W496">
        <f t="shared" si="43"/>
        <v>-24</v>
      </c>
      <c r="X496">
        <f t="shared" si="44"/>
        <v>8</v>
      </c>
      <c r="Y496">
        <f t="shared" si="45"/>
        <v>0.41666666666666669</v>
      </c>
      <c r="Z496" s="7" t="str">
        <f t="shared" si="46"/>
        <v>Low Sales</v>
      </c>
      <c r="AA496" s="7" t="str">
        <f t="shared" si="47"/>
        <v>Low Margin</v>
      </c>
    </row>
    <row r="497" spans="1:27" x14ac:dyDescent="0.25">
      <c r="A497" t="s">
        <v>96</v>
      </c>
      <c r="B497">
        <v>29</v>
      </c>
      <c r="C497">
        <v>16</v>
      </c>
      <c r="D497" s="1">
        <v>41677</v>
      </c>
      <c r="E497">
        <v>490</v>
      </c>
      <c r="F497">
        <v>44</v>
      </c>
      <c r="G497" t="s">
        <v>39</v>
      </c>
      <c r="H497" t="s">
        <v>29</v>
      </c>
      <c r="I497">
        <v>8</v>
      </c>
      <c r="J497" t="s">
        <v>40</v>
      </c>
      <c r="K497" t="s">
        <v>41</v>
      </c>
      <c r="L497" t="s">
        <v>53</v>
      </c>
      <c r="M497">
        <v>36</v>
      </c>
      <c r="N497">
        <v>78</v>
      </c>
      <c r="O497" t="s">
        <v>47</v>
      </c>
      <c r="P497">
        <v>20</v>
      </c>
      <c r="Q497">
        <v>30</v>
      </c>
      <c r="R497">
        <v>20</v>
      </c>
      <c r="S497">
        <v>50</v>
      </c>
      <c r="T497">
        <v>20</v>
      </c>
      <c r="U497" t="s">
        <v>35</v>
      </c>
      <c r="V497">
        <f t="shared" si="42"/>
        <v>0.46153846153846156</v>
      </c>
      <c r="W497">
        <f t="shared" si="43"/>
        <v>16</v>
      </c>
      <c r="X497">
        <f t="shared" si="44"/>
        <v>28</v>
      </c>
      <c r="Y497">
        <f t="shared" si="45"/>
        <v>0.37179487179487181</v>
      </c>
      <c r="Z497" s="7" t="str">
        <f t="shared" si="46"/>
        <v>Low Sales</v>
      </c>
      <c r="AA497" s="7" t="str">
        <f t="shared" si="47"/>
        <v>High Margin</v>
      </c>
    </row>
    <row r="498" spans="1:27" x14ac:dyDescent="0.25">
      <c r="A498" t="s">
        <v>100</v>
      </c>
      <c r="B498">
        <v>24</v>
      </c>
      <c r="C498">
        <v>-1</v>
      </c>
      <c r="D498" s="1">
        <v>41678</v>
      </c>
      <c r="E498">
        <v>567</v>
      </c>
      <c r="F498">
        <v>32</v>
      </c>
      <c r="G498" t="s">
        <v>39</v>
      </c>
      <c r="H498" t="s">
        <v>36</v>
      </c>
      <c r="I498">
        <v>7</v>
      </c>
      <c r="J498" t="s">
        <v>40</v>
      </c>
      <c r="K498" t="s">
        <v>41</v>
      </c>
      <c r="L498" t="s">
        <v>54</v>
      </c>
      <c r="M498">
        <v>19</v>
      </c>
      <c r="N498">
        <v>60</v>
      </c>
      <c r="O498" t="s">
        <v>60</v>
      </c>
      <c r="P498">
        <v>20</v>
      </c>
      <c r="Q498">
        <v>30</v>
      </c>
      <c r="R498">
        <v>20</v>
      </c>
      <c r="S498">
        <v>50</v>
      </c>
      <c r="T498">
        <v>19</v>
      </c>
      <c r="U498" t="s">
        <v>35</v>
      </c>
      <c r="V498">
        <f t="shared" si="42"/>
        <v>0.31666666666666665</v>
      </c>
      <c r="W498">
        <f t="shared" si="43"/>
        <v>-1</v>
      </c>
      <c r="X498">
        <f t="shared" si="44"/>
        <v>10</v>
      </c>
      <c r="Y498">
        <f t="shared" si="45"/>
        <v>0.4</v>
      </c>
      <c r="Z498" s="7" t="str">
        <f t="shared" si="46"/>
        <v>Low Sales</v>
      </c>
      <c r="AA498" s="7" t="str">
        <f t="shared" si="47"/>
        <v>High Margin</v>
      </c>
    </row>
    <row r="499" spans="1:27" x14ac:dyDescent="0.25">
      <c r="A499" t="s">
        <v>80</v>
      </c>
      <c r="B499">
        <v>24</v>
      </c>
      <c r="C499">
        <v>8</v>
      </c>
      <c r="D499" s="1">
        <v>41679</v>
      </c>
      <c r="E499">
        <v>829</v>
      </c>
      <c r="F499">
        <v>36</v>
      </c>
      <c r="G499" t="s">
        <v>39</v>
      </c>
      <c r="H499" t="s">
        <v>36</v>
      </c>
      <c r="I499">
        <v>6</v>
      </c>
      <c r="J499" t="s">
        <v>23</v>
      </c>
      <c r="K499" t="s">
        <v>24</v>
      </c>
      <c r="L499" t="s">
        <v>57</v>
      </c>
      <c r="M499">
        <v>28</v>
      </c>
      <c r="N499">
        <v>64</v>
      </c>
      <c r="O499" t="s">
        <v>56</v>
      </c>
      <c r="P499">
        <v>20</v>
      </c>
      <c r="Q499">
        <v>30</v>
      </c>
      <c r="R499">
        <v>20</v>
      </c>
      <c r="S499">
        <v>50</v>
      </c>
      <c r="T499">
        <v>17</v>
      </c>
      <c r="U499" t="s">
        <v>27</v>
      </c>
      <c r="V499">
        <f t="shared" si="42"/>
        <v>0.4375</v>
      </c>
      <c r="W499">
        <f t="shared" si="43"/>
        <v>8</v>
      </c>
      <c r="X499">
        <f t="shared" si="44"/>
        <v>14</v>
      </c>
      <c r="Y499">
        <f t="shared" si="45"/>
        <v>0.375</v>
      </c>
      <c r="Z499" s="7" t="str">
        <f t="shared" si="46"/>
        <v>Low Sales</v>
      </c>
      <c r="AA499" s="7" t="str">
        <f t="shared" si="47"/>
        <v>High Margin</v>
      </c>
    </row>
    <row r="500" spans="1:27" x14ac:dyDescent="0.25">
      <c r="A500" t="s">
        <v>78</v>
      </c>
      <c r="B500">
        <v>16</v>
      </c>
      <c r="C500">
        <v>-5</v>
      </c>
      <c r="D500" s="1">
        <v>41680</v>
      </c>
      <c r="E500">
        <v>851</v>
      </c>
      <c r="F500">
        <v>25</v>
      </c>
      <c r="G500" t="s">
        <v>39</v>
      </c>
      <c r="H500" t="s">
        <v>31</v>
      </c>
      <c r="I500">
        <v>4</v>
      </c>
      <c r="J500" t="s">
        <v>23</v>
      </c>
      <c r="K500" t="s">
        <v>32</v>
      </c>
      <c r="L500" t="s">
        <v>33</v>
      </c>
      <c r="M500">
        <v>15</v>
      </c>
      <c r="N500">
        <v>44</v>
      </c>
      <c r="O500" t="s">
        <v>51</v>
      </c>
      <c r="P500">
        <v>10</v>
      </c>
      <c r="Q500">
        <v>30</v>
      </c>
      <c r="R500">
        <v>20</v>
      </c>
      <c r="S500">
        <v>40</v>
      </c>
      <c r="T500">
        <v>15</v>
      </c>
      <c r="U500" t="s">
        <v>35</v>
      </c>
      <c r="V500">
        <f t="shared" si="42"/>
        <v>0.34090909090909088</v>
      </c>
      <c r="W500">
        <f t="shared" si="43"/>
        <v>-5</v>
      </c>
      <c r="X500">
        <f t="shared" si="44"/>
        <v>4</v>
      </c>
      <c r="Y500">
        <f t="shared" si="45"/>
        <v>0.36363636363636365</v>
      </c>
      <c r="Z500" s="7" t="str">
        <f t="shared" si="46"/>
        <v>Low Sales</v>
      </c>
      <c r="AA500" s="7" t="str">
        <f t="shared" si="47"/>
        <v>High Margin</v>
      </c>
    </row>
    <row r="501" spans="1:27" x14ac:dyDescent="0.25">
      <c r="A501" t="s">
        <v>117</v>
      </c>
      <c r="B501">
        <v>29</v>
      </c>
      <c r="C501">
        <v>7</v>
      </c>
      <c r="D501" s="1">
        <v>41681</v>
      </c>
      <c r="E501">
        <v>490</v>
      </c>
      <c r="F501">
        <v>44</v>
      </c>
      <c r="G501" t="s">
        <v>39</v>
      </c>
      <c r="H501" t="s">
        <v>36</v>
      </c>
      <c r="I501">
        <v>8</v>
      </c>
      <c r="J501" t="s">
        <v>23</v>
      </c>
      <c r="K501" t="s">
        <v>32</v>
      </c>
      <c r="L501" t="s">
        <v>33</v>
      </c>
      <c r="M501">
        <v>37</v>
      </c>
      <c r="N501">
        <v>78</v>
      </c>
      <c r="O501" t="s">
        <v>56</v>
      </c>
      <c r="P501">
        <v>20</v>
      </c>
      <c r="Q501">
        <v>30</v>
      </c>
      <c r="R501">
        <v>30</v>
      </c>
      <c r="S501">
        <v>50</v>
      </c>
      <c r="T501">
        <v>19</v>
      </c>
      <c r="U501" t="s">
        <v>35</v>
      </c>
      <c r="V501">
        <f t="shared" si="42"/>
        <v>0.47435897435897434</v>
      </c>
      <c r="W501">
        <f t="shared" si="43"/>
        <v>7</v>
      </c>
      <c r="X501">
        <f t="shared" si="44"/>
        <v>28</v>
      </c>
      <c r="Y501">
        <f t="shared" si="45"/>
        <v>0.37179487179487181</v>
      </c>
      <c r="Z501" s="7" t="str">
        <f t="shared" si="46"/>
        <v>Low Sales</v>
      </c>
      <c r="AA501" s="7" t="str">
        <f t="shared" si="47"/>
        <v>High Margin</v>
      </c>
    </row>
    <row r="502" spans="1:27" x14ac:dyDescent="0.25">
      <c r="A502" t="s">
        <v>86</v>
      </c>
      <c r="B502">
        <v>76</v>
      </c>
      <c r="C502">
        <v>-2</v>
      </c>
      <c r="D502" s="1">
        <v>41682</v>
      </c>
      <c r="E502">
        <v>580</v>
      </c>
      <c r="F502">
        <v>111</v>
      </c>
      <c r="G502" t="s">
        <v>21</v>
      </c>
      <c r="H502" t="s">
        <v>29</v>
      </c>
      <c r="I502">
        <v>21</v>
      </c>
      <c r="J502" t="s">
        <v>40</v>
      </c>
      <c r="K502" t="s">
        <v>41</v>
      </c>
      <c r="L502" t="s">
        <v>42</v>
      </c>
      <c r="M502">
        <v>78</v>
      </c>
      <c r="N502">
        <v>187</v>
      </c>
      <c r="O502" t="s">
        <v>30</v>
      </c>
      <c r="P502">
        <v>40</v>
      </c>
      <c r="Q502">
        <v>80</v>
      </c>
      <c r="R502">
        <v>80</v>
      </c>
      <c r="S502">
        <v>120</v>
      </c>
      <c r="T502">
        <v>33</v>
      </c>
      <c r="U502" t="s">
        <v>27</v>
      </c>
      <c r="V502">
        <f t="shared" si="42"/>
        <v>0.41711229946524064</v>
      </c>
      <c r="W502">
        <f t="shared" si="43"/>
        <v>-2</v>
      </c>
      <c r="X502">
        <f t="shared" si="44"/>
        <v>67</v>
      </c>
      <c r="Y502">
        <f t="shared" si="45"/>
        <v>0.40641711229946526</v>
      </c>
      <c r="Z502" s="7" t="str">
        <f t="shared" si="46"/>
        <v>Low Sales</v>
      </c>
      <c r="AA502" s="7" t="str">
        <f t="shared" si="47"/>
        <v>High Margin</v>
      </c>
    </row>
    <row r="503" spans="1:27" x14ac:dyDescent="0.25">
      <c r="A503" t="s">
        <v>167</v>
      </c>
      <c r="B503">
        <v>52</v>
      </c>
      <c r="C503">
        <v>-44</v>
      </c>
      <c r="D503" s="1">
        <v>41683</v>
      </c>
      <c r="E503">
        <v>405</v>
      </c>
      <c r="F503">
        <v>71</v>
      </c>
      <c r="G503" t="s">
        <v>21</v>
      </c>
      <c r="H503" t="s">
        <v>29</v>
      </c>
      <c r="I503">
        <v>17</v>
      </c>
      <c r="J503" t="s">
        <v>23</v>
      </c>
      <c r="K503" t="s">
        <v>24</v>
      </c>
      <c r="L503" t="s">
        <v>57</v>
      </c>
      <c r="M503">
        <v>26</v>
      </c>
      <c r="N503">
        <v>123</v>
      </c>
      <c r="O503" t="s">
        <v>30</v>
      </c>
      <c r="P503">
        <v>30</v>
      </c>
      <c r="Q503">
        <v>80</v>
      </c>
      <c r="R503">
        <v>70</v>
      </c>
      <c r="S503">
        <v>110</v>
      </c>
      <c r="T503">
        <v>45</v>
      </c>
      <c r="U503" t="s">
        <v>27</v>
      </c>
      <c r="V503">
        <f t="shared" si="42"/>
        <v>0.21138211382113822</v>
      </c>
      <c r="W503">
        <f t="shared" si="43"/>
        <v>-44</v>
      </c>
      <c r="X503">
        <f t="shared" si="44"/>
        <v>13</v>
      </c>
      <c r="Y503">
        <f t="shared" si="45"/>
        <v>0.42276422764227645</v>
      </c>
      <c r="Z503" s="7" t="str">
        <f t="shared" si="46"/>
        <v>Low Sales</v>
      </c>
      <c r="AA503" s="7" t="str">
        <f t="shared" si="47"/>
        <v>High Margin</v>
      </c>
    </row>
    <row r="504" spans="1:27" x14ac:dyDescent="0.25">
      <c r="A504" t="s">
        <v>179</v>
      </c>
      <c r="B504">
        <v>76</v>
      </c>
      <c r="C504">
        <v>-2</v>
      </c>
      <c r="D504" s="1">
        <v>41684</v>
      </c>
      <c r="E504">
        <v>580</v>
      </c>
      <c r="F504">
        <v>111</v>
      </c>
      <c r="G504" t="s">
        <v>21</v>
      </c>
      <c r="H504" t="s">
        <v>22</v>
      </c>
      <c r="I504">
        <v>21</v>
      </c>
      <c r="J504" t="s">
        <v>23</v>
      </c>
      <c r="K504" t="s">
        <v>32</v>
      </c>
      <c r="L504" t="s">
        <v>33</v>
      </c>
      <c r="M504">
        <v>78</v>
      </c>
      <c r="N504">
        <v>187</v>
      </c>
      <c r="O504" t="s">
        <v>63</v>
      </c>
      <c r="P504">
        <v>50</v>
      </c>
      <c r="Q504">
        <v>80</v>
      </c>
      <c r="R504">
        <v>80</v>
      </c>
      <c r="S504">
        <v>130</v>
      </c>
      <c r="T504">
        <v>33</v>
      </c>
      <c r="U504" t="s">
        <v>35</v>
      </c>
      <c r="V504">
        <f t="shared" si="42"/>
        <v>0.41711229946524064</v>
      </c>
      <c r="W504">
        <f t="shared" si="43"/>
        <v>-2</v>
      </c>
      <c r="X504">
        <f t="shared" si="44"/>
        <v>57</v>
      </c>
      <c r="Y504">
        <f t="shared" si="45"/>
        <v>0.40641711229946526</v>
      </c>
      <c r="Z504" s="7" t="str">
        <f t="shared" si="46"/>
        <v>Low Sales</v>
      </c>
      <c r="AA504" s="7" t="str">
        <f t="shared" si="47"/>
        <v>High Margin</v>
      </c>
    </row>
    <row r="505" spans="1:27" x14ac:dyDescent="0.25">
      <c r="A505" t="s">
        <v>92</v>
      </c>
      <c r="B505">
        <v>72</v>
      </c>
      <c r="C505">
        <v>5</v>
      </c>
      <c r="D505" s="1">
        <v>41685</v>
      </c>
      <c r="E505">
        <v>650</v>
      </c>
      <c r="F505">
        <v>110</v>
      </c>
      <c r="G505" t="s">
        <v>21</v>
      </c>
      <c r="H505" t="s">
        <v>22</v>
      </c>
      <c r="I505">
        <v>23</v>
      </c>
      <c r="J505" t="s">
        <v>23</v>
      </c>
      <c r="K505" t="s">
        <v>32</v>
      </c>
      <c r="L505" t="s">
        <v>61</v>
      </c>
      <c r="M505">
        <v>55</v>
      </c>
      <c r="N505">
        <v>182</v>
      </c>
      <c r="O505" t="s">
        <v>63</v>
      </c>
      <c r="P505">
        <v>50</v>
      </c>
      <c r="Q505">
        <v>80</v>
      </c>
      <c r="R505">
        <v>50</v>
      </c>
      <c r="S505">
        <v>130</v>
      </c>
      <c r="T505">
        <v>55</v>
      </c>
      <c r="U505" t="s">
        <v>35</v>
      </c>
      <c r="V505">
        <f t="shared" si="42"/>
        <v>0.30219780219780218</v>
      </c>
      <c r="W505">
        <f t="shared" si="43"/>
        <v>5</v>
      </c>
      <c r="X505">
        <f t="shared" si="44"/>
        <v>52</v>
      </c>
      <c r="Y505">
        <f t="shared" si="45"/>
        <v>0.39560439560439559</v>
      </c>
      <c r="Z505" s="7" t="str">
        <f t="shared" si="46"/>
        <v>Low Sales</v>
      </c>
      <c r="AA505" s="7" t="str">
        <f t="shared" si="47"/>
        <v>High Margin</v>
      </c>
    </row>
    <row r="506" spans="1:27" x14ac:dyDescent="0.25">
      <c r="A506" t="s">
        <v>163</v>
      </c>
      <c r="B506">
        <v>65</v>
      </c>
      <c r="C506">
        <v>-35</v>
      </c>
      <c r="D506" s="1">
        <v>41686</v>
      </c>
      <c r="E506">
        <v>1053</v>
      </c>
      <c r="F506">
        <v>77</v>
      </c>
      <c r="G506" t="s">
        <v>39</v>
      </c>
      <c r="H506" t="s">
        <v>22</v>
      </c>
      <c r="I506">
        <v>20</v>
      </c>
      <c r="J506" t="s">
        <v>40</v>
      </c>
      <c r="K506" t="s">
        <v>45</v>
      </c>
      <c r="L506" t="s">
        <v>46</v>
      </c>
      <c r="M506">
        <v>35</v>
      </c>
      <c r="N506">
        <v>142</v>
      </c>
      <c r="O506" t="s">
        <v>58</v>
      </c>
      <c r="P506">
        <v>50</v>
      </c>
      <c r="Q506">
        <v>80</v>
      </c>
      <c r="R506">
        <v>70</v>
      </c>
      <c r="S506">
        <v>130</v>
      </c>
      <c r="T506">
        <v>42</v>
      </c>
      <c r="U506" t="s">
        <v>27</v>
      </c>
      <c r="V506">
        <f t="shared" si="42"/>
        <v>0.24647887323943662</v>
      </c>
      <c r="W506">
        <f t="shared" si="43"/>
        <v>-35</v>
      </c>
      <c r="X506">
        <f t="shared" si="44"/>
        <v>12</v>
      </c>
      <c r="Y506">
        <f t="shared" si="45"/>
        <v>0.45774647887323944</v>
      </c>
      <c r="Z506" s="7" t="str">
        <f t="shared" si="46"/>
        <v>Low Sales</v>
      </c>
      <c r="AA506" s="7" t="str">
        <f t="shared" si="47"/>
        <v>High Margin</v>
      </c>
    </row>
    <row r="507" spans="1:27" x14ac:dyDescent="0.25">
      <c r="A507" t="s">
        <v>163</v>
      </c>
      <c r="B507">
        <v>32</v>
      </c>
      <c r="C507">
        <v>-52</v>
      </c>
      <c r="D507" s="1">
        <v>41687</v>
      </c>
      <c r="E507">
        <v>833</v>
      </c>
      <c r="F507">
        <v>47</v>
      </c>
      <c r="G507" t="s">
        <v>39</v>
      </c>
      <c r="H507" t="s">
        <v>22</v>
      </c>
      <c r="I507">
        <v>8</v>
      </c>
      <c r="J507" t="s">
        <v>40</v>
      </c>
      <c r="K507" t="s">
        <v>41</v>
      </c>
      <c r="L507" t="s">
        <v>42</v>
      </c>
      <c r="M507">
        <v>28</v>
      </c>
      <c r="N507">
        <v>79</v>
      </c>
      <c r="O507" t="s">
        <v>58</v>
      </c>
      <c r="P507">
        <v>30</v>
      </c>
      <c r="Q507">
        <v>80</v>
      </c>
      <c r="R507">
        <v>80</v>
      </c>
      <c r="S507">
        <v>110</v>
      </c>
      <c r="T507">
        <v>19</v>
      </c>
      <c r="U507" t="s">
        <v>27</v>
      </c>
      <c r="V507">
        <f t="shared" si="42"/>
        <v>0.35443037974683544</v>
      </c>
      <c r="W507">
        <f t="shared" si="43"/>
        <v>-52</v>
      </c>
      <c r="X507">
        <f t="shared" si="44"/>
        <v>-31</v>
      </c>
      <c r="Y507">
        <f t="shared" si="45"/>
        <v>0.4050632911392405</v>
      </c>
      <c r="Z507" s="7" t="str">
        <f t="shared" si="46"/>
        <v>Low Sales</v>
      </c>
      <c r="AA507" s="7" t="str">
        <f t="shared" si="47"/>
        <v>High Margin</v>
      </c>
    </row>
    <row r="508" spans="1:27" x14ac:dyDescent="0.25">
      <c r="A508" t="s">
        <v>115</v>
      </c>
      <c r="B508">
        <v>82</v>
      </c>
      <c r="C508">
        <v>5</v>
      </c>
      <c r="D508" s="1">
        <v>41688</v>
      </c>
      <c r="E508">
        <v>788</v>
      </c>
      <c r="F508">
        <v>123</v>
      </c>
      <c r="G508" t="s">
        <v>39</v>
      </c>
      <c r="H508" t="s">
        <v>29</v>
      </c>
      <c r="I508">
        <v>27</v>
      </c>
      <c r="J508" t="s">
        <v>40</v>
      </c>
      <c r="K508" t="s">
        <v>41</v>
      </c>
      <c r="L508" t="s">
        <v>42</v>
      </c>
      <c r="M508">
        <v>65</v>
      </c>
      <c r="N508">
        <v>205</v>
      </c>
      <c r="O508" t="s">
        <v>47</v>
      </c>
      <c r="P508">
        <v>50</v>
      </c>
      <c r="Q508">
        <v>80</v>
      </c>
      <c r="R508">
        <v>60</v>
      </c>
      <c r="S508">
        <v>130</v>
      </c>
      <c r="T508">
        <v>58</v>
      </c>
      <c r="U508" t="s">
        <v>27</v>
      </c>
      <c r="V508">
        <f t="shared" si="42"/>
        <v>0.31707317073170732</v>
      </c>
      <c r="W508">
        <f t="shared" si="43"/>
        <v>5</v>
      </c>
      <c r="X508">
        <f t="shared" si="44"/>
        <v>75</v>
      </c>
      <c r="Y508">
        <f t="shared" si="45"/>
        <v>0.4</v>
      </c>
      <c r="Z508" s="7" t="str">
        <f t="shared" si="46"/>
        <v>Low Sales</v>
      </c>
      <c r="AA508" s="7" t="str">
        <f t="shared" si="47"/>
        <v>High Margin</v>
      </c>
    </row>
    <row r="509" spans="1:27" x14ac:dyDescent="0.25">
      <c r="A509" t="s">
        <v>133</v>
      </c>
      <c r="B509">
        <v>56</v>
      </c>
      <c r="C509">
        <v>-35</v>
      </c>
      <c r="D509" s="1">
        <v>41689</v>
      </c>
      <c r="E509">
        <v>385</v>
      </c>
      <c r="F509">
        <v>70</v>
      </c>
      <c r="G509" t="s">
        <v>39</v>
      </c>
      <c r="H509" t="s">
        <v>22</v>
      </c>
      <c r="I509">
        <v>21</v>
      </c>
      <c r="J509" t="s">
        <v>40</v>
      </c>
      <c r="K509" t="s">
        <v>45</v>
      </c>
      <c r="L509" t="s">
        <v>50</v>
      </c>
      <c r="M509">
        <v>15</v>
      </c>
      <c r="N509">
        <v>126</v>
      </c>
      <c r="O509" t="s">
        <v>59</v>
      </c>
      <c r="P509">
        <v>40</v>
      </c>
      <c r="Q509">
        <v>80</v>
      </c>
      <c r="R509">
        <v>50</v>
      </c>
      <c r="S509">
        <v>120</v>
      </c>
      <c r="T509">
        <v>55</v>
      </c>
      <c r="U509" t="s">
        <v>35</v>
      </c>
      <c r="V509">
        <f t="shared" si="42"/>
        <v>0.11904761904761904</v>
      </c>
      <c r="W509">
        <f t="shared" si="43"/>
        <v>-35</v>
      </c>
      <c r="X509">
        <f t="shared" si="44"/>
        <v>6</v>
      </c>
      <c r="Y509">
        <f t="shared" si="45"/>
        <v>0.44444444444444442</v>
      </c>
      <c r="Z509" s="7" t="str">
        <f t="shared" si="46"/>
        <v>Low Sales</v>
      </c>
      <c r="AA509" s="7" t="str">
        <f t="shared" si="47"/>
        <v>High Margin</v>
      </c>
    </row>
    <row r="510" spans="1:27" x14ac:dyDescent="0.25">
      <c r="A510" t="s">
        <v>115</v>
      </c>
      <c r="B510">
        <v>91</v>
      </c>
      <c r="C510">
        <v>6</v>
      </c>
      <c r="D510" s="1">
        <v>41690</v>
      </c>
      <c r="E510">
        <v>-1785</v>
      </c>
      <c r="F510">
        <v>127</v>
      </c>
      <c r="G510" t="s">
        <v>39</v>
      </c>
      <c r="H510" t="s">
        <v>29</v>
      </c>
      <c r="I510">
        <v>28</v>
      </c>
      <c r="J510" t="s">
        <v>40</v>
      </c>
      <c r="K510" t="s">
        <v>41</v>
      </c>
      <c r="L510" t="s">
        <v>54</v>
      </c>
      <c r="M510">
        <v>76</v>
      </c>
      <c r="N510">
        <v>218</v>
      </c>
      <c r="O510" t="s">
        <v>47</v>
      </c>
      <c r="P510">
        <v>50</v>
      </c>
      <c r="Q510">
        <v>80</v>
      </c>
      <c r="R510">
        <v>70</v>
      </c>
      <c r="S510">
        <v>130</v>
      </c>
      <c r="T510">
        <v>51</v>
      </c>
      <c r="U510" t="s">
        <v>35</v>
      </c>
      <c r="V510">
        <f t="shared" si="42"/>
        <v>0.34862385321100919</v>
      </c>
      <c r="W510">
        <f t="shared" si="43"/>
        <v>6</v>
      </c>
      <c r="X510">
        <f t="shared" si="44"/>
        <v>88</v>
      </c>
      <c r="Y510">
        <f t="shared" si="45"/>
        <v>0.41743119266055045</v>
      </c>
      <c r="Z510" s="7" t="str">
        <f t="shared" si="46"/>
        <v>Low Sales</v>
      </c>
      <c r="AA510" s="7" t="str">
        <f t="shared" si="47"/>
        <v>High Margin</v>
      </c>
    </row>
    <row r="511" spans="1:27" x14ac:dyDescent="0.25">
      <c r="A511" t="s">
        <v>180</v>
      </c>
      <c r="B511">
        <v>60</v>
      </c>
      <c r="C511">
        <v>-23</v>
      </c>
      <c r="D511" s="1">
        <v>41691</v>
      </c>
      <c r="E511">
        <v>329</v>
      </c>
      <c r="F511">
        <v>99</v>
      </c>
      <c r="G511" t="s">
        <v>39</v>
      </c>
      <c r="H511" t="s">
        <v>22</v>
      </c>
      <c r="I511">
        <v>18</v>
      </c>
      <c r="J511" t="s">
        <v>23</v>
      </c>
      <c r="K511" t="s">
        <v>24</v>
      </c>
      <c r="L511" t="s">
        <v>57</v>
      </c>
      <c r="M511">
        <v>57</v>
      </c>
      <c r="N511">
        <v>159</v>
      </c>
      <c r="O511" t="s">
        <v>59</v>
      </c>
      <c r="P511">
        <v>40</v>
      </c>
      <c r="Q511">
        <v>80</v>
      </c>
      <c r="R511">
        <v>80</v>
      </c>
      <c r="S511">
        <v>120</v>
      </c>
      <c r="T511">
        <v>42</v>
      </c>
      <c r="U511" t="s">
        <v>27</v>
      </c>
      <c r="V511">
        <f t="shared" si="42"/>
        <v>0.35849056603773582</v>
      </c>
      <c r="W511">
        <f t="shared" si="43"/>
        <v>-23</v>
      </c>
      <c r="X511">
        <f t="shared" si="44"/>
        <v>39</v>
      </c>
      <c r="Y511">
        <f t="shared" si="45"/>
        <v>0.37735849056603776</v>
      </c>
      <c r="Z511" s="7" t="str">
        <f t="shared" si="46"/>
        <v>Low Sales</v>
      </c>
      <c r="AA511" s="7" t="str">
        <f t="shared" si="47"/>
        <v>High Margin</v>
      </c>
    </row>
    <row r="512" spans="1:27" x14ac:dyDescent="0.25">
      <c r="A512" t="s">
        <v>151</v>
      </c>
      <c r="B512">
        <v>55</v>
      </c>
      <c r="C512">
        <v>-24</v>
      </c>
      <c r="D512" s="1">
        <v>41692</v>
      </c>
      <c r="E512">
        <v>410</v>
      </c>
      <c r="F512">
        <v>69</v>
      </c>
      <c r="G512" t="s">
        <v>21</v>
      </c>
      <c r="H512" t="s">
        <v>22</v>
      </c>
      <c r="I512">
        <v>20</v>
      </c>
      <c r="J512" t="s">
        <v>40</v>
      </c>
      <c r="K512" t="s">
        <v>41</v>
      </c>
      <c r="L512" t="s">
        <v>42</v>
      </c>
      <c r="M512">
        <v>16</v>
      </c>
      <c r="N512">
        <v>124</v>
      </c>
      <c r="O512" t="s">
        <v>65</v>
      </c>
      <c r="P512">
        <v>70</v>
      </c>
      <c r="Q512">
        <v>80</v>
      </c>
      <c r="R512">
        <v>40</v>
      </c>
      <c r="S512">
        <v>150</v>
      </c>
      <c r="T512">
        <v>53</v>
      </c>
      <c r="U512" t="s">
        <v>27</v>
      </c>
      <c r="V512">
        <f t="shared" si="42"/>
        <v>0.12903225806451613</v>
      </c>
      <c r="W512">
        <f t="shared" si="43"/>
        <v>-24</v>
      </c>
      <c r="X512">
        <f t="shared" si="44"/>
        <v>-26</v>
      </c>
      <c r="Y512">
        <f t="shared" si="45"/>
        <v>0.44354838709677419</v>
      </c>
      <c r="Z512" s="7" t="str">
        <f t="shared" si="46"/>
        <v>Low Sales</v>
      </c>
      <c r="AA512" s="7" t="str">
        <f t="shared" si="47"/>
        <v>High Margin</v>
      </c>
    </row>
    <row r="513" spans="1:27" x14ac:dyDescent="0.25">
      <c r="A513" t="s">
        <v>155</v>
      </c>
      <c r="B513">
        <v>59</v>
      </c>
      <c r="C513">
        <v>-17</v>
      </c>
      <c r="D513" s="1">
        <v>41693</v>
      </c>
      <c r="E513">
        <v>411</v>
      </c>
      <c r="F513">
        <v>79</v>
      </c>
      <c r="G513" t="s">
        <v>21</v>
      </c>
      <c r="H513" t="s">
        <v>22</v>
      </c>
      <c r="I513">
        <v>19</v>
      </c>
      <c r="J513" t="s">
        <v>40</v>
      </c>
      <c r="K513" t="s">
        <v>45</v>
      </c>
      <c r="L513" t="s">
        <v>50</v>
      </c>
      <c r="M513">
        <v>33</v>
      </c>
      <c r="N513">
        <v>138</v>
      </c>
      <c r="O513" t="s">
        <v>65</v>
      </c>
      <c r="P513">
        <v>50</v>
      </c>
      <c r="Q513">
        <v>80</v>
      </c>
      <c r="R513">
        <v>50</v>
      </c>
      <c r="S513">
        <v>130</v>
      </c>
      <c r="T513">
        <v>46</v>
      </c>
      <c r="U513" t="s">
        <v>35</v>
      </c>
      <c r="V513">
        <f t="shared" si="42"/>
        <v>0.2391304347826087</v>
      </c>
      <c r="W513">
        <f t="shared" si="43"/>
        <v>-17</v>
      </c>
      <c r="X513">
        <f t="shared" si="44"/>
        <v>8</v>
      </c>
      <c r="Y513">
        <f t="shared" si="45"/>
        <v>0.42753623188405798</v>
      </c>
      <c r="Z513" s="7" t="str">
        <f t="shared" si="46"/>
        <v>Low Sales</v>
      </c>
      <c r="AA513" s="7" t="str">
        <f t="shared" si="47"/>
        <v>High Margin</v>
      </c>
    </row>
    <row r="514" spans="1:27" x14ac:dyDescent="0.25">
      <c r="A514" t="s">
        <v>141</v>
      </c>
      <c r="B514">
        <v>75</v>
      </c>
      <c r="C514">
        <v>19</v>
      </c>
      <c r="D514" s="1">
        <v>41694</v>
      </c>
      <c r="E514">
        <v>659</v>
      </c>
      <c r="F514">
        <v>114</v>
      </c>
      <c r="G514" t="s">
        <v>21</v>
      </c>
      <c r="H514" t="s">
        <v>36</v>
      </c>
      <c r="I514">
        <v>24</v>
      </c>
      <c r="J514" t="s">
        <v>23</v>
      </c>
      <c r="K514" t="s">
        <v>32</v>
      </c>
      <c r="L514" t="s">
        <v>37</v>
      </c>
      <c r="M514">
        <v>59</v>
      </c>
      <c r="N514">
        <v>189</v>
      </c>
      <c r="O514" t="s">
        <v>38</v>
      </c>
      <c r="P514">
        <v>50</v>
      </c>
      <c r="Q514">
        <v>80</v>
      </c>
      <c r="R514">
        <v>40</v>
      </c>
      <c r="S514">
        <v>130</v>
      </c>
      <c r="T514">
        <v>55</v>
      </c>
      <c r="U514" t="s">
        <v>35</v>
      </c>
      <c r="V514">
        <f t="shared" ref="V514:V577" si="48">M514/N514</f>
        <v>0.31216931216931215</v>
      </c>
      <c r="W514">
        <f t="shared" ref="W514:W577" si="49">M514-R514</f>
        <v>19</v>
      </c>
      <c r="X514">
        <f t="shared" ref="X514:X577" si="50">N514-S514</f>
        <v>59</v>
      </c>
      <c r="Y514">
        <f t="shared" ref="Y514:Y577" si="51">B514/N514</f>
        <v>0.3968253968253968</v>
      </c>
      <c r="Z514" s="7" t="str">
        <f t="shared" ref="Z514:Z577" si="52">IF(N514&gt;=AVERAGE(N514:N1575),"High Sales","Low Sales")</f>
        <v>Low Sales</v>
      </c>
      <c r="AA514" s="7" t="str">
        <f t="shared" ref="AA514:AA577" si="53">IF(V514&gt;=AVERAGE(V514:V1575), "High Margin", "Low Margin")</f>
        <v>High Margin</v>
      </c>
    </row>
    <row r="515" spans="1:27" x14ac:dyDescent="0.25">
      <c r="A515" t="s">
        <v>94</v>
      </c>
      <c r="B515">
        <v>69</v>
      </c>
      <c r="C515">
        <v>-2</v>
      </c>
      <c r="D515" s="1">
        <v>41695</v>
      </c>
      <c r="E515">
        <v>1060</v>
      </c>
      <c r="F515">
        <v>81</v>
      </c>
      <c r="G515" t="s">
        <v>39</v>
      </c>
      <c r="H515" t="s">
        <v>22</v>
      </c>
      <c r="I515">
        <v>21</v>
      </c>
      <c r="J515" t="s">
        <v>40</v>
      </c>
      <c r="K515" t="s">
        <v>45</v>
      </c>
      <c r="L515" t="s">
        <v>46</v>
      </c>
      <c r="M515">
        <v>38</v>
      </c>
      <c r="N515">
        <v>150</v>
      </c>
      <c r="O515" t="s">
        <v>58</v>
      </c>
      <c r="P515">
        <v>60</v>
      </c>
      <c r="Q515">
        <v>80</v>
      </c>
      <c r="R515">
        <v>40</v>
      </c>
      <c r="S515">
        <v>140</v>
      </c>
      <c r="T515">
        <v>43</v>
      </c>
      <c r="U515" t="s">
        <v>27</v>
      </c>
      <c r="V515">
        <f t="shared" si="48"/>
        <v>0.25333333333333335</v>
      </c>
      <c r="W515">
        <f t="shared" si="49"/>
        <v>-2</v>
      </c>
      <c r="X515">
        <f t="shared" si="50"/>
        <v>10</v>
      </c>
      <c r="Y515">
        <f t="shared" si="51"/>
        <v>0.46</v>
      </c>
      <c r="Z515" s="7" t="str">
        <f t="shared" si="52"/>
        <v>Low Sales</v>
      </c>
      <c r="AA515" s="7" t="str">
        <f t="shared" si="53"/>
        <v>High Margin</v>
      </c>
    </row>
    <row r="516" spans="1:27" x14ac:dyDescent="0.25">
      <c r="A516" t="s">
        <v>80</v>
      </c>
      <c r="B516">
        <v>46</v>
      </c>
      <c r="C516">
        <v>-18</v>
      </c>
      <c r="D516" s="1">
        <v>41696</v>
      </c>
      <c r="E516">
        <v>424</v>
      </c>
      <c r="F516">
        <v>68</v>
      </c>
      <c r="G516" t="s">
        <v>39</v>
      </c>
      <c r="H516" t="s">
        <v>36</v>
      </c>
      <c r="I516">
        <v>14</v>
      </c>
      <c r="J516" t="s">
        <v>40</v>
      </c>
      <c r="K516" t="s">
        <v>45</v>
      </c>
      <c r="L516" t="s">
        <v>46</v>
      </c>
      <c r="M516">
        <v>32</v>
      </c>
      <c r="N516">
        <v>114</v>
      </c>
      <c r="O516" t="s">
        <v>56</v>
      </c>
      <c r="P516">
        <v>50</v>
      </c>
      <c r="Q516">
        <v>80</v>
      </c>
      <c r="R516">
        <v>50</v>
      </c>
      <c r="S516">
        <v>130</v>
      </c>
      <c r="T516">
        <v>36</v>
      </c>
      <c r="U516" t="s">
        <v>27</v>
      </c>
      <c r="V516">
        <f t="shared" si="48"/>
        <v>0.2807017543859649</v>
      </c>
      <c r="W516">
        <f t="shared" si="49"/>
        <v>-18</v>
      </c>
      <c r="X516">
        <f t="shared" si="50"/>
        <v>-16</v>
      </c>
      <c r="Y516">
        <f t="shared" si="51"/>
        <v>0.40350877192982454</v>
      </c>
      <c r="Z516" s="7" t="str">
        <f t="shared" si="52"/>
        <v>Low Sales</v>
      </c>
      <c r="AA516" s="7" t="str">
        <f t="shared" si="53"/>
        <v>High Margin</v>
      </c>
    </row>
    <row r="517" spans="1:27" x14ac:dyDescent="0.25">
      <c r="A517" t="s">
        <v>100</v>
      </c>
      <c r="B517">
        <v>75</v>
      </c>
      <c r="C517">
        <v>5</v>
      </c>
      <c r="D517" s="1">
        <v>41697</v>
      </c>
      <c r="E517">
        <v>1063</v>
      </c>
      <c r="F517">
        <v>89</v>
      </c>
      <c r="G517" t="s">
        <v>39</v>
      </c>
      <c r="H517" t="s">
        <v>36</v>
      </c>
      <c r="I517">
        <v>23</v>
      </c>
      <c r="J517" t="s">
        <v>40</v>
      </c>
      <c r="K517" t="s">
        <v>41</v>
      </c>
      <c r="L517" t="s">
        <v>42</v>
      </c>
      <c r="M517">
        <v>45</v>
      </c>
      <c r="N517">
        <v>164</v>
      </c>
      <c r="O517" t="s">
        <v>60</v>
      </c>
      <c r="P517">
        <v>70</v>
      </c>
      <c r="Q517">
        <v>80</v>
      </c>
      <c r="R517">
        <v>40</v>
      </c>
      <c r="S517">
        <v>150</v>
      </c>
      <c r="T517">
        <v>44</v>
      </c>
      <c r="U517" t="s">
        <v>27</v>
      </c>
      <c r="V517">
        <f t="shared" si="48"/>
        <v>0.27439024390243905</v>
      </c>
      <c r="W517">
        <f t="shared" si="49"/>
        <v>5</v>
      </c>
      <c r="X517">
        <f t="shared" si="50"/>
        <v>14</v>
      </c>
      <c r="Y517">
        <f t="shared" si="51"/>
        <v>0.45731707317073172</v>
      </c>
      <c r="Z517" s="7" t="str">
        <f t="shared" si="52"/>
        <v>Low Sales</v>
      </c>
      <c r="AA517" s="7" t="str">
        <f t="shared" si="53"/>
        <v>High Margin</v>
      </c>
    </row>
    <row r="518" spans="1:27" x14ac:dyDescent="0.25">
      <c r="A518" t="s">
        <v>99</v>
      </c>
      <c r="B518">
        <v>61</v>
      </c>
      <c r="C518">
        <v>-8</v>
      </c>
      <c r="D518" s="1">
        <v>41698</v>
      </c>
      <c r="E518">
        <v>613</v>
      </c>
      <c r="F518">
        <v>86</v>
      </c>
      <c r="G518" t="s">
        <v>39</v>
      </c>
      <c r="H518" t="s">
        <v>31</v>
      </c>
      <c r="I518">
        <v>55</v>
      </c>
      <c r="J518" t="s">
        <v>40</v>
      </c>
      <c r="K518" t="s">
        <v>41</v>
      </c>
      <c r="L518" t="s">
        <v>53</v>
      </c>
      <c r="M518">
        <v>2</v>
      </c>
      <c r="N518">
        <v>147</v>
      </c>
      <c r="O518" t="s">
        <v>44</v>
      </c>
      <c r="P518">
        <v>60</v>
      </c>
      <c r="Q518">
        <v>80</v>
      </c>
      <c r="R518">
        <v>10</v>
      </c>
      <c r="S518">
        <v>140</v>
      </c>
      <c r="T518">
        <v>84</v>
      </c>
      <c r="U518" t="s">
        <v>35</v>
      </c>
      <c r="V518">
        <f t="shared" si="48"/>
        <v>1.3605442176870748E-2</v>
      </c>
      <c r="W518">
        <f t="shared" si="49"/>
        <v>-8</v>
      </c>
      <c r="X518">
        <f t="shared" si="50"/>
        <v>7</v>
      </c>
      <c r="Y518">
        <f t="shared" si="51"/>
        <v>0.41496598639455784</v>
      </c>
      <c r="Z518" s="7" t="str">
        <f t="shared" si="52"/>
        <v>Low Sales</v>
      </c>
      <c r="AA518" s="7" t="str">
        <f t="shared" si="53"/>
        <v>Low Margin</v>
      </c>
    </row>
    <row r="519" spans="1:27" x14ac:dyDescent="0.25">
      <c r="A519" t="s">
        <v>97</v>
      </c>
      <c r="B519">
        <v>47</v>
      </c>
      <c r="C519">
        <v>-16</v>
      </c>
      <c r="D519" s="1">
        <v>41699</v>
      </c>
      <c r="E519">
        <v>834</v>
      </c>
      <c r="F519">
        <v>68</v>
      </c>
      <c r="G519" t="s">
        <v>39</v>
      </c>
      <c r="H519" t="s">
        <v>29</v>
      </c>
      <c r="I519">
        <v>13</v>
      </c>
      <c r="J519" t="s">
        <v>40</v>
      </c>
      <c r="K519" t="s">
        <v>45</v>
      </c>
      <c r="L519" t="s">
        <v>52</v>
      </c>
      <c r="M519">
        <v>44</v>
      </c>
      <c r="N519">
        <v>115</v>
      </c>
      <c r="O519" t="s">
        <v>55</v>
      </c>
      <c r="P519">
        <v>50</v>
      </c>
      <c r="Q519">
        <v>80</v>
      </c>
      <c r="R519">
        <v>60</v>
      </c>
      <c r="S519">
        <v>130</v>
      </c>
      <c r="T519">
        <v>24</v>
      </c>
      <c r="U519" t="s">
        <v>35</v>
      </c>
      <c r="V519">
        <f t="shared" si="48"/>
        <v>0.38260869565217392</v>
      </c>
      <c r="W519">
        <f t="shared" si="49"/>
        <v>-16</v>
      </c>
      <c r="X519">
        <f t="shared" si="50"/>
        <v>-15</v>
      </c>
      <c r="Y519">
        <f t="shared" si="51"/>
        <v>0.40869565217391307</v>
      </c>
      <c r="Z519" s="7" t="str">
        <f t="shared" si="52"/>
        <v>Low Sales</v>
      </c>
      <c r="AA519" s="7" t="str">
        <f t="shared" si="53"/>
        <v>High Margin</v>
      </c>
    </row>
    <row r="520" spans="1:27" x14ac:dyDescent="0.25">
      <c r="A520" t="s">
        <v>117</v>
      </c>
      <c r="B520">
        <v>52</v>
      </c>
      <c r="C520">
        <v>-14</v>
      </c>
      <c r="D520" s="1">
        <v>41700</v>
      </c>
      <c r="E520">
        <v>509</v>
      </c>
      <c r="F520">
        <v>73</v>
      </c>
      <c r="G520" t="s">
        <v>39</v>
      </c>
      <c r="H520" t="s">
        <v>36</v>
      </c>
      <c r="I520">
        <v>47</v>
      </c>
      <c r="J520" t="s">
        <v>40</v>
      </c>
      <c r="K520" t="s">
        <v>45</v>
      </c>
      <c r="L520" t="s">
        <v>50</v>
      </c>
      <c r="M520">
        <v>-4</v>
      </c>
      <c r="N520">
        <v>125</v>
      </c>
      <c r="O520" t="s">
        <v>56</v>
      </c>
      <c r="P520">
        <v>60</v>
      </c>
      <c r="Q520">
        <v>80</v>
      </c>
      <c r="R520">
        <v>10</v>
      </c>
      <c r="S520">
        <v>140</v>
      </c>
      <c r="T520">
        <v>77</v>
      </c>
      <c r="U520" t="s">
        <v>35</v>
      </c>
      <c r="V520">
        <f t="shared" si="48"/>
        <v>-3.2000000000000001E-2</v>
      </c>
      <c r="W520">
        <f t="shared" si="49"/>
        <v>-14</v>
      </c>
      <c r="X520">
        <f t="shared" si="50"/>
        <v>-15</v>
      </c>
      <c r="Y520">
        <f t="shared" si="51"/>
        <v>0.41599999999999998</v>
      </c>
      <c r="Z520" s="7" t="str">
        <f t="shared" si="52"/>
        <v>Low Sales</v>
      </c>
      <c r="AA520" s="7" t="str">
        <f t="shared" si="53"/>
        <v>Low Margin</v>
      </c>
    </row>
    <row r="521" spans="1:27" x14ac:dyDescent="0.25">
      <c r="A521" t="s">
        <v>77</v>
      </c>
      <c r="B521">
        <v>53</v>
      </c>
      <c r="C521">
        <v>-23</v>
      </c>
      <c r="D521" s="1">
        <v>41701</v>
      </c>
      <c r="E521">
        <v>380</v>
      </c>
      <c r="F521">
        <v>71</v>
      </c>
      <c r="G521" t="s">
        <v>39</v>
      </c>
      <c r="H521" t="s">
        <v>36</v>
      </c>
      <c r="I521">
        <v>17</v>
      </c>
      <c r="J521" t="s">
        <v>40</v>
      </c>
      <c r="K521" t="s">
        <v>45</v>
      </c>
      <c r="L521" t="s">
        <v>52</v>
      </c>
      <c r="M521">
        <v>27</v>
      </c>
      <c r="N521">
        <v>124</v>
      </c>
      <c r="O521" t="s">
        <v>49</v>
      </c>
      <c r="P521">
        <v>60</v>
      </c>
      <c r="Q521">
        <v>80</v>
      </c>
      <c r="R521">
        <v>50</v>
      </c>
      <c r="S521">
        <v>140</v>
      </c>
      <c r="T521">
        <v>44</v>
      </c>
      <c r="U521" t="s">
        <v>35</v>
      </c>
      <c r="V521">
        <f t="shared" si="48"/>
        <v>0.21774193548387097</v>
      </c>
      <c r="W521">
        <f t="shared" si="49"/>
        <v>-23</v>
      </c>
      <c r="X521">
        <f t="shared" si="50"/>
        <v>-16</v>
      </c>
      <c r="Y521">
        <f t="shared" si="51"/>
        <v>0.42741935483870969</v>
      </c>
      <c r="Z521" s="7" t="str">
        <f t="shared" si="52"/>
        <v>Low Sales</v>
      </c>
      <c r="AA521" s="7" t="str">
        <f t="shared" si="53"/>
        <v>High Margin</v>
      </c>
    </row>
    <row r="522" spans="1:27" x14ac:dyDescent="0.25">
      <c r="A522" t="s">
        <v>80</v>
      </c>
      <c r="B522">
        <v>59</v>
      </c>
      <c r="C522">
        <v>-17</v>
      </c>
      <c r="D522" s="1">
        <v>41702</v>
      </c>
      <c r="E522">
        <v>411</v>
      </c>
      <c r="F522">
        <v>79</v>
      </c>
      <c r="G522" t="s">
        <v>39</v>
      </c>
      <c r="H522" t="s">
        <v>36</v>
      </c>
      <c r="I522">
        <v>19</v>
      </c>
      <c r="J522" t="s">
        <v>40</v>
      </c>
      <c r="K522" t="s">
        <v>41</v>
      </c>
      <c r="L522" t="s">
        <v>53</v>
      </c>
      <c r="M522">
        <v>33</v>
      </c>
      <c r="N522">
        <v>138</v>
      </c>
      <c r="O522" t="s">
        <v>56</v>
      </c>
      <c r="P522">
        <v>50</v>
      </c>
      <c r="Q522">
        <v>80</v>
      </c>
      <c r="R522">
        <v>50</v>
      </c>
      <c r="S522">
        <v>130</v>
      </c>
      <c r="T522">
        <v>46</v>
      </c>
      <c r="U522" t="s">
        <v>35</v>
      </c>
      <c r="V522">
        <f t="shared" si="48"/>
        <v>0.2391304347826087</v>
      </c>
      <c r="W522">
        <f t="shared" si="49"/>
        <v>-17</v>
      </c>
      <c r="X522">
        <f t="shared" si="50"/>
        <v>8</v>
      </c>
      <c r="Y522">
        <f t="shared" si="51"/>
        <v>0.42753623188405798</v>
      </c>
      <c r="Z522" s="7" t="str">
        <f t="shared" si="52"/>
        <v>Low Sales</v>
      </c>
      <c r="AA522" s="7" t="str">
        <f t="shared" si="53"/>
        <v>High Margin</v>
      </c>
    </row>
    <row r="523" spans="1:27" x14ac:dyDescent="0.25">
      <c r="A523" t="s">
        <v>109</v>
      </c>
      <c r="B523">
        <v>53</v>
      </c>
      <c r="C523">
        <v>-2</v>
      </c>
      <c r="D523" s="1">
        <v>41703</v>
      </c>
      <c r="E523">
        <v>321</v>
      </c>
      <c r="F523">
        <v>88</v>
      </c>
      <c r="G523" t="s">
        <v>39</v>
      </c>
      <c r="H523" t="s">
        <v>22</v>
      </c>
      <c r="I523">
        <v>16</v>
      </c>
      <c r="J523" t="s">
        <v>23</v>
      </c>
      <c r="K523" t="s">
        <v>24</v>
      </c>
      <c r="L523" t="s">
        <v>57</v>
      </c>
      <c r="M523">
        <v>48</v>
      </c>
      <c r="N523">
        <v>141</v>
      </c>
      <c r="O523" t="s">
        <v>59</v>
      </c>
      <c r="P523">
        <v>50</v>
      </c>
      <c r="Q523">
        <v>80</v>
      </c>
      <c r="R523">
        <v>50</v>
      </c>
      <c r="S523">
        <v>130</v>
      </c>
      <c r="T523">
        <v>40</v>
      </c>
      <c r="U523" t="s">
        <v>27</v>
      </c>
      <c r="V523">
        <f t="shared" si="48"/>
        <v>0.34042553191489361</v>
      </c>
      <c r="W523">
        <f t="shared" si="49"/>
        <v>-2</v>
      </c>
      <c r="X523">
        <f t="shared" si="50"/>
        <v>11</v>
      </c>
      <c r="Y523">
        <f t="shared" si="51"/>
        <v>0.37588652482269502</v>
      </c>
      <c r="Z523" s="7" t="str">
        <f t="shared" si="52"/>
        <v>Low Sales</v>
      </c>
      <c r="AA523" s="7" t="str">
        <f t="shared" si="53"/>
        <v>High Margin</v>
      </c>
    </row>
    <row r="524" spans="1:27" x14ac:dyDescent="0.25">
      <c r="A524" t="s">
        <v>135</v>
      </c>
      <c r="B524">
        <v>54</v>
      </c>
      <c r="C524">
        <v>-9</v>
      </c>
      <c r="D524" s="1">
        <v>41704</v>
      </c>
      <c r="E524">
        <v>885</v>
      </c>
      <c r="F524">
        <v>78</v>
      </c>
      <c r="G524" t="s">
        <v>39</v>
      </c>
      <c r="H524" t="s">
        <v>31</v>
      </c>
      <c r="I524">
        <v>15</v>
      </c>
      <c r="J524" t="s">
        <v>23</v>
      </c>
      <c r="K524" t="s">
        <v>32</v>
      </c>
      <c r="L524" t="s">
        <v>33</v>
      </c>
      <c r="M524">
        <v>51</v>
      </c>
      <c r="N524">
        <v>132</v>
      </c>
      <c r="O524" t="s">
        <v>44</v>
      </c>
      <c r="P524">
        <v>50</v>
      </c>
      <c r="Q524">
        <v>80</v>
      </c>
      <c r="R524">
        <v>60</v>
      </c>
      <c r="S524">
        <v>130</v>
      </c>
      <c r="T524">
        <v>27</v>
      </c>
      <c r="U524" t="s">
        <v>35</v>
      </c>
      <c r="V524">
        <f t="shared" si="48"/>
        <v>0.38636363636363635</v>
      </c>
      <c r="W524">
        <f t="shared" si="49"/>
        <v>-9</v>
      </c>
      <c r="X524">
        <f t="shared" si="50"/>
        <v>2</v>
      </c>
      <c r="Y524">
        <f t="shared" si="51"/>
        <v>0.40909090909090912</v>
      </c>
      <c r="Z524" s="7" t="str">
        <f t="shared" si="52"/>
        <v>Low Sales</v>
      </c>
      <c r="AA524" s="7" t="str">
        <f t="shared" si="53"/>
        <v>High Margin</v>
      </c>
    </row>
    <row r="525" spans="1:27" x14ac:dyDescent="0.25">
      <c r="A525" t="s">
        <v>181</v>
      </c>
      <c r="B525">
        <v>46</v>
      </c>
      <c r="C525">
        <v>-34</v>
      </c>
      <c r="D525" s="1">
        <v>41705</v>
      </c>
      <c r="E525">
        <v>422</v>
      </c>
      <c r="F525">
        <v>57</v>
      </c>
      <c r="G525" t="s">
        <v>21</v>
      </c>
      <c r="H525" t="s">
        <v>22</v>
      </c>
      <c r="I525">
        <v>17</v>
      </c>
      <c r="J525" t="s">
        <v>40</v>
      </c>
      <c r="K525" t="s">
        <v>41</v>
      </c>
      <c r="L525" t="s">
        <v>42</v>
      </c>
      <c r="M525">
        <v>6</v>
      </c>
      <c r="N525">
        <v>103</v>
      </c>
      <c r="O525" t="s">
        <v>65</v>
      </c>
      <c r="P525">
        <v>50</v>
      </c>
      <c r="Q525">
        <v>80</v>
      </c>
      <c r="R525">
        <v>40</v>
      </c>
      <c r="S525">
        <v>130</v>
      </c>
      <c r="T525">
        <v>51</v>
      </c>
      <c r="U525" t="s">
        <v>27</v>
      </c>
      <c r="V525">
        <f t="shared" si="48"/>
        <v>5.8252427184466021E-2</v>
      </c>
      <c r="W525">
        <f t="shared" si="49"/>
        <v>-34</v>
      </c>
      <c r="X525">
        <f t="shared" si="50"/>
        <v>-27</v>
      </c>
      <c r="Y525">
        <f t="shared" si="51"/>
        <v>0.44660194174757284</v>
      </c>
      <c r="Z525" s="7" t="str">
        <f t="shared" si="52"/>
        <v>Low Sales</v>
      </c>
      <c r="AA525" s="7" t="str">
        <f t="shared" si="53"/>
        <v>Low Margin</v>
      </c>
    </row>
    <row r="526" spans="1:27" x14ac:dyDescent="0.25">
      <c r="A526" t="s">
        <v>157</v>
      </c>
      <c r="B526">
        <v>67</v>
      </c>
      <c r="C526">
        <v>7</v>
      </c>
      <c r="D526" s="1">
        <v>41706</v>
      </c>
      <c r="E526">
        <v>677</v>
      </c>
      <c r="F526">
        <v>101</v>
      </c>
      <c r="G526" t="s">
        <v>21</v>
      </c>
      <c r="H526" t="s">
        <v>22</v>
      </c>
      <c r="I526">
        <v>22</v>
      </c>
      <c r="J526" t="s">
        <v>23</v>
      </c>
      <c r="K526" t="s">
        <v>32</v>
      </c>
      <c r="L526" t="s">
        <v>61</v>
      </c>
      <c r="M526">
        <v>47</v>
      </c>
      <c r="N526">
        <v>168</v>
      </c>
      <c r="O526" t="s">
        <v>63</v>
      </c>
      <c r="P526">
        <v>50</v>
      </c>
      <c r="Q526">
        <v>80</v>
      </c>
      <c r="R526">
        <v>40</v>
      </c>
      <c r="S526">
        <v>130</v>
      </c>
      <c r="T526">
        <v>54</v>
      </c>
      <c r="U526" t="s">
        <v>35</v>
      </c>
      <c r="V526">
        <f t="shared" si="48"/>
        <v>0.27976190476190477</v>
      </c>
      <c r="W526">
        <f t="shared" si="49"/>
        <v>7</v>
      </c>
      <c r="X526">
        <f t="shared" si="50"/>
        <v>38</v>
      </c>
      <c r="Y526">
        <f t="shared" si="51"/>
        <v>0.39880952380952384</v>
      </c>
      <c r="Z526" s="7" t="str">
        <f t="shared" si="52"/>
        <v>Low Sales</v>
      </c>
      <c r="AA526" s="7" t="str">
        <f t="shared" si="53"/>
        <v>High Margin</v>
      </c>
    </row>
    <row r="527" spans="1:27" x14ac:dyDescent="0.25">
      <c r="A527" t="s">
        <v>182</v>
      </c>
      <c r="B527">
        <v>54</v>
      </c>
      <c r="C527">
        <v>-8</v>
      </c>
      <c r="D527" s="1">
        <v>41707</v>
      </c>
      <c r="E527">
        <v>601</v>
      </c>
      <c r="F527">
        <v>79</v>
      </c>
      <c r="G527" t="s">
        <v>21</v>
      </c>
      <c r="H527" t="s">
        <v>31</v>
      </c>
      <c r="I527">
        <v>15</v>
      </c>
      <c r="J527" t="s">
        <v>23</v>
      </c>
      <c r="K527" t="s">
        <v>32</v>
      </c>
      <c r="L527" t="s">
        <v>37</v>
      </c>
      <c r="M527">
        <v>52</v>
      </c>
      <c r="N527">
        <v>133</v>
      </c>
      <c r="O527" t="s">
        <v>67</v>
      </c>
      <c r="P527">
        <v>50</v>
      </c>
      <c r="Q527">
        <v>80</v>
      </c>
      <c r="R527">
        <v>60</v>
      </c>
      <c r="S527">
        <v>130</v>
      </c>
      <c r="T527">
        <v>27</v>
      </c>
      <c r="U527" t="s">
        <v>35</v>
      </c>
      <c r="V527">
        <f t="shared" si="48"/>
        <v>0.39097744360902253</v>
      </c>
      <c r="W527">
        <f t="shared" si="49"/>
        <v>-8</v>
      </c>
      <c r="X527">
        <f t="shared" si="50"/>
        <v>3</v>
      </c>
      <c r="Y527">
        <f t="shared" si="51"/>
        <v>0.40601503759398494</v>
      </c>
      <c r="Z527" s="7" t="str">
        <f t="shared" si="52"/>
        <v>Low Sales</v>
      </c>
      <c r="AA527" s="7" t="str">
        <f t="shared" si="53"/>
        <v>High Margin</v>
      </c>
    </row>
    <row r="528" spans="1:27" x14ac:dyDescent="0.25">
      <c r="A528" t="s">
        <v>183</v>
      </c>
      <c r="B528">
        <v>67</v>
      </c>
      <c r="C528">
        <v>-3</v>
      </c>
      <c r="D528" s="1">
        <v>41708</v>
      </c>
      <c r="E528">
        <v>677</v>
      </c>
      <c r="F528">
        <v>101</v>
      </c>
      <c r="G528" t="s">
        <v>21</v>
      </c>
      <c r="H528" t="s">
        <v>36</v>
      </c>
      <c r="I528">
        <v>22</v>
      </c>
      <c r="J528" t="s">
        <v>23</v>
      </c>
      <c r="K528" t="s">
        <v>32</v>
      </c>
      <c r="L528" t="s">
        <v>37</v>
      </c>
      <c r="M528">
        <v>47</v>
      </c>
      <c r="N528">
        <v>168</v>
      </c>
      <c r="O528" t="s">
        <v>38</v>
      </c>
      <c r="P528">
        <v>40</v>
      </c>
      <c r="Q528">
        <v>80</v>
      </c>
      <c r="R528">
        <v>50</v>
      </c>
      <c r="S528">
        <v>120</v>
      </c>
      <c r="T528">
        <v>54</v>
      </c>
      <c r="U528" t="s">
        <v>35</v>
      </c>
      <c r="V528">
        <f t="shared" si="48"/>
        <v>0.27976190476190477</v>
      </c>
      <c r="W528">
        <f t="shared" si="49"/>
        <v>-3</v>
      </c>
      <c r="X528">
        <f t="shared" si="50"/>
        <v>48</v>
      </c>
      <c r="Y528">
        <f t="shared" si="51"/>
        <v>0.39880952380952384</v>
      </c>
      <c r="Z528" s="7" t="str">
        <f t="shared" si="52"/>
        <v>Low Sales</v>
      </c>
      <c r="AA528" s="7" t="str">
        <f t="shared" si="53"/>
        <v>High Margin</v>
      </c>
    </row>
    <row r="529" spans="1:27" x14ac:dyDescent="0.25">
      <c r="A529" t="s">
        <v>80</v>
      </c>
      <c r="B529">
        <v>41</v>
      </c>
      <c r="C529">
        <v>-25</v>
      </c>
      <c r="D529" s="1">
        <v>41709</v>
      </c>
      <c r="E529">
        <v>435</v>
      </c>
      <c r="F529">
        <v>60</v>
      </c>
      <c r="G529" t="s">
        <v>39</v>
      </c>
      <c r="H529" t="s">
        <v>36</v>
      </c>
      <c r="I529">
        <v>13</v>
      </c>
      <c r="J529" t="s">
        <v>40</v>
      </c>
      <c r="K529" t="s">
        <v>45</v>
      </c>
      <c r="L529" t="s">
        <v>46</v>
      </c>
      <c r="M529">
        <v>25</v>
      </c>
      <c r="N529">
        <v>101</v>
      </c>
      <c r="O529" t="s">
        <v>56</v>
      </c>
      <c r="P529">
        <v>40</v>
      </c>
      <c r="Q529">
        <v>80</v>
      </c>
      <c r="R529">
        <v>50</v>
      </c>
      <c r="S529">
        <v>120</v>
      </c>
      <c r="T529">
        <v>35</v>
      </c>
      <c r="U529" t="s">
        <v>27</v>
      </c>
      <c r="V529">
        <f t="shared" si="48"/>
        <v>0.24752475247524752</v>
      </c>
      <c r="W529">
        <f t="shared" si="49"/>
        <v>-25</v>
      </c>
      <c r="X529">
        <f t="shared" si="50"/>
        <v>-19</v>
      </c>
      <c r="Y529">
        <f t="shared" si="51"/>
        <v>0.40594059405940597</v>
      </c>
      <c r="Z529" s="7" t="str">
        <f t="shared" si="52"/>
        <v>Low Sales</v>
      </c>
      <c r="AA529" s="7" t="str">
        <f t="shared" si="53"/>
        <v>High Margin</v>
      </c>
    </row>
    <row r="530" spans="1:27" x14ac:dyDescent="0.25">
      <c r="A530" t="s">
        <v>133</v>
      </c>
      <c r="B530">
        <v>65</v>
      </c>
      <c r="C530">
        <v>-8</v>
      </c>
      <c r="D530" s="1">
        <v>41710</v>
      </c>
      <c r="E530">
        <v>403</v>
      </c>
      <c r="F530">
        <v>80</v>
      </c>
      <c r="G530" t="s">
        <v>39</v>
      </c>
      <c r="H530" t="s">
        <v>22</v>
      </c>
      <c r="I530">
        <v>24</v>
      </c>
      <c r="J530" t="s">
        <v>40</v>
      </c>
      <c r="K530" t="s">
        <v>45</v>
      </c>
      <c r="L530" t="s">
        <v>50</v>
      </c>
      <c r="M530">
        <v>22</v>
      </c>
      <c r="N530">
        <v>145</v>
      </c>
      <c r="O530" t="s">
        <v>59</v>
      </c>
      <c r="P530">
        <v>60</v>
      </c>
      <c r="Q530">
        <v>80</v>
      </c>
      <c r="R530">
        <v>30</v>
      </c>
      <c r="S530">
        <v>140</v>
      </c>
      <c r="T530">
        <v>58</v>
      </c>
      <c r="U530" t="s">
        <v>35</v>
      </c>
      <c r="V530">
        <f t="shared" si="48"/>
        <v>0.15172413793103448</v>
      </c>
      <c r="W530">
        <f t="shared" si="49"/>
        <v>-8</v>
      </c>
      <c r="X530">
        <f t="shared" si="50"/>
        <v>5</v>
      </c>
      <c r="Y530">
        <f t="shared" si="51"/>
        <v>0.44827586206896552</v>
      </c>
      <c r="Z530" s="7" t="str">
        <f t="shared" si="52"/>
        <v>Low Sales</v>
      </c>
      <c r="AA530" s="7" t="str">
        <f t="shared" si="53"/>
        <v>High Margin</v>
      </c>
    </row>
    <row r="531" spans="1:27" x14ac:dyDescent="0.25">
      <c r="A531" t="s">
        <v>80</v>
      </c>
      <c r="B531">
        <v>47</v>
      </c>
      <c r="C531">
        <v>-27</v>
      </c>
      <c r="D531" s="1">
        <v>41711</v>
      </c>
      <c r="E531">
        <v>521</v>
      </c>
      <c r="F531">
        <v>65</v>
      </c>
      <c r="G531" t="s">
        <v>39</v>
      </c>
      <c r="H531" t="s">
        <v>36</v>
      </c>
      <c r="I531">
        <v>42</v>
      </c>
      <c r="J531" t="s">
        <v>40</v>
      </c>
      <c r="K531" t="s">
        <v>45</v>
      </c>
      <c r="L531" t="s">
        <v>50</v>
      </c>
      <c r="M531">
        <v>-7</v>
      </c>
      <c r="N531">
        <v>112</v>
      </c>
      <c r="O531" t="s">
        <v>56</v>
      </c>
      <c r="P531">
        <v>50</v>
      </c>
      <c r="Q531">
        <v>80</v>
      </c>
      <c r="R531">
        <v>20</v>
      </c>
      <c r="S531">
        <v>130</v>
      </c>
      <c r="T531">
        <v>72</v>
      </c>
      <c r="U531" t="s">
        <v>35</v>
      </c>
      <c r="V531">
        <f t="shared" si="48"/>
        <v>-6.25E-2</v>
      </c>
      <c r="W531">
        <f t="shared" si="49"/>
        <v>-27</v>
      </c>
      <c r="X531">
        <f t="shared" si="50"/>
        <v>-18</v>
      </c>
      <c r="Y531">
        <f t="shared" si="51"/>
        <v>0.41964285714285715</v>
      </c>
      <c r="Z531" s="7" t="str">
        <f t="shared" si="52"/>
        <v>Low Sales</v>
      </c>
      <c r="AA531" s="7" t="str">
        <f t="shared" si="53"/>
        <v>Low Margin</v>
      </c>
    </row>
    <row r="532" spans="1:27" x14ac:dyDescent="0.25">
      <c r="A532" t="s">
        <v>83</v>
      </c>
      <c r="B532">
        <v>49</v>
      </c>
      <c r="C532">
        <v>-29</v>
      </c>
      <c r="D532" s="1">
        <v>41712</v>
      </c>
      <c r="E532">
        <v>392</v>
      </c>
      <c r="F532">
        <v>65</v>
      </c>
      <c r="G532" t="s">
        <v>39</v>
      </c>
      <c r="H532" t="s">
        <v>36</v>
      </c>
      <c r="I532">
        <v>16</v>
      </c>
      <c r="J532" t="s">
        <v>40</v>
      </c>
      <c r="K532" t="s">
        <v>45</v>
      </c>
      <c r="L532" t="s">
        <v>52</v>
      </c>
      <c r="M532">
        <v>21</v>
      </c>
      <c r="N532">
        <v>114</v>
      </c>
      <c r="O532" t="s">
        <v>49</v>
      </c>
      <c r="P532">
        <v>50</v>
      </c>
      <c r="Q532">
        <v>80</v>
      </c>
      <c r="R532">
        <v>50</v>
      </c>
      <c r="S532">
        <v>130</v>
      </c>
      <c r="T532">
        <v>44</v>
      </c>
      <c r="U532" t="s">
        <v>35</v>
      </c>
      <c r="V532">
        <f t="shared" si="48"/>
        <v>0.18421052631578946</v>
      </c>
      <c r="W532">
        <f t="shared" si="49"/>
        <v>-29</v>
      </c>
      <c r="X532">
        <f t="shared" si="50"/>
        <v>-16</v>
      </c>
      <c r="Y532">
        <f t="shared" si="51"/>
        <v>0.42982456140350878</v>
      </c>
      <c r="Z532" s="7" t="str">
        <f t="shared" si="52"/>
        <v>Low Sales</v>
      </c>
      <c r="AA532" s="7" t="str">
        <f t="shared" si="53"/>
        <v>High Margin</v>
      </c>
    </row>
    <row r="533" spans="1:27" x14ac:dyDescent="0.25">
      <c r="A533" t="s">
        <v>98</v>
      </c>
      <c r="B533">
        <v>65</v>
      </c>
      <c r="C533">
        <v>-7</v>
      </c>
      <c r="D533" s="1">
        <v>41713</v>
      </c>
      <c r="E533">
        <v>403</v>
      </c>
      <c r="F533">
        <v>80</v>
      </c>
      <c r="G533" t="s">
        <v>39</v>
      </c>
      <c r="H533" t="s">
        <v>36</v>
      </c>
      <c r="I533">
        <v>24</v>
      </c>
      <c r="J533" t="s">
        <v>40</v>
      </c>
      <c r="K533" t="s">
        <v>41</v>
      </c>
      <c r="L533" t="s">
        <v>53</v>
      </c>
      <c r="M533">
        <v>23</v>
      </c>
      <c r="N533">
        <v>145</v>
      </c>
      <c r="O533" t="s">
        <v>60</v>
      </c>
      <c r="P533">
        <v>60</v>
      </c>
      <c r="Q533">
        <v>80</v>
      </c>
      <c r="R533">
        <v>30</v>
      </c>
      <c r="S533">
        <v>140</v>
      </c>
      <c r="T533">
        <v>57</v>
      </c>
      <c r="U533" t="s">
        <v>35</v>
      </c>
      <c r="V533">
        <f t="shared" si="48"/>
        <v>0.15862068965517243</v>
      </c>
      <c r="W533">
        <f t="shared" si="49"/>
        <v>-7</v>
      </c>
      <c r="X533">
        <f t="shared" si="50"/>
        <v>5</v>
      </c>
      <c r="Y533">
        <f t="shared" si="51"/>
        <v>0.44827586206896552</v>
      </c>
      <c r="Z533" s="7" t="str">
        <f t="shared" si="52"/>
        <v>Low Sales</v>
      </c>
      <c r="AA533" s="7" t="str">
        <f t="shared" si="53"/>
        <v>High Margin</v>
      </c>
    </row>
    <row r="534" spans="1:27" x14ac:dyDescent="0.25">
      <c r="A534" t="s">
        <v>106</v>
      </c>
      <c r="B534">
        <v>68</v>
      </c>
      <c r="C534">
        <v>-4</v>
      </c>
      <c r="D534" s="1">
        <v>41714</v>
      </c>
      <c r="E534">
        <v>619</v>
      </c>
      <c r="F534">
        <v>85</v>
      </c>
      <c r="G534" t="s">
        <v>39</v>
      </c>
      <c r="H534" t="s">
        <v>29</v>
      </c>
      <c r="I534">
        <v>25</v>
      </c>
      <c r="J534" t="s">
        <v>23</v>
      </c>
      <c r="K534" t="s">
        <v>24</v>
      </c>
      <c r="L534" t="s">
        <v>25</v>
      </c>
      <c r="M534">
        <v>26</v>
      </c>
      <c r="N534">
        <v>153</v>
      </c>
      <c r="O534" t="s">
        <v>55</v>
      </c>
      <c r="P534">
        <v>60</v>
      </c>
      <c r="Q534">
        <v>80</v>
      </c>
      <c r="R534">
        <v>30</v>
      </c>
      <c r="S534">
        <v>140</v>
      </c>
      <c r="T534">
        <v>59</v>
      </c>
      <c r="U534" t="s">
        <v>27</v>
      </c>
      <c r="V534">
        <f t="shared" si="48"/>
        <v>0.16993464052287582</v>
      </c>
      <c r="W534">
        <f t="shared" si="49"/>
        <v>-4</v>
      </c>
      <c r="X534">
        <f t="shared" si="50"/>
        <v>13</v>
      </c>
      <c r="Y534">
        <f t="shared" si="51"/>
        <v>0.44444444444444442</v>
      </c>
      <c r="Z534" s="7" t="str">
        <f t="shared" si="52"/>
        <v>Low Sales</v>
      </c>
      <c r="AA534" s="7" t="str">
        <f t="shared" si="53"/>
        <v>High Margin</v>
      </c>
    </row>
    <row r="535" spans="1:27" x14ac:dyDescent="0.25">
      <c r="A535" t="s">
        <v>184</v>
      </c>
      <c r="B535">
        <v>76</v>
      </c>
      <c r="C535">
        <v>36</v>
      </c>
      <c r="D535" s="1">
        <v>41715</v>
      </c>
      <c r="E535">
        <v>580</v>
      </c>
      <c r="F535">
        <v>111</v>
      </c>
      <c r="G535" t="s">
        <v>21</v>
      </c>
      <c r="H535" t="s">
        <v>29</v>
      </c>
      <c r="I535">
        <v>21</v>
      </c>
      <c r="J535" t="s">
        <v>40</v>
      </c>
      <c r="K535" t="s">
        <v>41</v>
      </c>
      <c r="L535" t="s">
        <v>42</v>
      </c>
      <c r="M535">
        <v>116</v>
      </c>
      <c r="N535">
        <v>199</v>
      </c>
      <c r="O535" t="s">
        <v>30</v>
      </c>
      <c r="P535">
        <v>40</v>
      </c>
      <c r="Q535">
        <v>80</v>
      </c>
      <c r="R535">
        <v>80</v>
      </c>
      <c r="S535">
        <v>120</v>
      </c>
      <c r="T535">
        <v>33</v>
      </c>
      <c r="U535" t="s">
        <v>27</v>
      </c>
      <c r="V535">
        <f t="shared" si="48"/>
        <v>0.58291457286432158</v>
      </c>
      <c r="W535">
        <f t="shared" si="49"/>
        <v>36</v>
      </c>
      <c r="X535">
        <f t="shared" si="50"/>
        <v>79</v>
      </c>
      <c r="Y535">
        <f t="shared" si="51"/>
        <v>0.38190954773869346</v>
      </c>
      <c r="Z535" s="7" t="str">
        <f t="shared" si="52"/>
        <v>Low Sales</v>
      </c>
      <c r="AA535" s="7" t="str">
        <f t="shared" si="53"/>
        <v>High Margin</v>
      </c>
    </row>
    <row r="536" spans="1:27" x14ac:dyDescent="0.25">
      <c r="A536" t="s">
        <v>128</v>
      </c>
      <c r="B536">
        <v>52</v>
      </c>
      <c r="C536">
        <v>-31</v>
      </c>
      <c r="D536" s="1">
        <v>41716</v>
      </c>
      <c r="E536">
        <v>405</v>
      </c>
      <c r="F536">
        <v>71</v>
      </c>
      <c r="G536" t="s">
        <v>21</v>
      </c>
      <c r="H536" t="s">
        <v>29</v>
      </c>
      <c r="I536">
        <v>17</v>
      </c>
      <c r="J536" t="s">
        <v>23</v>
      </c>
      <c r="K536" t="s">
        <v>24</v>
      </c>
      <c r="L536" t="s">
        <v>57</v>
      </c>
      <c r="M536">
        <v>39</v>
      </c>
      <c r="N536">
        <v>131</v>
      </c>
      <c r="O536" t="s">
        <v>30</v>
      </c>
      <c r="P536">
        <v>30</v>
      </c>
      <c r="Q536">
        <v>80</v>
      </c>
      <c r="R536">
        <v>70</v>
      </c>
      <c r="S536">
        <v>110</v>
      </c>
      <c r="T536">
        <v>45</v>
      </c>
      <c r="U536" t="s">
        <v>27</v>
      </c>
      <c r="V536">
        <f t="shared" si="48"/>
        <v>0.29770992366412213</v>
      </c>
      <c r="W536">
        <f t="shared" si="49"/>
        <v>-31</v>
      </c>
      <c r="X536">
        <f t="shared" si="50"/>
        <v>21</v>
      </c>
      <c r="Y536">
        <f t="shared" si="51"/>
        <v>0.39694656488549618</v>
      </c>
      <c r="Z536" s="7" t="str">
        <f t="shared" si="52"/>
        <v>Low Sales</v>
      </c>
      <c r="AA536" s="7" t="str">
        <f t="shared" si="53"/>
        <v>High Margin</v>
      </c>
    </row>
    <row r="537" spans="1:27" x14ac:dyDescent="0.25">
      <c r="A537" t="s">
        <v>185</v>
      </c>
      <c r="B537">
        <v>76</v>
      </c>
      <c r="C537">
        <v>36</v>
      </c>
      <c r="D537" s="1">
        <v>41717</v>
      </c>
      <c r="E537">
        <v>580</v>
      </c>
      <c r="F537">
        <v>111</v>
      </c>
      <c r="G537" t="s">
        <v>21</v>
      </c>
      <c r="H537" t="s">
        <v>22</v>
      </c>
      <c r="I537">
        <v>21</v>
      </c>
      <c r="J537" t="s">
        <v>23</v>
      </c>
      <c r="K537" t="s">
        <v>32</v>
      </c>
      <c r="L537" t="s">
        <v>33</v>
      </c>
      <c r="M537">
        <v>116</v>
      </c>
      <c r="N537">
        <v>199</v>
      </c>
      <c r="O537" t="s">
        <v>63</v>
      </c>
      <c r="P537">
        <v>50</v>
      </c>
      <c r="Q537">
        <v>80</v>
      </c>
      <c r="R537">
        <v>80</v>
      </c>
      <c r="S537">
        <v>130</v>
      </c>
      <c r="T537">
        <v>33</v>
      </c>
      <c r="U537" t="s">
        <v>35</v>
      </c>
      <c r="V537">
        <f t="shared" si="48"/>
        <v>0.58291457286432158</v>
      </c>
      <c r="W537">
        <f t="shared" si="49"/>
        <v>36</v>
      </c>
      <c r="X537">
        <f t="shared" si="50"/>
        <v>69</v>
      </c>
      <c r="Y537">
        <f t="shared" si="51"/>
        <v>0.38190954773869346</v>
      </c>
      <c r="Z537" s="7" t="str">
        <f t="shared" si="52"/>
        <v>Low Sales</v>
      </c>
      <c r="AA537" s="7" t="str">
        <f t="shared" si="53"/>
        <v>High Margin</v>
      </c>
    </row>
    <row r="538" spans="1:27" x14ac:dyDescent="0.25">
      <c r="A538" t="s">
        <v>185</v>
      </c>
      <c r="B538">
        <v>72</v>
      </c>
      <c r="C538">
        <v>32</v>
      </c>
      <c r="D538" s="1">
        <v>41718</v>
      </c>
      <c r="E538">
        <v>650</v>
      </c>
      <c r="F538">
        <v>110</v>
      </c>
      <c r="G538" t="s">
        <v>21</v>
      </c>
      <c r="H538" t="s">
        <v>22</v>
      </c>
      <c r="I538">
        <v>23</v>
      </c>
      <c r="J538" t="s">
        <v>23</v>
      </c>
      <c r="K538" t="s">
        <v>32</v>
      </c>
      <c r="L538" t="s">
        <v>61</v>
      </c>
      <c r="M538">
        <v>82</v>
      </c>
      <c r="N538">
        <v>194</v>
      </c>
      <c r="O538" t="s">
        <v>63</v>
      </c>
      <c r="P538">
        <v>50</v>
      </c>
      <c r="Q538">
        <v>80</v>
      </c>
      <c r="R538">
        <v>50</v>
      </c>
      <c r="S538">
        <v>130</v>
      </c>
      <c r="T538">
        <v>55</v>
      </c>
      <c r="U538" t="s">
        <v>35</v>
      </c>
      <c r="V538">
        <f t="shared" si="48"/>
        <v>0.42268041237113402</v>
      </c>
      <c r="W538">
        <f t="shared" si="49"/>
        <v>32</v>
      </c>
      <c r="X538">
        <f t="shared" si="50"/>
        <v>64</v>
      </c>
      <c r="Y538">
        <f t="shared" si="51"/>
        <v>0.37113402061855671</v>
      </c>
      <c r="Z538" s="7" t="str">
        <f t="shared" si="52"/>
        <v>Low Sales</v>
      </c>
      <c r="AA538" s="7" t="str">
        <f t="shared" si="53"/>
        <v>High Margin</v>
      </c>
    </row>
    <row r="539" spans="1:27" x14ac:dyDescent="0.25">
      <c r="A539" t="s">
        <v>122</v>
      </c>
      <c r="B539">
        <v>65</v>
      </c>
      <c r="C539">
        <v>-18</v>
      </c>
      <c r="D539" s="1">
        <v>41719</v>
      </c>
      <c r="E539">
        <v>1053</v>
      </c>
      <c r="F539">
        <v>77</v>
      </c>
      <c r="G539" t="s">
        <v>39</v>
      </c>
      <c r="H539" t="s">
        <v>22</v>
      </c>
      <c r="I539">
        <v>20</v>
      </c>
      <c r="J539" t="s">
        <v>40</v>
      </c>
      <c r="K539" t="s">
        <v>45</v>
      </c>
      <c r="L539" t="s">
        <v>46</v>
      </c>
      <c r="M539">
        <v>52</v>
      </c>
      <c r="N539">
        <v>151</v>
      </c>
      <c r="O539" t="s">
        <v>58</v>
      </c>
      <c r="P539">
        <v>50</v>
      </c>
      <c r="Q539">
        <v>80</v>
      </c>
      <c r="R539">
        <v>70</v>
      </c>
      <c r="S539">
        <v>130</v>
      </c>
      <c r="T539">
        <v>42</v>
      </c>
      <c r="U539" t="s">
        <v>27</v>
      </c>
      <c r="V539">
        <f t="shared" si="48"/>
        <v>0.3443708609271523</v>
      </c>
      <c r="W539">
        <f t="shared" si="49"/>
        <v>-18</v>
      </c>
      <c r="X539">
        <f t="shared" si="50"/>
        <v>21</v>
      </c>
      <c r="Y539">
        <f t="shared" si="51"/>
        <v>0.43046357615894038</v>
      </c>
      <c r="Z539" s="7" t="str">
        <f t="shared" si="52"/>
        <v>Low Sales</v>
      </c>
      <c r="AA539" s="7" t="str">
        <f t="shared" si="53"/>
        <v>High Margin</v>
      </c>
    </row>
    <row r="540" spans="1:27" x14ac:dyDescent="0.25">
      <c r="A540" t="s">
        <v>108</v>
      </c>
      <c r="B540">
        <v>32</v>
      </c>
      <c r="C540">
        <v>-38</v>
      </c>
      <c r="D540" s="1">
        <v>41720</v>
      </c>
      <c r="E540">
        <v>833</v>
      </c>
      <c r="F540">
        <v>47</v>
      </c>
      <c r="G540" t="s">
        <v>39</v>
      </c>
      <c r="H540" t="s">
        <v>22</v>
      </c>
      <c r="I540">
        <v>8</v>
      </c>
      <c r="J540" t="s">
        <v>40</v>
      </c>
      <c r="K540" t="s">
        <v>41</v>
      </c>
      <c r="L540" t="s">
        <v>42</v>
      </c>
      <c r="M540">
        <v>42</v>
      </c>
      <c r="N540">
        <v>84</v>
      </c>
      <c r="O540" t="s">
        <v>58</v>
      </c>
      <c r="P540">
        <v>30</v>
      </c>
      <c r="Q540">
        <v>80</v>
      </c>
      <c r="R540">
        <v>80</v>
      </c>
      <c r="S540">
        <v>110</v>
      </c>
      <c r="T540">
        <v>19</v>
      </c>
      <c r="U540" t="s">
        <v>27</v>
      </c>
      <c r="V540">
        <f t="shared" si="48"/>
        <v>0.5</v>
      </c>
      <c r="W540">
        <f t="shared" si="49"/>
        <v>-38</v>
      </c>
      <c r="X540">
        <f t="shared" si="50"/>
        <v>-26</v>
      </c>
      <c r="Y540">
        <f t="shared" si="51"/>
        <v>0.38095238095238093</v>
      </c>
      <c r="Z540" s="7" t="str">
        <f t="shared" si="52"/>
        <v>Low Sales</v>
      </c>
      <c r="AA540" s="7" t="str">
        <f t="shared" si="53"/>
        <v>High Margin</v>
      </c>
    </row>
    <row r="541" spans="1:27" x14ac:dyDescent="0.25">
      <c r="A541" t="s">
        <v>115</v>
      </c>
      <c r="B541">
        <v>82</v>
      </c>
      <c r="C541">
        <v>36</v>
      </c>
      <c r="D541" s="1">
        <v>41721</v>
      </c>
      <c r="E541">
        <v>788</v>
      </c>
      <c r="F541">
        <v>123</v>
      </c>
      <c r="G541" t="s">
        <v>39</v>
      </c>
      <c r="H541" t="s">
        <v>29</v>
      </c>
      <c r="I541">
        <v>27</v>
      </c>
      <c r="J541" t="s">
        <v>40</v>
      </c>
      <c r="K541" t="s">
        <v>41</v>
      </c>
      <c r="L541" t="s">
        <v>42</v>
      </c>
      <c r="M541">
        <v>96</v>
      </c>
      <c r="N541">
        <v>218</v>
      </c>
      <c r="O541" t="s">
        <v>47</v>
      </c>
      <c r="P541">
        <v>50</v>
      </c>
      <c r="Q541">
        <v>80</v>
      </c>
      <c r="R541">
        <v>60</v>
      </c>
      <c r="S541">
        <v>130</v>
      </c>
      <c r="T541">
        <v>58</v>
      </c>
      <c r="U541" t="s">
        <v>27</v>
      </c>
      <c r="V541">
        <f t="shared" si="48"/>
        <v>0.44036697247706424</v>
      </c>
      <c r="W541">
        <f t="shared" si="49"/>
        <v>36</v>
      </c>
      <c r="X541">
        <f t="shared" si="50"/>
        <v>88</v>
      </c>
      <c r="Y541">
        <f t="shared" si="51"/>
        <v>0.37614678899082571</v>
      </c>
      <c r="Z541" s="7" t="str">
        <f t="shared" si="52"/>
        <v>Low Sales</v>
      </c>
      <c r="AA541" s="7" t="str">
        <f t="shared" si="53"/>
        <v>High Margin</v>
      </c>
    </row>
    <row r="542" spans="1:27" x14ac:dyDescent="0.25">
      <c r="A542" t="s">
        <v>180</v>
      </c>
      <c r="B542">
        <v>56</v>
      </c>
      <c r="C542">
        <v>-28</v>
      </c>
      <c r="D542" s="1">
        <v>41722</v>
      </c>
      <c r="E542">
        <v>385</v>
      </c>
      <c r="F542">
        <v>70</v>
      </c>
      <c r="G542" t="s">
        <v>39</v>
      </c>
      <c r="H542" t="s">
        <v>22</v>
      </c>
      <c r="I542">
        <v>21</v>
      </c>
      <c r="J542" t="s">
        <v>40</v>
      </c>
      <c r="K542" t="s">
        <v>45</v>
      </c>
      <c r="L542" t="s">
        <v>50</v>
      </c>
      <c r="M542">
        <v>22</v>
      </c>
      <c r="N542">
        <v>134</v>
      </c>
      <c r="O542" t="s">
        <v>59</v>
      </c>
      <c r="P542">
        <v>40</v>
      </c>
      <c r="Q542">
        <v>80</v>
      </c>
      <c r="R542">
        <v>50</v>
      </c>
      <c r="S542">
        <v>120</v>
      </c>
      <c r="T542">
        <v>55</v>
      </c>
      <c r="U542" t="s">
        <v>35</v>
      </c>
      <c r="V542">
        <f t="shared" si="48"/>
        <v>0.16417910447761194</v>
      </c>
      <c r="W542">
        <f t="shared" si="49"/>
        <v>-28</v>
      </c>
      <c r="X542">
        <f t="shared" si="50"/>
        <v>14</v>
      </c>
      <c r="Y542">
        <f t="shared" si="51"/>
        <v>0.41791044776119401</v>
      </c>
      <c r="Z542" s="7" t="str">
        <f t="shared" si="52"/>
        <v>Low Sales</v>
      </c>
      <c r="AA542" s="7" t="str">
        <f t="shared" si="53"/>
        <v>High Margin</v>
      </c>
    </row>
    <row r="543" spans="1:27" x14ac:dyDescent="0.25">
      <c r="A543" t="s">
        <v>115</v>
      </c>
      <c r="B543">
        <v>91</v>
      </c>
      <c r="C543">
        <v>43</v>
      </c>
      <c r="D543" s="1">
        <v>41723</v>
      </c>
      <c r="E543">
        <v>-1785</v>
      </c>
      <c r="F543">
        <v>127</v>
      </c>
      <c r="G543" t="s">
        <v>39</v>
      </c>
      <c r="H543" t="s">
        <v>29</v>
      </c>
      <c r="I543">
        <v>28</v>
      </c>
      <c r="J543" t="s">
        <v>40</v>
      </c>
      <c r="K543" t="s">
        <v>41</v>
      </c>
      <c r="L543" t="s">
        <v>54</v>
      </c>
      <c r="M543">
        <v>113</v>
      </c>
      <c r="N543">
        <v>232</v>
      </c>
      <c r="O543" t="s">
        <v>47</v>
      </c>
      <c r="P543">
        <v>50</v>
      </c>
      <c r="Q543">
        <v>80</v>
      </c>
      <c r="R543">
        <v>70</v>
      </c>
      <c r="S543">
        <v>130</v>
      </c>
      <c r="T543">
        <v>51</v>
      </c>
      <c r="U543" t="s">
        <v>35</v>
      </c>
      <c r="V543">
        <f t="shared" si="48"/>
        <v>0.48706896551724138</v>
      </c>
      <c r="W543">
        <f t="shared" si="49"/>
        <v>43</v>
      </c>
      <c r="X543">
        <f t="shared" si="50"/>
        <v>102</v>
      </c>
      <c r="Y543">
        <f t="shared" si="51"/>
        <v>0.39224137931034481</v>
      </c>
      <c r="Z543" s="7" t="str">
        <f t="shared" si="52"/>
        <v>Low Sales</v>
      </c>
      <c r="AA543" s="7" t="str">
        <f t="shared" si="53"/>
        <v>High Margin</v>
      </c>
    </row>
    <row r="544" spans="1:27" x14ac:dyDescent="0.25">
      <c r="A544" t="s">
        <v>133</v>
      </c>
      <c r="B544">
        <v>60</v>
      </c>
      <c r="C544">
        <v>5</v>
      </c>
      <c r="D544" s="1">
        <v>41724</v>
      </c>
      <c r="E544">
        <v>329</v>
      </c>
      <c r="F544">
        <v>99</v>
      </c>
      <c r="G544" t="s">
        <v>39</v>
      </c>
      <c r="H544" t="s">
        <v>22</v>
      </c>
      <c r="I544">
        <v>18</v>
      </c>
      <c r="J544" t="s">
        <v>23</v>
      </c>
      <c r="K544" t="s">
        <v>24</v>
      </c>
      <c r="L544" t="s">
        <v>57</v>
      </c>
      <c r="M544">
        <v>85</v>
      </c>
      <c r="N544">
        <v>169</v>
      </c>
      <c r="O544" t="s">
        <v>59</v>
      </c>
      <c r="P544">
        <v>40</v>
      </c>
      <c r="Q544">
        <v>80</v>
      </c>
      <c r="R544">
        <v>80</v>
      </c>
      <c r="S544">
        <v>120</v>
      </c>
      <c r="T544">
        <v>42</v>
      </c>
      <c r="U544" t="s">
        <v>27</v>
      </c>
      <c r="V544">
        <f t="shared" si="48"/>
        <v>0.50295857988165682</v>
      </c>
      <c r="W544">
        <f t="shared" si="49"/>
        <v>5</v>
      </c>
      <c r="X544">
        <f t="shared" si="50"/>
        <v>49</v>
      </c>
      <c r="Y544">
        <f t="shared" si="51"/>
        <v>0.35502958579881655</v>
      </c>
      <c r="Z544" s="7" t="str">
        <f t="shared" si="52"/>
        <v>Low Sales</v>
      </c>
      <c r="AA544" s="7" t="str">
        <f t="shared" si="53"/>
        <v>High Margin</v>
      </c>
    </row>
    <row r="545" spans="1:27" x14ac:dyDescent="0.25">
      <c r="A545" t="s">
        <v>158</v>
      </c>
      <c r="B545">
        <v>55</v>
      </c>
      <c r="C545">
        <v>-16</v>
      </c>
      <c r="D545" s="1">
        <v>41725</v>
      </c>
      <c r="E545">
        <v>410</v>
      </c>
      <c r="F545">
        <v>69</v>
      </c>
      <c r="G545" t="s">
        <v>21</v>
      </c>
      <c r="H545" t="s">
        <v>22</v>
      </c>
      <c r="I545">
        <v>20</v>
      </c>
      <c r="J545" t="s">
        <v>40</v>
      </c>
      <c r="K545" t="s">
        <v>41</v>
      </c>
      <c r="L545" t="s">
        <v>42</v>
      </c>
      <c r="M545">
        <v>24</v>
      </c>
      <c r="N545">
        <v>132</v>
      </c>
      <c r="O545" t="s">
        <v>65</v>
      </c>
      <c r="P545">
        <v>70</v>
      </c>
      <c r="Q545">
        <v>80</v>
      </c>
      <c r="R545">
        <v>40</v>
      </c>
      <c r="S545">
        <v>150</v>
      </c>
      <c r="T545">
        <v>53</v>
      </c>
      <c r="U545" t="s">
        <v>27</v>
      </c>
      <c r="V545">
        <f t="shared" si="48"/>
        <v>0.18181818181818182</v>
      </c>
      <c r="W545">
        <f t="shared" si="49"/>
        <v>-16</v>
      </c>
      <c r="X545">
        <f t="shared" si="50"/>
        <v>-18</v>
      </c>
      <c r="Y545">
        <f t="shared" si="51"/>
        <v>0.41666666666666669</v>
      </c>
      <c r="Z545" s="7" t="str">
        <f t="shared" si="52"/>
        <v>Low Sales</v>
      </c>
      <c r="AA545" s="7" t="str">
        <f t="shared" si="53"/>
        <v>High Margin</v>
      </c>
    </row>
    <row r="546" spans="1:27" x14ac:dyDescent="0.25">
      <c r="A546" t="s">
        <v>172</v>
      </c>
      <c r="B546">
        <v>59</v>
      </c>
      <c r="C546">
        <v>-1</v>
      </c>
      <c r="D546" s="1">
        <v>41726</v>
      </c>
      <c r="E546">
        <v>411</v>
      </c>
      <c r="F546">
        <v>79</v>
      </c>
      <c r="G546" t="s">
        <v>21</v>
      </c>
      <c r="H546" t="s">
        <v>22</v>
      </c>
      <c r="I546">
        <v>19</v>
      </c>
      <c r="J546" t="s">
        <v>40</v>
      </c>
      <c r="K546" t="s">
        <v>45</v>
      </c>
      <c r="L546" t="s">
        <v>50</v>
      </c>
      <c r="M546">
        <v>49</v>
      </c>
      <c r="N546">
        <v>147</v>
      </c>
      <c r="O546" t="s">
        <v>65</v>
      </c>
      <c r="P546">
        <v>50</v>
      </c>
      <c r="Q546">
        <v>80</v>
      </c>
      <c r="R546">
        <v>50</v>
      </c>
      <c r="S546">
        <v>130</v>
      </c>
      <c r="T546">
        <v>46</v>
      </c>
      <c r="U546" t="s">
        <v>35</v>
      </c>
      <c r="V546">
        <f t="shared" si="48"/>
        <v>0.33333333333333331</v>
      </c>
      <c r="W546">
        <f t="shared" si="49"/>
        <v>-1</v>
      </c>
      <c r="X546">
        <f t="shared" si="50"/>
        <v>17</v>
      </c>
      <c r="Y546">
        <f t="shared" si="51"/>
        <v>0.40136054421768708</v>
      </c>
      <c r="Z546" s="7" t="str">
        <f t="shared" si="52"/>
        <v>Low Sales</v>
      </c>
      <c r="AA546" s="7" t="str">
        <f t="shared" si="53"/>
        <v>High Margin</v>
      </c>
    </row>
    <row r="547" spans="1:27" x14ac:dyDescent="0.25">
      <c r="A547" t="s">
        <v>132</v>
      </c>
      <c r="B547">
        <v>75</v>
      </c>
      <c r="C547">
        <v>48</v>
      </c>
      <c r="D547" s="1">
        <v>41727</v>
      </c>
      <c r="E547">
        <v>659</v>
      </c>
      <c r="F547">
        <v>114</v>
      </c>
      <c r="G547" t="s">
        <v>21</v>
      </c>
      <c r="H547" t="s">
        <v>36</v>
      </c>
      <c r="I547">
        <v>24</v>
      </c>
      <c r="J547" t="s">
        <v>23</v>
      </c>
      <c r="K547" t="s">
        <v>32</v>
      </c>
      <c r="L547" t="s">
        <v>37</v>
      </c>
      <c r="M547">
        <v>88</v>
      </c>
      <c r="N547">
        <v>201</v>
      </c>
      <c r="O547" t="s">
        <v>38</v>
      </c>
      <c r="P547">
        <v>50</v>
      </c>
      <c r="Q547">
        <v>80</v>
      </c>
      <c r="R547">
        <v>40</v>
      </c>
      <c r="S547">
        <v>130</v>
      </c>
      <c r="T547">
        <v>55</v>
      </c>
      <c r="U547" t="s">
        <v>35</v>
      </c>
      <c r="V547">
        <f t="shared" si="48"/>
        <v>0.43781094527363185</v>
      </c>
      <c r="W547">
        <f t="shared" si="49"/>
        <v>48</v>
      </c>
      <c r="X547">
        <f t="shared" si="50"/>
        <v>71</v>
      </c>
      <c r="Y547">
        <f t="shared" si="51"/>
        <v>0.37313432835820898</v>
      </c>
      <c r="Z547" s="7" t="str">
        <f t="shared" si="52"/>
        <v>Low Sales</v>
      </c>
      <c r="AA547" s="7" t="str">
        <f t="shared" si="53"/>
        <v>High Margin</v>
      </c>
    </row>
    <row r="548" spans="1:27" x14ac:dyDescent="0.25">
      <c r="A548" t="s">
        <v>108</v>
      </c>
      <c r="B548">
        <v>69</v>
      </c>
      <c r="C548">
        <v>16</v>
      </c>
      <c r="D548" s="1">
        <v>41728</v>
      </c>
      <c r="E548">
        <v>1060</v>
      </c>
      <c r="F548">
        <v>81</v>
      </c>
      <c r="G548" t="s">
        <v>39</v>
      </c>
      <c r="H548" t="s">
        <v>22</v>
      </c>
      <c r="I548">
        <v>21</v>
      </c>
      <c r="J548" t="s">
        <v>40</v>
      </c>
      <c r="K548" t="s">
        <v>45</v>
      </c>
      <c r="L548" t="s">
        <v>46</v>
      </c>
      <c r="M548">
        <v>56</v>
      </c>
      <c r="N548">
        <v>160</v>
      </c>
      <c r="O548" t="s">
        <v>58</v>
      </c>
      <c r="P548">
        <v>60</v>
      </c>
      <c r="Q548">
        <v>80</v>
      </c>
      <c r="R548">
        <v>40</v>
      </c>
      <c r="S548">
        <v>140</v>
      </c>
      <c r="T548">
        <v>43</v>
      </c>
      <c r="U548" t="s">
        <v>27</v>
      </c>
      <c r="V548">
        <f t="shared" si="48"/>
        <v>0.35</v>
      </c>
      <c r="W548">
        <f t="shared" si="49"/>
        <v>16</v>
      </c>
      <c r="X548">
        <f t="shared" si="50"/>
        <v>20</v>
      </c>
      <c r="Y548">
        <f t="shared" si="51"/>
        <v>0.43125000000000002</v>
      </c>
      <c r="Z548" s="7" t="str">
        <f t="shared" si="52"/>
        <v>Low Sales</v>
      </c>
      <c r="AA548" s="7" t="str">
        <f t="shared" si="53"/>
        <v>High Margin</v>
      </c>
    </row>
    <row r="549" spans="1:27" x14ac:dyDescent="0.25">
      <c r="A549" t="s">
        <v>80</v>
      </c>
      <c r="B549">
        <v>46</v>
      </c>
      <c r="C549">
        <v>-3</v>
      </c>
      <c r="D549" s="1">
        <v>41729</v>
      </c>
      <c r="E549">
        <v>424</v>
      </c>
      <c r="F549">
        <v>68</v>
      </c>
      <c r="G549" t="s">
        <v>39</v>
      </c>
      <c r="H549" t="s">
        <v>36</v>
      </c>
      <c r="I549">
        <v>14</v>
      </c>
      <c r="J549" t="s">
        <v>40</v>
      </c>
      <c r="K549" t="s">
        <v>45</v>
      </c>
      <c r="L549" t="s">
        <v>46</v>
      </c>
      <c r="M549">
        <v>47</v>
      </c>
      <c r="N549">
        <v>121</v>
      </c>
      <c r="O549" t="s">
        <v>56</v>
      </c>
      <c r="P549">
        <v>50</v>
      </c>
      <c r="Q549">
        <v>80</v>
      </c>
      <c r="R549">
        <v>50</v>
      </c>
      <c r="S549">
        <v>130</v>
      </c>
      <c r="T549">
        <v>36</v>
      </c>
      <c r="U549" t="s">
        <v>27</v>
      </c>
      <c r="V549">
        <f t="shared" si="48"/>
        <v>0.38842975206611569</v>
      </c>
      <c r="W549">
        <f t="shared" si="49"/>
        <v>-3</v>
      </c>
      <c r="X549">
        <f t="shared" si="50"/>
        <v>-9</v>
      </c>
      <c r="Y549">
        <f t="shared" si="51"/>
        <v>0.38016528925619836</v>
      </c>
      <c r="Z549" s="7" t="str">
        <f t="shared" si="52"/>
        <v>Low Sales</v>
      </c>
      <c r="AA549" s="7" t="str">
        <f t="shared" si="53"/>
        <v>High Margin</v>
      </c>
    </row>
    <row r="550" spans="1:27" x14ac:dyDescent="0.25">
      <c r="A550" t="s">
        <v>84</v>
      </c>
      <c r="B550">
        <v>75</v>
      </c>
      <c r="C550">
        <v>27</v>
      </c>
      <c r="D550" s="1">
        <v>41730</v>
      </c>
      <c r="E550">
        <v>1063</v>
      </c>
      <c r="F550">
        <v>89</v>
      </c>
      <c r="G550" t="s">
        <v>39</v>
      </c>
      <c r="H550" t="s">
        <v>36</v>
      </c>
      <c r="I550">
        <v>23</v>
      </c>
      <c r="J550" t="s">
        <v>40</v>
      </c>
      <c r="K550" t="s">
        <v>41</v>
      </c>
      <c r="L550" t="s">
        <v>42</v>
      </c>
      <c r="M550">
        <v>67</v>
      </c>
      <c r="N550">
        <v>175</v>
      </c>
      <c r="O550" t="s">
        <v>60</v>
      </c>
      <c r="P550">
        <v>70</v>
      </c>
      <c r="Q550">
        <v>80</v>
      </c>
      <c r="R550">
        <v>40</v>
      </c>
      <c r="S550">
        <v>150</v>
      </c>
      <c r="T550">
        <v>44</v>
      </c>
      <c r="U550" t="s">
        <v>27</v>
      </c>
      <c r="V550">
        <f t="shared" si="48"/>
        <v>0.38285714285714284</v>
      </c>
      <c r="W550">
        <f t="shared" si="49"/>
        <v>27</v>
      </c>
      <c r="X550">
        <f t="shared" si="50"/>
        <v>25</v>
      </c>
      <c r="Y550">
        <f t="shared" si="51"/>
        <v>0.42857142857142855</v>
      </c>
      <c r="Z550" s="7" t="str">
        <f t="shared" si="52"/>
        <v>Low Sales</v>
      </c>
      <c r="AA550" s="7" t="str">
        <f t="shared" si="53"/>
        <v>High Margin</v>
      </c>
    </row>
    <row r="551" spans="1:27" x14ac:dyDescent="0.25">
      <c r="A551" t="s">
        <v>110</v>
      </c>
      <c r="B551">
        <v>61</v>
      </c>
      <c r="C551">
        <v>-7</v>
      </c>
      <c r="D551" s="1">
        <v>41731</v>
      </c>
      <c r="E551">
        <v>613</v>
      </c>
      <c r="F551">
        <v>86</v>
      </c>
      <c r="G551" t="s">
        <v>39</v>
      </c>
      <c r="H551" t="s">
        <v>31</v>
      </c>
      <c r="I551">
        <v>55</v>
      </c>
      <c r="J551" t="s">
        <v>40</v>
      </c>
      <c r="K551" t="s">
        <v>41</v>
      </c>
      <c r="L551" t="s">
        <v>53</v>
      </c>
      <c r="M551">
        <v>3</v>
      </c>
      <c r="N551">
        <v>157</v>
      </c>
      <c r="O551" t="s">
        <v>44</v>
      </c>
      <c r="P551">
        <v>60</v>
      </c>
      <c r="Q551">
        <v>80</v>
      </c>
      <c r="R551">
        <v>10</v>
      </c>
      <c r="S551">
        <v>140</v>
      </c>
      <c r="T551">
        <v>84</v>
      </c>
      <c r="U551" t="s">
        <v>35</v>
      </c>
      <c r="V551">
        <f t="shared" si="48"/>
        <v>1.9108280254777069E-2</v>
      </c>
      <c r="W551">
        <f t="shared" si="49"/>
        <v>-7</v>
      </c>
      <c r="X551">
        <f t="shared" si="50"/>
        <v>17</v>
      </c>
      <c r="Y551">
        <f t="shared" si="51"/>
        <v>0.38853503184713378</v>
      </c>
      <c r="Z551" s="7" t="str">
        <f t="shared" si="52"/>
        <v>Low Sales</v>
      </c>
      <c r="AA551" s="7" t="str">
        <f t="shared" si="53"/>
        <v>Low Margin</v>
      </c>
    </row>
    <row r="552" spans="1:27" x14ac:dyDescent="0.25">
      <c r="A552" t="s">
        <v>79</v>
      </c>
      <c r="B552">
        <v>47</v>
      </c>
      <c r="C552">
        <v>5</v>
      </c>
      <c r="D552" s="1">
        <v>41732</v>
      </c>
      <c r="E552">
        <v>834</v>
      </c>
      <c r="F552">
        <v>68</v>
      </c>
      <c r="G552" t="s">
        <v>39</v>
      </c>
      <c r="H552" t="s">
        <v>29</v>
      </c>
      <c r="I552">
        <v>13</v>
      </c>
      <c r="J552" t="s">
        <v>40</v>
      </c>
      <c r="K552" t="s">
        <v>45</v>
      </c>
      <c r="L552" t="s">
        <v>52</v>
      </c>
      <c r="M552">
        <v>65</v>
      </c>
      <c r="N552">
        <v>123</v>
      </c>
      <c r="O552" t="s">
        <v>55</v>
      </c>
      <c r="P552">
        <v>50</v>
      </c>
      <c r="Q552">
        <v>80</v>
      </c>
      <c r="R552">
        <v>60</v>
      </c>
      <c r="S552">
        <v>130</v>
      </c>
      <c r="T552">
        <v>24</v>
      </c>
      <c r="U552" t="s">
        <v>35</v>
      </c>
      <c r="V552">
        <f t="shared" si="48"/>
        <v>0.52845528455284552</v>
      </c>
      <c r="W552">
        <f t="shared" si="49"/>
        <v>5</v>
      </c>
      <c r="X552">
        <f t="shared" si="50"/>
        <v>-7</v>
      </c>
      <c r="Y552">
        <f t="shared" si="51"/>
        <v>0.38211382113821141</v>
      </c>
      <c r="Z552" s="7" t="str">
        <f t="shared" si="52"/>
        <v>Low Sales</v>
      </c>
      <c r="AA552" s="7" t="str">
        <f t="shared" si="53"/>
        <v>High Margin</v>
      </c>
    </row>
    <row r="553" spans="1:27" x14ac:dyDescent="0.25">
      <c r="A553" t="s">
        <v>85</v>
      </c>
      <c r="B553">
        <v>52</v>
      </c>
      <c r="C553">
        <v>-16</v>
      </c>
      <c r="D553" s="1">
        <v>41733</v>
      </c>
      <c r="E553">
        <v>509</v>
      </c>
      <c r="F553">
        <v>73</v>
      </c>
      <c r="G553" t="s">
        <v>39</v>
      </c>
      <c r="H553" t="s">
        <v>36</v>
      </c>
      <c r="I553">
        <v>47</v>
      </c>
      <c r="J553" t="s">
        <v>40</v>
      </c>
      <c r="K553" t="s">
        <v>45</v>
      </c>
      <c r="L553" t="s">
        <v>50</v>
      </c>
      <c r="M553">
        <v>-6</v>
      </c>
      <c r="N553">
        <v>133</v>
      </c>
      <c r="O553" t="s">
        <v>56</v>
      </c>
      <c r="P553">
        <v>60</v>
      </c>
      <c r="Q553">
        <v>80</v>
      </c>
      <c r="R553">
        <v>10</v>
      </c>
      <c r="S553">
        <v>140</v>
      </c>
      <c r="T553">
        <v>77</v>
      </c>
      <c r="U553" t="s">
        <v>35</v>
      </c>
      <c r="V553">
        <f t="shared" si="48"/>
        <v>-4.5112781954887216E-2</v>
      </c>
      <c r="W553">
        <f t="shared" si="49"/>
        <v>-16</v>
      </c>
      <c r="X553">
        <f t="shared" si="50"/>
        <v>-7</v>
      </c>
      <c r="Y553">
        <f t="shared" si="51"/>
        <v>0.39097744360902253</v>
      </c>
      <c r="Z553" s="7" t="str">
        <f t="shared" si="52"/>
        <v>Low Sales</v>
      </c>
      <c r="AA553" s="7" t="str">
        <f t="shared" si="53"/>
        <v>Low Margin</v>
      </c>
    </row>
    <row r="554" spans="1:27" x14ac:dyDescent="0.25">
      <c r="A554" t="s">
        <v>77</v>
      </c>
      <c r="B554">
        <v>53</v>
      </c>
      <c r="C554">
        <v>-10</v>
      </c>
      <c r="D554" s="1">
        <v>41734</v>
      </c>
      <c r="E554">
        <v>380</v>
      </c>
      <c r="F554">
        <v>71</v>
      </c>
      <c r="G554" t="s">
        <v>39</v>
      </c>
      <c r="H554" t="s">
        <v>36</v>
      </c>
      <c r="I554">
        <v>17</v>
      </c>
      <c r="J554" t="s">
        <v>40</v>
      </c>
      <c r="K554" t="s">
        <v>45</v>
      </c>
      <c r="L554" t="s">
        <v>52</v>
      </c>
      <c r="M554">
        <v>40</v>
      </c>
      <c r="N554">
        <v>132</v>
      </c>
      <c r="O554" t="s">
        <v>49</v>
      </c>
      <c r="P554">
        <v>60</v>
      </c>
      <c r="Q554">
        <v>80</v>
      </c>
      <c r="R554">
        <v>50</v>
      </c>
      <c r="S554">
        <v>140</v>
      </c>
      <c r="T554">
        <v>44</v>
      </c>
      <c r="U554" t="s">
        <v>35</v>
      </c>
      <c r="V554">
        <f t="shared" si="48"/>
        <v>0.30303030303030304</v>
      </c>
      <c r="W554">
        <f t="shared" si="49"/>
        <v>-10</v>
      </c>
      <c r="X554">
        <f t="shared" si="50"/>
        <v>-8</v>
      </c>
      <c r="Y554">
        <f t="shared" si="51"/>
        <v>0.40151515151515149</v>
      </c>
      <c r="Z554" s="7" t="str">
        <f t="shared" si="52"/>
        <v>Low Sales</v>
      </c>
      <c r="AA554" s="7" t="str">
        <f t="shared" si="53"/>
        <v>High Margin</v>
      </c>
    </row>
    <row r="555" spans="1:27" x14ac:dyDescent="0.25">
      <c r="A555" t="s">
        <v>117</v>
      </c>
      <c r="B555">
        <v>59</v>
      </c>
      <c r="C555">
        <v>-1</v>
      </c>
      <c r="D555" s="1">
        <v>41735</v>
      </c>
      <c r="E555">
        <v>411</v>
      </c>
      <c r="F555">
        <v>79</v>
      </c>
      <c r="G555" t="s">
        <v>39</v>
      </c>
      <c r="H555" t="s">
        <v>36</v>
      </c>
      <c r="I555">
        <v>19</v>
      </c>
      <c r="J555" t="s">
        <v>40</v>
      </c>
      <c r="K555" t="s">
        <v>41</v>
      </c>
      <c r="L555" t="s">
        <v>53</v>
      </c>
      <c r="M555">
        <v>49</v>
      </c>
      <c r="N555">
        <v>147</v>
      </c>
      <c r="O555" t="s">
        <v>56</v>
      </c>
      <c r="P555">
        <v>50</v>
      </c>
      <c r="Q555">
        <v>80</v>
      </c>
      <c r="R555">
        <v>50</v>
      </c>
      <c r="S555">
        <v>130</v>
      </c>
      <c r="T555">
        <v>46</v>
      </c>
      <c r="U555" t="s">
        <v>35</v>
      </c>
      <c r="V555">
        <f t="shared" si="48"/>
        <v>0.33333333333333331</v>
      </c>
      <c r="W555">
        <f t="shared" si="49"/>
        <v>-1</v>
      </c>
      <c r="X555">
        <f t="shared" si="50"/>
        <v>17</v>
      </c>
      <c r="Y555">
        <f t="shared" si="51"/>
        <v>0.40136054421768708</v>
      </c>
      <c r="Z555" s="7" t="str">
        <f t="shared" si="52"/>
        <v>Low Sales</v>
      </c>
      <c r="AA555" s="7" t="str">
        <f t="shared" si="53"/>
        <v>High Margin</v>
      </c>
    </row>
    <row r="556" spans="1:27" x14ac:dyDescent="0.25">
      <c r="A556" t="s">
        <v>82</v>
      </c>
      <c r="B556">
        <v>53</v>
      </c>
      <c r="C556">
        <v>21</v>
      </c>
      <c r="D556" s="1">
        <v>41736</v>
      </c>
      <c r="E556">
        <v>321</v>
      </c>
      <c r="F556">
        <v>88</v>
      </c>
      <c r="G556" t="s">
        <v>39</v>
      </c>
      <c r="H556" t="s">
        <v>22</v>
      </c>
      <c r="I556">
        <v>16</v>
      </c>
      <c r="J556" t="s">
        <v>23</v>
      </c>
      <c r="K556" t="s">
        <v>24</v>
      </c>
      <c r="L556" t="s">
        <v>57</v>
      </c>
      <c r="M556">
        <v>71</v>
      </c>
      <c r="N556">
        <v>150</v>
      </c>
      <c r="O556" t="s">
        <v>59</v>
      </c>
      <c r="P556">
        <v>50</v>
      </c>
      <c r="Q556">
        <v>80</v>
      </c>
      <c r="R556">
        <v>50</v>
      </c>
      <c r="S556">
        <v>130</v>
      </c>
      <c r="T556">
        <v>40</v>
      </c>
      <c r="U556" t="s">
        <v>27</v>
      </c>
      <c r="V556">
        <f t="shared" si="48"/>
        <v>0.47333333333333333</v>
      </c>
      <c r="W556">
        <f t="shared" si="49"/>
        <v>21</v>
      </c>
      <c r="X556">
        <f t="shared" si="50"/>
        <v>20</v>
      </c>
      <c r="Y556">
        <f t="shared" si="51"/>
        <v>0.35333333333333333</v>
      </c>
      <c r="Z556" s="7" t="str">
        <f t="shared" si="52"/>
        <v>Low Sales</v>
      </c>
      <c r="AA556" s="7" t="str">
        <f t="shared" si="53"/>
        <v>High Margin</v>
      </c>
    </row>
    <row r="557" spans="1:27" x14ac:dyDescent="0.25">
      <c r="A557" t="s">
        <v>74</v>
      </c>
      <c r="B557">
        <v>54</v>
      </c>
      <c r="C557">
        <v>16</v>
      </c>
      <c r="D557" s="1">
        <v>41737</v>
      </c>
      <c r="E557">
        <v>885</v>
      </c>
      <c r="F557">
        <v>78</v>
      </c>
      <c r="G557" t="s">
        <v>39</v>
      </c>
      <c r="H557" t="s">
        <v>31</v>
      </c>
      <c r="I557">
        <v>15</v>
      </c>
      <c r="J557" t="s">
        <v>23</v>
      </c>
      <c r="K557" t="s">
        <v>32</v>
      </c>
      <c r="L557" t="s">
        <v>33</v>
      </c>
      <c r="M557">
        <v>76</v>
      </c>
      <c r="N557">
        <v>141</v>
      </c>
      <c r="O557" t="s">
        <v>44</v>
      </c>
      <c r="P557">
        <v>50</v>
      </c>
      <c r="Q557">
        <v>80</v>
      </c>
      <c r="R557">
        <v>60</v>
      </c>
      <c r="S557">
        <v>130</v>
      </c>
      <c r="T557">
        <v>27</v>
      </c>
      <c r="U557" t="s">
        <v>35</v>
      </c>
      <c r="V557">
        <f t="shared" si="48"/>
        <v>0.53900709219858156</v>
      </c>
      <c r="W557">
        <f t="shared" si="49"/>
        <v>16</v>
      </c>
      <c r="X557">
        <f t="shared" si="50"/>
        <v>11</v>
      </c>
      <c r="Y557">
        <f t="shared" si="51"/>
        <v>0.38297872340425532</v>
      </c>
      <c r="Z557" s="7" t="str">
        <f t="shared" si="52"/>
        <v>Low Sales</v>
      </c>
      <c r="AA557" s="7" t="str">
        <f t="shared" si="53"/>
        <v>High Margin</v>
      </c>
    </row>
    <row r="558" spans="1:27" x14ac:dyDescent="0.25">
      <c r="A558" t="s">
        <v>151</v>
      </c>
      <c r="B558">
        <v>46</v>
      </c>
      <c r="C558">
        <v>-31</v>
      </c>
      <c r="D558" s="1">
        <v>41738</v>
      </c>
      <c r="E558">
        <v>422</v>
      </c>
      <c r="F558">
        <v>57</v>
      </c>
      <c r="G558" t="s">
        <v>21</v>
      </c>
      <c r="H558" t="s">
        <v>22</v>
      </c>
      <c r="I558">
        <v>17</v>
      </c>
      <c r="J558" t="s">
        <v>40</v>
      </c>
      <c r="K558" t="s">
        <v>41</v>
      </c>
      <c r="L558" t="s">
        <v>42</v>
      </c>
      <c r="M558">
        <v>9</v>
      </c>
      <c r="N558">
        <v>110</v>
      </c>
      <c r="O558" t="s">
        <v>65</v>
      </c>
      <c r="P558">
        <v>50</v>
      </c>
      <c r="Q558">
        <v>80</v>
      </c>
      <c r="R558">
        <v>40</v>
      </c>
      <c r="S558">
        <v>130</v>
      </c>
      <c r="T558">
        <v>51</v>
      </c>
      <c r="U558" t="s">
        <v>27</v>
      </c>
      <c r="V558">
        <f t="shared" si="48"/>
        <v>8.1818181818181818E-2</v>
      </c>
      <c r="W558">
        <f t="shared" si="49"/>
        <v>-31</v>
      </c>
      <c r="X558">
        <f t="shared" si="50"/>
        <v>-20</v>
      </c>
      <c r="Y558">
        <f t="shared" si="51"/>
        <v>0.41818181818181815</v>
      </c>
      <c r="Z558" s="7" t="str">
        <f t="shared" si="52"/>
        <v>Low Sales</v>
      </c>
      <c r="AA558" s="7" t="str">
        <f t="shared" si="53"/>
        <v>High Margin</v>
      </c>
    </row>
    <row r="559" spans="1:27" x14ac:dyDescent="0.25">
      <c r="A559" t="s">
        <v>120</v>
      </c>
      <c r="B559">
        <v>67</v>
      </c>
      <c r="C559">
        <v>30</v>
      </c>
      <c r="D559" s="1">
        <v>41739</v>
      </c>
      <c r="E559">
        <v>677</v>
      </c>
      <c r="F559">
        <v>101</v>
      </c>
      <c r="G559" t="s">
        <v>21</v>
      </c>
      <c r="H559" t="s">
        <v>22</v>
      </c>
      <c r="I559">
        <v>22</v>
      </c>
      <c r="J559" t="s">
        <v>23</v>
      </c>
      <c r="K559" t="s">
        <v>32</v>
      </c>
      <c r="L559" t="s">
        <v>61</v>
      </c>
      <c r="M559">
        <v>70</v>
      </c>
      <c r="N559">
        <v>179</v>
      </c>
      <c r="O559" t="s">
        <v>63</v>
      </c>
      <c r="P559">
        <v>50</v>
      </c>
      <c r="Q559">
        <v>80</v>
      </c>
      <c r="R559">
        <v>40</v>
      </c>
      <c r="S559">
        <v>130</v>
      </c>
      <c r="T559">
        <v>54</v>
      </c>
      <c r="U559" t="s">
        <v>35</v>
      </c>
      <c r="V559">
        <f t="shared" si="48"/>
        <v>0.39106145251396646</v>
      </c>
      <c r="W559">
        <f t="shared" si="49"/>
        <v>30</v>
      </c>
      <c r="X559">
        <f t="shared" si="50"/>
        <v>49</v>
      </c>
      <c r="Y559">
        <f t="shared" si="51"/>
        <v>0.37430167597765363</v>
      </c>
      <c r="Z559" s="7" t="str">
        <f t="shared" si="52"/>
        <v>Low Sales</v>
      </c>
      <c r="AA559" s="7" t="str">
        <f t="shared" si="53"/>
        <v>High Margin</v>
      </c>
    </row>
    <row r="560" spans="1:27" x14ac:dyDescent="0.25">
      <c r="A560" t="s">
        <v>186</v>
      </c>
      <c r="B560">
        <v>54</v>
      </c>
      <c r="C560">
        <v>17</v>
      </c>
      <c r="D560" s="1">
        <v>41740</v>
      </c>
      <c r="E560">
        <v>601</v>
      </c>
      <c r="F560">
        <v>79</v>
      </c>
      <c r="G560" t="s">
        <v>21</v>
      </c>
      <c r="H560" t="s">
        <v>31</v>
      </c>
      <c r="I560">
        <v>15</v>
      </c>
      <c r="J560" t="s">
        <v>23</v>
      </c>
      <c r="K560" t="s">
        <v>32</v>
      </c>
      <c r="L560" t="s">
        <v>37</v>
      </c>
      <c r="M560">
        <v>77</v>
      </c>
      <c r="N560">
        <v>142</v>
      </c>
      <c r="O560" t="s">
        <v>67</v>
      </c>
      <c r="P560">
        <v>50</v>
      </c>
      <c r="Q560">
        <v>80</v>
      </c>
      <c r="R560">
        <v>60</v>
      </c>
      <c r="S560">
        <v>130</v>
      </c>
      <c r="T560">
        <v>27</v>
      </c>
      <c r="U560" t="s">
        <v>35</v>
      </c>
      <c r="V560">
        <f t="shared" si="48"/>
        <v>0.54225352112676062</v>
      </c>
      <c r="W560">
        <f t="shared" si="49"/>
        <v>17</v>
      </c>
      <c r="X560">
        <f t="shared" si="50"/>
        <v>12</v>
      </c>
      <c r="Y560">
        <f t="shared" si="51"/>
        <v>0.38028169014084506</v>
      </c>
      <c r="Z560" s="7" t="str">
        <f t="shared" si="52"/>
        <v>Low Sales</v>
      </c>
      <c r="AA560" s="7" t="str">
        <f t="shared" si="53"/>
        <v>High Margin</v>
      </c>
    </row>
    <row r="561" spans="1:27" x14ac:dyDescent="0.25">
      <c r="A561" t="s">
        <v>113</v>
      </c>
      <c r="B561">
        <v>67</v>
      </c>
      <c r="C561">
        <v>20</v>
      </c>
      <c r="D561" s="1">
        <v>41741</v>
      </c>
      <c r="E561">
        <v>677</v>
      </c>
      <c r="F561">
        <v>101</v>
      </c>
      <c r="G561" t="s">
        <v>21</v>
      </c>
      <c r="H561" t="s">
        <v>36</v>
      </c>
      <c r="I561">
        <v>22</v>
      </c>
      <c r="J561" t="s">
        <v>23</v>
      </c>
      <c r="K561" t="s">
        <v>32</v>
      </c>
      <c r="L561" t="s">
        <v>37</v>
      </c>
      <c r="M561">
        <v>70</v>
      </c>
      <c r="N561">
        <v>179</v>
      </c>
      <c r="O561" t="s">
        <v>38</v>
      </c>
      <c r="P561">
        <v>40</v>
      </c>
      <c r="Q561">
        <v>80</v>
      </c>
      <c r="R561">
        <v>50</v>
      </c>
      <c r="S561">
        <v>120</v>
      </c>
      <c r="T561">
        <v>54</v>
      </c>
      <c r="U561" t="s">
        <v>35</v>
      </c>
      <c r="V561">
        <f t="shared" si="48"/>
        <v>0.39106145251396646</v>
      </c>
      <c r="W561">
        <f t="shared" si="49"/>
        <v>20</v>
      </c>
      <c r="X561">
        <f t="shared" si="50"/>
        <v>59</v>
      </c>
      <c r="Y561">
        <f t="shared" si="51"/>
        <v>0.37430167597765363</v>
      </c>
      <c r="Z561" s="7" t="str">
        <f t="shared" si="52"/>
        <v>Low Sales</v>
      </c>
      <c r="AA561" s="7" t="str">
        <f t="shared" si="53"/>
        <v>High Margin</v>
      </c>
    </row>
    <row r="562" spans="1:27" x14ac:dyDescent="0.25">
      <c r="A562" t="s">
        <v>117</v>
      </c>
      <c r="B562">
        <v>41</v>
      </c>
      <c r="C562">
        <v>-13</v>
      </c>
      <c r="D562" s="1">
        <v>41742</v>
      </c>
      <c r="E562">
        <v>435</v>
      </c>
      <c r="F562">
        <v>60</v>
      </c>
      <c r="G562" t="s">
        <v>39</v>
      </c>
      <c r="H562" t="s">
        <v>36</v>
      </c>
      <c r="I562">
        <v>13</v>
      </c>
      <c r="J562" t="s">
        <v>40</v>
      </c>
      <c r="K562" t="s">
        <v>45</v>
      </c>
      <c r="L562" t="s">
        <v>46</v>
      </c>
      <c r="M562">
        <v>37</v>
      </c>
      <c r="N562">
        <v>108</v>
      </c>
      <c r="O562" t="s">
        <v>56</v>
      </c>
      <c r="P562">
        <v>40</v>
      </c>
      <c r="Q562">
        <v>80</v>
      </c>
      <c r="R562">
        <v>50</v>
      </c>
      <c r="S562">
        <v>120</v>
      </c>
      <c r="T562">
        <v>35</v>
      </c>
      <c r="U562" t="s">
        <v>27</v>
      </c>
      <c r="V562">
        <f t="shared" si="48"/>
        <v>0.34259259259259262</v>
      </c>
      <c r="W562">
        <f t="shared" si="49"/>
        <v>-13</v>
      </c>
      <c r="X562">
        <f t="shared" si="50"/>
        <v>-12</v>
      </c>
      <c r="Y562">
        <f t="shared" si="51"/>
        <v>0.37962962962962965</v>
      </c>
      <c r="Z562" s="7" t="str">
        <f t="shared" si="52"/>
        <v>Low Sales</v>
      </c>
      <c r="AA562" s="7" t="str">
        <f t="shared" si="53"/>
        <v>High Margin</v>
      </c>
    </row>
    <row r="563" spans="1:27" x14ac:dyDescent="0.25">
      <c r="A563" t="s">
        <v>109</v>
      </c>
      <c r="B563">
        <v>65</v>
      </c>
      <c r="C563">
        <v>3</v>
      </c>
      <c r="D563" s="1">
        <v>41743</v>
      </c>
      <c r="E563">
        <v>403</v>
      </c>
      <c r="F563">
        <v>80</v>
      </c>
      <c r="G563" t="s">
        <v>39</v>
      </c>
      <c r="H563" t="s">
        <v>22</v>
      </c>
      <c r="I563">
        <v>24</v>
      </c>
      <c r="J563" t="s">
        <v>40</v>
      </c>
      <c r="K563" t="s">
        <v>45</v>
      </c>
      <c r="L563" t="s">
        <v>50</v>
      </c>
      <c r="M563">
        <v>33</v>
      </c>
      <c r="N563">
        <v>155</v>
      </c>
      <c r="O563" t="s">
        <v>59</v>
      </c>
      <c r="P563">
        <v>60</v>
      </c>
      <c r="Q563">
        <v>80</v>
      </c>
      <c r="R563">
        <v>30</v>
      </c>
      <c r="S563">
        <v>140</v>
      </c>
      <c r="T563">
        <v>58</v>
      </c>
      <c r="U563" t="s">
        <v>35</v>
      </c>
      <c r="V563">
        <f t="shared" si="48"/>
        <v>0.2129032258064516</v>
      </c>
      <c r="W563">
        <f t="shared" si="49"/>
        <v>3</v>
      </c>
      <c r="X563">
        <f t="shared" si="50"/>
        <v>15</v>
      </c>
      <c r="Y563">
        <f t="shared" si="51"/>
        <v>0.41935483870967744</v>
      </c>
      <c r="Z563" s="7" t="str">
        <f t="shared" si="52"/>
        <v>Low Sales</v>
      </c>
      <c r="AA563" s="7" t="str">
        <f t="shared" si="53"/>
        <v>High Margin</v>
      </c>
    </row>
    <row r="564" spans="1:27" x14ac:dyDescent="0.25">
      <c r="A564" t="s">
        <v>117</v>
      </c>
      <c r="B564">
        <v>47</v>
      </c>
      <c r="C564">
        <v>-30</v>
      </c>
      <c r="D564" s="1">
        <v>41744</v>
      </c>
      <c r="E564">
        <v>521</v>
      </c>
      <c r="F564">
        <v>65</v>
      </c>
      <c r="G564" t="s">
        <v>39</v>
      </c>
      <c r="H564" t="s">
        <v>36</v>
      </c>
      <c r="I564">
        <v>42</v>
      </c>
      <c r="J564" t="s">
        <v>40</v>
      </c>
      <c r="K564" t="s">
        <v>45</v>
      </c>
      <c r="L564" t="s">
        <v>50</v>
      </c>
      <c r="M564">
        <v>-10</v>
      </c>
      <c r="N564">
        <v>119</v>
      </c>
      <c r="O564" t="s">
        <v>56</v>
      </c>
      <c r="P564">
        <v>50</v>
      </c>
      <c r="Q564">
        <v>80</v>
      </c>
      <c r="R564">
        <v>20</v>
      </c>
      <c r="S564">
        <v>130</v>
      </c>
      <c r="T564">
        <v>72</v>
      </c>
      <c r="U564" t="s">
        <v>35</v>
      </c>
      <c r="V564">
        <f t="shared" si="48"/>
        <v>-8.4033613445378158E-2</v>
      </c>
      <c r="W564">
        <f t="shared" si="49"/>
        <v>-30</v>
      </c>
      <c r="X564">
        <f t="shared" si="50"/>
        <v>-11</v>
      </c>
      <c r="Y564">
        <f t="shared" si="51"/>
        <v>0.3949579831932773</v>
      </c>
      <c r="Z564" s="7" t="str">
        <f t="shared" si="52"/>
        <v>Low Sales</v>
      </c>
      <c r="AA564" s="7" t="str">
        <f t="shared" si="53"/>
        <v>Low Margin</v>
      </c>
    </row>
    <row r="565" spans="1:27" x14ac:dyDescent="0.25">
      <c r="A565" t="s">
        <v>77</v>
      </c>
      <c r="B565">
        <v>49</v>
      </c>
      <c r="C565">
        <v>-19</v>
      </c>
      <c r="D565" s="1">
        <v>41745</v>
      </c>
      <c r="E565">
        <v>392</v>
      </c>
      <c r="F565">
        <v>65</v>
      </c>
      <c r="G565" t="s">
        <v>39</v>
      </c>
      <c r="H565" t="s">
        <v>36</v>
      </c>
      <c r="I565">
        <v>16</v>
      </c>
      <c r="J565" t="s">
        <v>40</v>
      </c>
      <c r="K565" t="s">
        <v>45</v>
      </c>
      <c r="L565" t="s">
        <v>52</v>
      </c>
      <c r="M565">
        <v>31</v>
      </c>
      <c r="N565">
        <v>121</v>
      </c>
      <c r="O565" t="s">
        <v>49</v>
      </c>
      <c r="P565">
        <v>50</v>
      </c>
      <c r="Q565">
        <v>80</v>
      </c>
      <c r="R565">
        <v>50</v>
      </c>
      <c r="S565">
        <v>130</v>
      </c>
      <c r="T565">
        <v>44</v>
      </c>
      <c r="U565" t="s">
        <v>35</v>
      </c>
      <c r="V565">
        <f t="shared" si="48"/>
        <v>0.256198347107438</v>
      </c>
      <c r="W565">
        <f t="shared" si="49"/>
        <v>-19</v>
      </c>
      <c r="X565">
        <f t="shared" si="50"/>
        <v>-9</v>
      </c>
      <c r="Y565">
        <f t="shared" si="51"/>
        <v>0.4049586776859504</v>
      </c>
      <c r="Z565" s="7" t="str">
        <f t="shared" si="52"/>
        <v>Low Sales</v>
      </c>
      <c r="AA565" s="7" t="str">
        <f t="shared" si="53"/>
        <v>High Margin</v>
      </c>
    </row>
    <row r="566" spans="1:27" x14ac:dyDescent="0.25">
      <c r="A566" t="s">
        <v>98</v>
      </c>
      <c r="B566">
        <v>65</v>
      </c>
      <c r="C566">
        <v>4</v>
      </c>
      <c r="D566" s="1">
        <v>41746</v>
      </c>
      <c r="E566">
        <v>403</v>
      </c>
      <c r="F566">
        <v>80</v>
      </c>
      <c r="G566" t="s">
        <v>39</v>
      </c>
      <c r="H566" t="s">
        <v>36</v>
      </c>
      <c r="I566">
        <v>24</v>
      </c>
      <c r="J566" t="s">
        <v>40</v>
      </c>
      <c r="K566" t="s">
        <v>41</v>
      </c>
      <c r="L566" t="s">
        <v>53</v>
      </c>
      <c r="M566">
        <v>34</v>
      </c>
      <c r="N566">
        <v>155</v>
      </c>
      <c r="O566" t="s">
        <v>60</v>
      </c>
      <c r="P566">
        <v>60</v>
      </c>
      <c r="Q566">
        <v>80</v>
      </c>
      <c r="R566">
        <v>30</v>
      </c>
      <c r="S566">
        <v>140</v>
      </c>
      <c r="T566">
        <v>57</v>
      </c>
      <c r="U566" t="s">
        <v>35</v>
      </c>
      <c r="V566">
        <f t="shared" si="48"/>
        <v>0.21935483870967742</v>
      </c>
      <c r="W566">
        <f t="shared" si="49"/>
        <v>4</v>
      </c>
      <c r="X566">
        <f t="shared" si="50"/>
        <v>15</v>
      </c>
      <c r="Y566">
        <f t="shared" si="51"/>
        <v>0.41935483870967744</v>
      </c>
      <c r="Z566" s="7" t="str">
        <f t="shared" si="52"/>
        <v>Low Sales</v>
      </c>
      <c r="AA566" s="7" t="str">
        <f t="shared" si="53"/>
        <v>High Margin</v>
      </c>
    </row>
    <row r="567" spans="1:27" x14ac:dyDescent="0.25">
      <c r="A567" t="s">
        <v>79</v>
      </c>
      <c r="B567">
        <v>68</v>
      </c>
      <c r="C567">
        <v>9</v>
      </c>
      <c r="D567" s="1">
        <v>41747</v>
      </c>
      <c r="E567">
        <v>619</v>
      </c>
      <c r="F567">
        <v>85</v>
      </c>
      <c r="G567" t="s">
        <v>39</v>
      </c>
      <c r="H567" t="s">
        <v>29</v>
      </c>
      <c r="I567">
        <v>25</v>
      </c>
      <c r="J567" t="s">
        <v>23</v>
      </c>
      <c r="K567" t="s">
        <v>24</v>
      </c>
      <c r="L567" t="s">
        <v>25</v>
      </c>
      <c r="M567">
        <v>39</v>
      </c>
      <c r="N567">
        <v>163</v>
      </c>
      <c r="O567" t="s">
        <v>55</v>
      </c>
      <c r="P567">
        <v>60</v>
      </c>
      <c r="Q567">
        <v>80</v>
      </c>
      <c r="R567">
        <v>30</v>
      </c>
      <c r="S567">
        <v>140</v>
      </c>
      <c r="T567">
        <v>59</v>
      </c>
      <c r="U567" t="s">
        <v>27</v>
      </c>
      <c r="V567">
        <f t="shared" si="48"/>
        <v>0.2392638036809816</v>
      </c>
      <c r="W567">
        <f t="shared" si="49"/>
        <v>9</v>
      </c>
      <c r="X567">
        <f t="shared" si="50"/>
        <v>23</v>
      </c>
      <c r="Y567">
        <f t="shared" si="51"/>
        <v>0.41717791411042943</v>
      </c>
      <c r="Z567" s="7" t="str">
        <f t="shared" si="52"/>
        <v>Low Sales</v>
      </c>
      <c r="AA567" s="7" t="str">
        <f t="shared" si="53"/>
        <v>High Margin</v>
      </c>
    </row>
    <row r="568" spans="1:27" x14ac:dyDescent="0.25">
      <c r="A568" t="s">
        <v>102</v>
      </c>
      <c r="B568">
        <v>39</v>
      </c>
      <c r="C568">
        <v>-54</v>
      </c>
      <c r="D568" s="1">
        <v>41748</v>
      </c>
      <c r="E568">
        <v>541</v>
      </c>
      <c r="F568">
        <v>51</v>
      </c>
      <c r="G568" t="s">
        <v>21</v>
      </c>
      <c r="H568" t="s">
        <v>29</v>
      </c>
      <c r="I568">
        <v>12</v>
      </c>
      <c r="J568" t="s">
        <v>40</v>
      </c>
      <c r="K568" t="s">
        <v>45</v>
      </c>
      <c r="L568" t="s">
        <v>46</v>
      </c>
      <c r="M568">
        <v>26</v>
      </c>
      <c r="N568">
        <v>90</v>
      </c>
      <c r="O568" t="s">
        <v>30</v>
      </c>
      <c r="P568">
        <v>40</v>
      </c>
      <c r="Q568">
        <v>90</v>
      </c>
      <c r="R568">
        <v>80</v>
      </c>
      <c r="S568">
        <v>130</v>
      </c>
      <c r="T568">
        <v>25</v>
      </c>
      <c r="U568" t="s">
        <v>27</v>
      </c>
      <c r="V568">
        <f t="shared" si="48"/>
        <v>0.28888888888888886</v>
      </c>
      <c r="W568">
        <f t="shared" si="49"/>
        <v>-54</v>
      </c>
      <c r="X568">
        <f t="shared" si="50"/>
        <v>-40</v>
      </c>
      <c r="Y568">
        <f t="shared" si="51"/>
        <v>0.43333333333333335</v>
      </c>
      <c r="Z568" s="7" t="str">
        <f t="shared" si="52"/>
        <v>Low Sales</v>
      </c>
      <c r="AA568" s="7" t="str">
        <f t="shared" si="53"/>
        <v>High Margin</v>
      </c>
    </row>
    <row r="569" spans="1:27" x14ac:dyDescent="0.25">
      <c r="A569" t="s">
        <v>90</v>
      </c>
      <c r="B569">
        <v>239</v>
      </c>
      <c r="C569">
        <v>-155</v>
      </c>
      <c r="D569" s="1">
        <v>41749</v>
      </c>
      <c r="E569">
        <v>1246</v>
      </c>
      <c r="F569">
        <v>281</v>
      </c>
      <c r="G569" t="s">
        <v>21</v>
      </c>
      <c r="H569" t="s">
        <v>29</v>
      </c>
      <c r="I569">
        <v>74</v>
      </c>
      <c r="J569" t="s">
        <v>40</v>
      </c>
      <c r="K569" t="s">
        <v>45</v>
      </c>
      <c r="L569" t="s">
        <v>52</v>
      </c>
      <c r="M569">
        <v>185</v>
      </c>
      <c r="N569">
        <v>520</v>
      </c>
      <c r="O569" t="s">
        <v>30</v>
      </c>
      <c r="P569">
        <v>350</v>
      </c>
      <c r="Q569">
        <v>420</v>
      </c>
      <c r="R569">
        <v>340</v>
      </c>
      <c r="S569">
        <v>770</v>
      </c>
      <c r="T569">
        <v>96</v>
      </c>
      <c r="U569" t="s">
        <v>35</v>
      </c>
      <c r="V569">
        <f t="shared" si="48"/>
        <v>0.35576923076923078</v>
      </c>
      <c r="W569">
        <f t="shared" si="49"/>
        <v>-155</v>
      </c>
      <c r="X569">
        <f t="shared" si="50"/>
        <v>-250</v>
      </c>
      <c r="Y569">
        <f t="shared" si="51"/>
        <v>0.45961538461538459</v>
      </c>
      <c r="Z569" s="7" t="str">
        <f t="shared" si="52"/>
        <v>High Sales</v>
      </c>
      <c r="AA569" s="7" t="str">
        <f t="shared" si="53"/>
        <v>High Margin</v>
      </c>
    </row>
    <row r="570" spans="1:27" x14ac:dyDescent="0.25">
      <c r="A570" t="s">
        <v>87</v>
      </c>
      <c r="B570">
        <v>123</v>
      </c>
      <c r="C570">
        <v>33</v>
      </c>
      <c r="D570" s="1">
        <v>41750</v>
      </c>
      <c r="E570">
        <v>915</v>
      </c>
      <c r="F570">
        <v>179</v>
      </c>
      <c r="G570" t="s">
        <v>21</v>
      </c>
      <c r="H570" t="s">
        <v>29</v>
      </c>
      <c r="I570">
        <v>34</v>
      </c>
      <c r="J570" t="s">
        <v>40</v>
      </c>
      <c r="K570" t="s">
        <v>41</v>
      </c>
      <c r="L570" t="s">
        <v>53</v>
      </c>
      <c r="M570">
        <v>133</v>
      </c>
      <c r="N570">
        <v>302</v>
      </c>
      <c r="O570" t="s">
        <v>30</v>
      </c>
      <c r="P570">
        <v>70</v>
      </c>
      <c r="Q570">
        <v>120</v>
      </c>
      <c r="R570">
        <v>100</v>
      </c>
      <c r="S570">
        <v>190</v>
      </c>
      <c r="T570">
        <v>46</v>
      </c>
      <c r="U570" t="s">
        <v>35</v>
      </c>
      <c r="V570">
        <f t="shared" si="48"/>
        <v>0.44039735099337746</v>
      </c>
      <c r="W570">
        <f t="shared" si="49"/>
        <v>33</v>
      </c>
      <c r="X570">
        <f t="shared" si="50"/>
        <v>112</v>
      </c>
      <c r="Y570">
        <f t="shared" si="51"/>
        <v>0.40728476821192056</v>
      </c>
      <c r="Z570" s="7" t="str">
        <f t="shared" si="52"/>
        <v>High Sales</v>
      </c>
      <c r="AA570" s="7" t="str">
        <f t="shared" si="53"/>
        <v>High Margin</v>
      </c>
    </row>
    <row r="571" spans="1:27" x14ac:dyDescent="0.25">
      <c r="A571" t="s">
        <v>97</v>
      </c>
      <c r="B571">
        <v>48</v>
      </c>
      <c r="C571">
        <v>-35</v>
      </c>
      <c r="D571" s="1">
        <v>41751</v>
      </c>
      <c r="E571">
        <v>851</v>
      </c>
      <c r="F571">
        <v>70</v>
      </c>
      <c r="G571" t="s">
        <v>39</v>
      </c>
      <c r="H571" t="s">
        <v>29</v>
      </c>
      <c r="I571">
        <v>13</v>
      </c>
      <c r="J571" t="s">
        <v>40</v>
      </c>
      <c r="K571" t="s">
        <v>45</v>
      </c>
      <c r="L571" t="s">
        <v>46</v>
      </c>
      <c r="M571">
        <v>45</v>
      </c>
      <c r="N571">
        <v>118</v>
      </c>
      <c r="O571" t="s">
        <v>55</v>
      </c>
      <c r="P571">
        <v>70</v>
      </c>
      <c r="Q571">
        <v>90</v>
      </c>
      <c r="R571">
        <v>80</v>
      </c>
      <c r="S571">
        <v>160</v>
      </c>
      <c r="T571">
        <v>25</v>
      </c>
      <c r="U571" t="s">
        <v>27</v>
      </c>
      <c r="V571">
        <f t="shared" si="48"/>
        <v>0.38135593220338981</v>
      </c>
      <c r="W571">
        <f t="shared" si="49"/>
        <v>-35</v>
      </c>
      <c r="X571">
        <f t="shared" si="50"/>
        <v>-42</v>
      </c>
      <c r="Y571">
        <f t="shared" si="51"/>
        <v>0.40677966101694918</v>
      </c>
      <c r="Z571" s="7" t="str">
        <f t="shared" si="52"/>
        <v>Low Sales</v>
      </c>
      <c r="AA571" s="7" t="str">
        <f t="shared" si="53"/>
        <v>High Margin</v>
      </c>
    </row>
    <row r="572" spans="1:27" x14ac:dyDescent="0.25">
      <c r="A572" t="s">
        <v>97</v>
      </c>
      <c r="B572">
        <v>48</v>
      </c>
      <c r="C572">
        <v>-33</v>
      </c>
      <c r="D572" s="1">
        <v>41752</v>
      </c>
      <c r="E572">
        <v>829</v>
      </c>
      <c r="F572">
        <v>71</v>
      </c>
      <c r="G572" t="s">
        <v>39</v>
      </c>
      <c r="H572" t="s">
        <v>29</v>
      </c>
      <c r="I572">
        <v>13</v>
      </c>
      <c r="J572" t="s">
        <v>40</v>
      </c>
      <c r="K572" t="s">
        <v>45</v>
      </c>
      <c r="L572" t="s">
        <v>52</v>
      </c>
      <c r="M572">
        <v>47</v>
      </c>
      <c r="N572">
        <v>119</v>
      </c>
      <c r="O572" t="s">
        <v>55</v>
      </c>
      <c r="P572">
        <v>70</v>
      </c>
      <c r="Q572">
        <v>90</v>
      </c>
      <c r="R572">
        <v>80</v>
      </c>
      <c r="S572">
        <v>160</v>
      </c>
      <c r="T572">
        <v>24</v>
      </c>
      <c r="U572" t="s">
        <v>35</v>
      </c>
      <c r="V572">
        <f t="shared" si="48"/>
        <v>0.3949579831932773</v>
      </c>
      <c r="W572">
        <f t="shared" si="49"/>
        <v>-33</v>
      </c>
      <c r="X572">
        <f t="shared" si="50"/>
        <v>-41</v>
      </c>
      <c r="Y572">
        <f t="shared" si="51"/>
        <v>0.40336134453781514</v>
      </c>
      <c r="Z572" s="7" t="str">
        <f t="shared" si="52"/>
        <v>Low Sales</v>
      </c>
      <c r="AA572" s="7" t="str">
        <f t="shared" si="53"/>
        <v>High Margin</v>
      </c>
    </row>
    <row r="573" spans="1:27" x14ac:dyDescent="0.25">
      <c r="A573" t="s">
        <v>107</v>
      </c>
      <c r="B573">
        <v>45</v>
      </c>
      <c r="C573">
        <v>-57</v>
      </c>
      <c r="D573" s="1">
        <v>41753</v>
      </c>
      <c r="E573">
        <v>447</v>
      </c>
      <c r="F573">
        <v>69</v>
      </c>
      <c r="G573" t="s">
        <v>39</v>
      </c>
      <c r="H573" t="s">
        <v>29</v>
      </c>
      <c r="I573">
        <v>14</v>
      </c>
      <c r="J573" t="s">
        <v>40</v>
      </c>
      <c r="K573" t="s">
        <v>45</v>
      </c>
      <c r="L573" t="s">
        <v>52</v>
      </c>
      <c r="M573">
        <v>23</v>
      </c>
      <c r="N573">
        <v>114</v>
      </c>
      <c r="O573" t="s">
        <v>64</v>
      </c>
      <c r="P573">
        <v>50</v>
      </c>
      <c r="Q573">
        <v>110</v>
      </c>
      <c r="R573">
        <v>80</v>
      </c>
      <c r="S573">
        <v>160</v>
      </c>
      <c r="T573">
        <v>46</v>
      </c>
      <c r="U573" t="s">
        <v>35</v>
      </c>
      <c r="V573">
        <f t="shared" si="48"/>
        <v>0.20175438596491227</v>
      </c>
      <c r="W573">
        <f t="shared" si="49"/>
        <v>-57</v>
      </c>
      <c r="X573">
        <f t="shared" si="50"/>
        <v>-46</v>
      </c>
      <c r="Y573">
        <f t="shared" si="51"/>
        <v>0.39473684210526316</v>
      </c>
      <c r="Z573" s="7" t="str">
        <f t="shared" si="52"/>
        <v>Low Sales</v>
      </c>
      <c r="AA573" s="7" t="str">
        <f t="shared" si="53"/>
        <v>High Margin</v>
      </c>
    </row>
    <row r="574" spans="1:27" x14ac:dyDescent="0.25">
      <c r="A574" t="s">
        <v>75</v>
      </c>
      <c r="B574">
        <v>90</v>
      </c>
      <c r="C574">
        <v>-66</v>
      </c>
      <c r="D574" s="1">
        <v>41754</v>
      </c>
      <c r="E574">
        <v>572</v>
      </c>
      <c r="F574">
        <v>115</v>
      </c>
      <c r="G574" t="s">
        <v>39</v>
      </c>
      <c r="H574" t="s">
        <v>29</v>
      </c>
      <c r="I574">
        <v>29</v>
      </c>
      <c r="J574" t="s">
        <v>40</v>
      </c>
      <c r="K574" t="s">
        <v>45</v>
      </c>
      <c r="L574" t="s">
        <v>52</v>
      </c>
      <c r="M574">
        <v>74</v>
      </c>
      <c r="N574">
        <v>205</v>
      </c>
      <c r="O574" t="s">
        <v>47</v>
      </c>
      <c r="P574">
        <v>130</v>
      </c>
      <c r="Q574">
        <v>160</v>
      </c>
      <c r="R574">
        <v>140</v>
      </c>
      <c r="S574">
        <v>290</v>
      </c>
      <c r="T574">
        <v>41</v>
      </c>
      <c r="U574" t="s">
        <v>35</v>
      </c>
      <c r="V574">
        <f t="shared" si="48"/>
        <v>0.36097560975609755</v>
      </c>
      <c r="W574">
        <f t="shared" si="49"/>
        <v>-66</v>
      </c>
      <c r="X574">
        <f t="shared" si="50"/>
        <v>-85</v>
      </c>
      <c r="Y574">
        <f t="shared" si="51"/>
        <v>0.43902439024390244</v>
      </c>
      <c r="Z574" s="7" t="str">
        <f t="shared" si="52"/>
        <v>Low Sales</v>
      </c>
      <c r="AA574" s="7" t="str">
        <f t="shared" si="53"/>
        <v>High Margin</v>
      </c>
    </row>
    <row r="575" spans="1:27" x14ac:dyDescent="0.25">
      <c r="A575" t="s">
        <v>107</v>
      </c>
      <c r="B575">
        <v>25</v>
      </c>
      <c r="C575">
        <v>-22</v>
      </c>
      <c r="D575" s="1">
        <v>41755</v>
      </c>
      <c r="E575">
        <v>-466</v>
      </c>
      <c r="F575">
        <v>31</v>
      </c>
      <c r="G575" t="s">
        <v>39</v>
      </c>
      <c r="H575" t="s">
        <v>29</v>
      </c>
      <c r="I575">
        <v>9</v>
      </c>
      <c r="J575" t="s">
        <v>40</v>
      </c>
      <c r="K575" t="s">
        <v>41</v>
      </c>
      <c r="L575" t="s">
        <v>54</v>
      </c>
      <c r="M575">
        <v>-12</v>
      </c>
      <c r="N575">
        <v>56</v>
      </c>
      <c r="O575" t="s">
        <v>64</v>
      </c>
      <c r="P575">
        <v>10</v>
      </c>
      <c r="Q575">
        <v>20</v>
      </c>
      <c r="R575">
        <v>10</v>
      </c>
      <c r="S575">
        <v>30</v>
      </c>
      <c r="T575">
        <v>43</v>
      </c>
      <c r="U575" t="s">
        <v>35</v>
      </c>
      <c r="V575">
        <f t="shared" si="48"/>
        <v>-0.21428571428571427</v>
      </c>
      <c r="W575">
        <f t="shared" si="49"/>
        <v>-22</v>
      </c>
      <c r="X575">
        <f t="shared" si="50"/>
        <v>26</v>
      </c>
      <c r="Y575">
        <f t="shared" si="51"/>
        <v>0.44642857142857145</v>
      </c>
      <c r="Z575" s="7" t="str">
        <f t="shared" si="52"/>
        <v>Low Sales</v>
      </c>
      <c r="AA575" s="7" t="str">
        <f t="shared" si="53"/>
        <v>Low Margin</v>
      </c>
    </row>
    <row r="576" spans="1:27" x14ac:dyDescent="0.25">
      <c r="A576" t="s">
        <v>97</v>
      </c>
      <c r="B576">
        <v>103</v>
      </c>
      <c r="C576">
        <v>-23</v>
      </c>
      <c r="D576" s="1">
        <v>41756</v>
      </c>
      <c r="E576">
        <v>564</v>
      </c>
      <c r="F576">
        <v>133</v>
      </c>
      <c r="G576" t="s">
        <v>39</v>
      </c>
      <c r="H576" t="s">
        <v>29</v>
      </c>
      <c r="I576">
        <v>33</v>
      </c>
      <c r="J576" t="s">
        <v>23</v>
      </c>
      <c r="K576" t="s">
        <v>24</v>
      </c>
      <c r="L576" t="s">
        <v>57</v>
      </c>
      <c r="M576">
        <v>87</v>
      </c>
      <c r="N576">
        <v>236</v>
      </c>
      <c r="O576" t="s">
        <v>55</v>
      </c>
      <c r="P576">
        <v>80</v>
      </c>
      <c r="Q576">
        <v>130</v>
      </c>
      <c r="R576">
        <v>110</v>
      </c>
      <c r="S576">
        <v>210</v>
      </c>
      <c r="T576">
        <v>46</v>
      </c>
      <c r="U576" t="s">
        <v>27</v>
      </c>
      <c r="V576">
        <f t="shared" si="48"/>
        <v>0.36864406779661019</v>
      </c>
      <c r="W576">
        <f t="shared" si="49"/>
        <v>-23</v>
      </c>
      <c r="X576">
        <f t="shared" si="50"/>
        <v>26</v>
      </c>
      <c r="Y576">
        <f t="shared" si="51"/>
        <v>0.4364406779661017</v>
      </c>
      <c r="Z576" s="7" t="str">
        <f t="shared" si="52"/>
        <v>Low Sales</v>
      </c>
      <c r="AA576" s="7" t="str">
        <f t="shared" si="53"/>
        <v>High Margin</v>
      </c>
    </row>
    <row r="577" spans="1:27" x14ac:dyDescent="0.25">
      <c r="A577" t="s">
        <v>95</v>
      </c>
      <c r="B577">
        <v>79</v>
      </c>
      <c r="C577">
        <v>-26</v>
      </c>
      <c r="D577" s="1">
        <v>41757</v>
      </c>
      <c r="E577">
        <v>593</v>
      </c>
      <c r="F577">
        <v>98</v>
      </c>
      <c r="G577" t="s">
        <v>39</v>
      </c>
      <c r="H577" t="s">
        <v>29</v>
      </c>
      <c r="I577">
        <v>30</v>
      </c>
      <c r="J577" t="s">
        <v>23</v>
      </c>
      <c r="K577" t="s">
        <v>24</v>
      </c>
      <c r="L577" t="s">
        <v>25</v>
      </c>
      <c r="M577">
        <v>34</v>
      </c>
      <c r="N577">
        <v>177</v>
      </c>
      <c r="O577" t="s">
        <v>55</v>
      </c>
      <c r="P577">
        <v>60</v>
      </c>
      <c r="Q577">
        <v>90</v>
      </c>
      <c r="R577">
        <v>60</v>
      </c>
      <c r="S577">
        <v>150</v>
      </c>
      <c r="T577">
        <v>64</v>
      </c>
      <c r="U577" t="s">
        <v>27</v>
      </c>
      <c r="V577">
        <f t="shared" si="48"/>
        <v>0.19209039548022599</v>
      </c>
      <c r="W577">
        <f t="shared" si="49"/>
        <v>-26</v>
      </c>
      <c r="X577">
        <f t="shared" si="50"/>
        <v>27</v>
      </c>
      <c r="Y577">
        <f t="shared" si="51"/>
        <v>0.4463276836158192</v>
      </c>
      <c r="Z577" s="7" t="str">
        <f t="shared" si="52"/>
        <v>Low Sales</v>
      </c>
      <c r="AA577" s="7" t="str">
        <f t="shared" si="53"/>
        <v>High Margin</v>
      </c>
    </row>
    <row r="578" spans="1:27" x14ac:dyDescent="0.25">
      <c r="A578" t="s">
        <v>115</v>
      </c>
      <c r="B578">
        <v>96</v>
      </c>
      <c r="C578">
        <v>-23</v>
      </c>
      <c r="D578" s="1">
        <v>41758</v>
      </c>
      <c r="E578">
        <v>683</v>
      </c>
      <c r="F578">
        <v>134</v>
      </c>
      <c r="G578" t="s">
        <v>39</v>
      </c>
      <c r="H578" t="s">
        <v>29</v>
      </c>
      <c r="I578">
        <v>87</v>
      </c>
      <c r="J578" t="s">
        <v>23</v>
      </c>
      <c r="K578" t="s">
        <v>24</v>
      </c>
      <c r="L578" t="s">
        <v>25</v>
      </c>
      <c r="M578">
        <v>17</v>
      </c>
      <c r="N578">
        <v>230</v>
      </c>
      <c r="O578" t="s">
        <v>47</v>
      </c>
      <c r="P578">
        <v>80</v>
      </c>
      <c r="Q578">
        <v>120</v>
      </c>
      <c r="R578">
        <v>40</v>
      </c>
      <c r="S578">
        <v>200</v>
      </c>
      <c r="T578">
        <v>117</v>
      </c>
      <c r="U578" t="s">
        <v>27</v>
      </c>
      <c r="V578">
        <f t="shared" ref="V578:V641" si="54">M578/N578</f>
        <v>7.3913043478260873E-2</v>
      </c>
      <c r="W578">
        <f t="shared" ref="W578:W641" si="55">M578-R578</f>
        <v>-23</v>
      </c>
      <c r="X578">
        <f t="shared" ref="X578:X641" si="56">N578-S578</f>
        <v>30</v>
      </c>
      <c r="Y578">
        <f t="shared" ref="Y578:Y641" si="57">B578/N578</f>
        <v>0.41739130434782606</v>
      </c>
      <c r="Z578" s="7" t="str">
        <f t="shared" ref="Z578:Z641" si="58">IF(N578&gt;=AVERAGE(N578:N1639),"High Sales","Low Sales")</f>
        <v>Low Sales</v>
      </c>
      <c r="AA578" s="7" t="str">
        <f t="shared" ref="AA578:AA641" si="59">IF(V578&gt;=AVERAGE(V578:V1639), "High Margin", "Low Margin")</f>
        <v>High Margin</v>
      </c>
    </row>
    <row r="579" spans="1:27" x14ac:dyDescent="0.25">
      <c r="A579" t="s">
        <v>125</v>
      </c>
      <c r="B579">
        <v>225</v>
      </c>
      <c r="C579">
        <v>-56</v>
      </c>
      <c r="D579" s="1">
        <v>41759</v>
      </c>
      <c r="E579">
        <v>1272</v>
      </c>
      <c r="F579">
        <v>265</v>
      </c>
      <c r="G579" t="s">
        <v>21</v>
      </c>
      <c r="H579" t="s">
        <v>29</v>
      </c>
      <c r="I579">
        <v>69</v>
      </c>
      <c r="J579" t="s">
        <v>40</v>
      </c>
      <c r="K579" t="s">
        <v>45</v>
      </c>
      <c r="L579" t="s">
        <v>52</v>
      </c>
      <c r="M579">
        <v>174</v>
      </c>
      <c r="N579">
        <v>490</v>
      </c>
      <c r="O579" t="s">
        <v>30</v>
      </c>
      <c r="P579">
        <v>260</v>
      </c>
      <c r="Q579">
        <v>320</v>
      </c>
      <c r="R579">
        <v>230</v>
      </c>
      <c r="S579">
        <v>580</v>
      </c>
      <c r="T579">
        <v>91</v>
      </c>
      <c r="U579" t="s">
        <v>35</v>
      </c>
      <c r="V579">
        <f t="shared" si="54"/>
        <v>0.35510204081632651</v>
      </c>
      <c r="W579">
        <f t="shared" si="55"/>
        <v>-56</v>
      </c>
      <c r="X579">
        <f t="shared" si="56"/>
        <v>-90</v>
      </c>
      <c r="Y579">
        <f t="shared" si="57"/>
        <v>0.45918367346938777</v>
      </c>
      <c r="Z579" s="7" t="str">
        <f t="shared" si="58"/>
        <v>High Sales</v>
      </c>
      <c r="AA579" s="7" t="str">
        <f t="shared" si="59"/>
        <v>High Margin</v>
      </c>
    </row>
    <row r="580" spans="1:27" x14ac:dyDescent="0.25">
      <c r="A580" t="s">
        <v>187</v>
      </c>
      <c r="B580">
        <v>75</v>
      </c>
      <c r="C580">
        <v>19</v>
      </c>
      <c r="D580" s="1">
        <v>41760</v>
      </c>
      <c r="E580">
        <v>-1050</v>
      </c>
      <c r="F580">
        <v>114</v>
      </c>
      <c r="G580" t="s">
        <v>21</v>
      </c>
      <c r="H580" t="s">
        <v>29</v>
      </c>
      <c r="I580">
        <v>24</v>
      </c>
      <c r="J580" t="s">
        <v>40</v>
      </c>
      <c r="K580" t="s">
        <v>41</v>
      </c>
      <c r="L580" t="s">
        <v>54</v>
      </c>
      <c r="M580">
        <v>59</v>
      </c>
      <c r="N580">
        <v>189</v>
      </c>
      <c r="O580" t="s">
        <v>30</v>
      </c>
      <c r="P580">
        <v>50</v>
      </c>
      <c r="Q580">
        <v>90</v>
      </c>
      <c r="R580">
        <v>40</v>
      </c>
      <c r="S580">
        <v>140</v>
      </c>
      <c r="T580">
        <v>55</v>
      </c>
      <c r="U580" t="s">
        <v>35</v>
      </c>
      <c r="V580">
        <f t="shared" si="54"/>
        <v>0.31216931216931215</v>
      </c>
      <c r="W580">
        <f t="shared" si="55"/>
        <v>19</v>
      </c>
      <c r="X580">
        <f t="shared" si="56"/>
        <v>49</v>
      </c>
      <c r="Y580">
        <f t="shared" si="57"/>
        <v>0.3968253968253968</v>
      </c>
      <c r="Z580" s="7" t="str">
        <f t="shared" si="58"/>
        <v>Low Sales</v>
      </c>
      <c r="AA580" s="7" t="str">
        <f t="shared" si="59"/>
        <v>High Margin</v>
      </c>
    </row>
    <row r="581" spans="1:27" x14ac:dyDescent="0.25">
      <c r="A581" t="s">
        <v>70</v>
      </c>
      <c r="B581">
        <v>118</v>
      </c>
      <c r="C581">
        <v>27</v>
      </c>
      <c r="D581" s="1">
        <v>41761</v>
      </c>
      <c r="E581">
        <v>930</v>
      </c>
      <c r="F581">
        <v>172</v>
      </c>
      <c r="G581" t="s">
        <v>21</v>
      </c>
      <c r="H581" t="s">
        <v>29</v>
      </c>
      <c r="I581">
        <v>33</v>
      </c>
      <c r="J581" t="s">
        <v>40</v>
      </c>
      <c r="K581" t="s">
        <v>41</v>
      </c>
      <c r="L581" t="s">
        <v>53</v>
      </c>
      <c r="M581">
        <v>127</v>
      </c>
      <c r="N581">
        <v>290</v>
      </c>
      <c r="O581" t="s">
        <v>30</v>
      </c>
      <c r="P581">
        <v>90</v>
      </c>
      <c r="Q581">
        <v>130</v>
      </c>
      <c r="R581">
        <v>100</v>
      </c>
      <c r="S581">
        <v>220</v>
      </c>
      <c r="T581">
        <v>45</v>
      </c>
      <c r="U581" t="s">
        <v>35</v>
      </c>
      <c r="V581">
        <f t="shared" si="54"/>
        <v>0.43793103448275861</v>
      </c>
      <c r="W581">
        <f t="shared" si="55"/>
        <v>27</v>
      </c>
      <c r="X581">
        <f t="shared" si="56"/>
        <v>70</v>
      </c>
      <c r="Y581">
        <f t="shared" si="57"/>
        <v>0.40689655172413791</v>
      </c>
      <c r="Z581" s="7" t="str">
        <f t="shared" si="58"/>
        <v>High Sales</v>
      </c>
      <c r="AA581" s="7" t="str">
        <f t="shared" si="59"/>
        <v>High Margin</v>
      </c>
    </row>
    <row r="582" spans="1:27" x14ac:dyDescent="0.25">
      <c r="A582" t="s">
        <v>75</v>
      </c>
      <c r="B582">
        <v>78</v>
      </c>
      <c r="C582">
        <v>22</v>
      </c>
      <c r="D582" s="1">
        <v>41762</v>
      </c>
      <c r="E582">
        <v>798</v>
      </c>
      <c r="F582">
        <v>119</v>
      </c>
      <c r="G582" t="s">
        <v>39</v>
      </c>
      <c r="H582" t="s">
        <v>29</v>
      </c>
      <c r="I582">
        <v>25</v>
      </c>
      <c r="J582" t="s">
        <v>40</v>
      </c>
      <c r="K582" t="s">
        <v>41</v>
      </c>
      <c r="L582" t="s">
        <v>42</v>
      </c>
      <c r="M582">
        <v>62</v>
      </c>
      <c r="N582">
        <v>197</v>
      </c>
      <c r="O582" t="s">
        <v>47</v>
      </c>
      <c r="P582">
        <v>60</v>
      </c>
      <c r="Q582">
        <v>90</v>
      </c>
      <c r="R582">
        <v>40</v>
      </c>
      <c r="S582">
        <v>150</v>
      </c>
      <c r="T582">
        <v>57</v>
      </c>
      <c r="U582" t="s">
        <v>27</v>
      </c>
      <c r="V582">
        <f t="shared" si="54"/>
        <v>0.31472081218274112</v>
      </c>
      <c r="W582">
        <f t="shared" si="55"/>
        <v>22</v>
      </c>
      <c r="X582">
        <f t="shared" si="56"/>
        <v>47</v>
      </c>
      <c r="Y582">
        <f t="shared" si="57"/>
        <v>0.39593908629441626</v>
      </c>
      <c r="Z582" s="7" t="str">
        <f t="shared" si="58"/>
        <v>Low Sales</v>
      </c>
      <c r="AA582" s="7" t="str">
        <f t="shared" si="59"/>
        <v>High Margin</v>
      </c>
    </row>
    <row r="583" spans="1:27" x14ac:dyDescent="0.25">
      <c r="A583" t="s">
        <v>75</v>
      </c>
      <c r="B583">
        <v>88</v>
      </c>
      <c r="C583">
        <v>-19</v>
      </c>
      <c r="D583" s="1">
        <v>41763</v>
      </c>
      <c r="E583">
        <v>561</v>
      </c>
      <c r="F583">
        <v>112</v>
      </c>
      <c r="G583" t="s">
        <v>39</v>
      </c>
      <c r="H583" t="s">
        <v>29</v>
      </c>
      <c r="I583">
        <v>29</v>
      </c>
      <c r="J583" t="s">
        <v>40</v>
      </c>
      <c r="K583" t="s">
        <v>45</v>
      </c>
      <c r="L583" t="s">
        <v>52</v>
      </c>
      <c r="M583">
        <v>71</v>
      </c>
      <c r="N583">
        <v>200</v>
      </c>
      <c r="O583" t="s">
        <v>47</v>
      </c>
      <c r="P583">
        <v>100</v>
      </c>
      <c r="Q583">
        <v>130</v>
      </c>
      <c r="R583">
        <v>90</v>
      </c>
      <c r="S583">
        <v>230</v>
      </c>
      <c r="T583">
        <v>41</v>
      </c>
      <c r="U583" t="s">
        <v>35</v>
      </c>
      <c r="V583">
        <f t="shared" si="54"/>
        <v>0.35499999999999998</v>
      </c>
      <c r="W583">
        <f t="shared" si="55"/>
        <v>-19</v>
      </c>
      <c r="X583">
        <f t="shared" si="56"/>
        <v>-30</v>
      </c>
      <c r="Y583">
        <f t="shared" si="57"/>
        <v>0.44</v>
      </c>
      <c r="Z583" s="7" t="str">
        <f t="shared" si="58"/>
        <v>Low Sales</v>
      </c>
      <c r="AA583" s="7" t="str">
        <f t="shared" si="59"/>
        <v>High Margin</v>
      </c>
    </row>
    <row r="584" spans="1:27" x14ac:dyDescent="0.25">
      <c r="A584" t="s">
        <v>75</v>
      </c>
      <c r="B584">
        <v>102</v>
      </c>
      <c r="C584">
        <v>29</v>
      </c>
      <c r="D584" s="1">
        <v>41764</v>
      </c>
      <c r="E584">
        <v>-2003</v>
      </c>
      <c r="F584">
        <v>143</v>
      </c>
      <c r="G584" t="s">
        <v>39</v>
      </c>
      <c r="H584" t="s">
        <v>29</v>
      </c>
      <c r="I584">
        <v>31</v>
      </c>
      <c r="J584" t="s">
        <v>40</v>
      </c>
      <c r="K584" t="s">
        <v>41</v>
      </c>
      <c r="L584" t="s">
        <v>54</v>
      </c>
      <c r="M584">
        <v>89</v>
      </c>
      <c r="N584">
        <v>245</v>
      </c>
      <c r="O584" t="s">
        <v>47</v>
      </c>
      <c r="P584">
        <v>80</v>
      </c>
      <c r="Q584">
        <v>100</v>
      </c>
      <c r="R584">
        <v>60</v>
      </c>
      <c r="S584">
        <v>180</v>
      </c>
      <c r="T584">
        <v>54</v>
      </c>
      <c r="U584" t="s">
        <v>35</v>
      </c>
      <c r="V584">
        <f t="shared" si="54"/>
        <v>0.36326530612244901</v>
      </c>
      <c r="W584">
        <f t="shared" si="55"/>
        <v>29</v>
      </c>
      <c r="X584">
        <f t="shared" si="56"/>
        <v>65</v>
      </c>
      <c r="Y584">
        <f t="shared" si="57"/>
        <v>0.41632653061224489</v>
      </c>
      <c r="Z584" s="7" t="str">
        <f t="shared" si="58"/>
        <v>Low Sales</v>
      </c>
      <c r="AA584" s="7" t="str">
        <f t="shared" si="59"/>
        <v>High Margin</v>
      </c>
    </row>
    <row r="585" spans="1:27" x14ac:dyDescent="0.25">
      <c r="A585" t="s">
        <v>123</v>
      </c>
      <c r="B585">
        <v>101</v>
      </c>
      <c r="C585">
        <v>5</v>
      </c>
      <c r="D585" s="1">
        <v>41765</v>
      </c>
      <c r="E585">
        <v>552</v>
      </c>
      <c r="F585">
        <v>130</v>
      </c>
      <c r="G585" t="s">
        <v>39</v>
      </c>
      <c r="H585" t="s">
        <v>29</v>
      </c>
      <c r="I585">
        <v>33</v>
      </c>
      <c r="J585" t="s">
        <v>23</v>
      </c>
      <c r="K585" t="s">
        <v>24</v>
      </c>
      <c r="L585" t="s">
        <v>57</v>
      </c>
      <c r="M585">
        <v>85</v>
      </c>
      <c r="N585">
        <v>231</v>
      </c>
      <c r="O585" t="s">
        <v>55</v>
      </c>
      <c r="P585">
        <v>90</v>
      </c>
      <c r="Q585">
        <v>120</v>
      </c>
      <c r="R585">
        <v>80</v>
      </c>
      <c r="S585">
        <v>210</v>
      </c>
      <c r="T585">
        <v>45</v>
      </c>
      <c r="U585" t="s">
        <v>27</v>
      </c>
      <c r="V585">
        <f t="shared" si="54"/>
        <v>0.36796536796536794</v>
      </c>
      <c r="W585">
        <f t="shared" si="55"/>
        <v>5</v>
      </c>
      <c r="X585">
        <f t="shared" si="56"/>
        <v>21</v>
      </c>
      <c r="Y585">
        <f t="shared" si="57"/>
        <v>0.43722943722943725</v>
      </c>
      <c r="Z585" s="7" t="str">
        <f t="shared" si="58"/>
        <v>Low Sales</v>
      </c>
      <c r="AA585" s="7" t="str">
        <f t="shared" si="59"/>
        <v>High Margin</v>
      </c>
    </row>
    <row r="586" spans="1:27" x14ac:dyDescent="0.25">
      <c r="A586" t="s">
        <v>107</v>
      </c>
      <c r="B586">
        <v>15</v>
      </c>
      <c r="C586">
        <v>-1</v>
      </c>
      <c r="D586" s="1">
        <v>41766</v>
      </c>
      <c r="E586">
        <v>848</v>
      </c>
      <c r="F586">
        <v>24</v>
      </c>
      <c r="G586" t="s">
        <v>39</v>
      </c>
      <c r="H586" t="s">
        <v>29</v>
      </c>
      <c r="I586">
        <v>4</v>
      </c>
      <c r="J586" t="s">
        <v>23</v>
      </c>
      <c r="K586" t="s">
        <v>24</v>
      </c>
      <c r="L586" t="s">
        <v>57</v>
      </c>
      <c r="M586">
        <v>9</v>
      </c>
      <c r="N586">
        <v>39</v>
      </c>
      <c r="O586" t="s">
        <v>64</v>
      </c>
      <c r="P586">
        <v>10</v>
      </c>
      <c r="Q586">
        <v>20</v>
      </c>
      <c r="R586">
        <v>10</v>
      </c>
      <c r="S586">
        <v>30</v>
      </c>
      <c r="T586">
        <v>15</v>
      </c>
      <c r="U586" t="s">
        <v>27</v>
      </c>
      <c r="V586">
        <f t="shared" si="54"/>
        <v>0.23076923076923078</v>
      </c>
      <c r="W586">
        <f t="shared" si="55"/>
        <v>-1</v>
      </c>
      <c r="X586">
        <f t="shared" si="56"/>
        <v>9</v>
      </c>
      <c r="Y586">
        <f t="shared" si="57"/>
        <v>0.38461538461538464</v>
      </c>
      <c r="Z586" s="7" t="str">
        <f t="shared" si="58"/>
        <v>Low Sales</v>
      </c>
      <c r="AA586" s="7" t="str">
        <f t="shared" si="59"/>
        <v>High Margin</v>
      </c>
    </row>
    <row r="587" spans="1:27" x14ac:dyDescent="0.25">
      <c r="A587" t="s">
        <v>123</v>
      </c>
      <c r="B587">
        <v>82</v>
      </c>
      <c r="C587">
        <v>-2</v>
      </c>
      <c r="D587" s="1">
        <v>41767</v>
      </c>
      <c r="E587">
        <v>601</v>
      </c>
      <c r="F587">
        <v>102</v>
      </c>
      <c r="G587" t="s">
        <v>39</v>
      </c>
      <c r="H587" t="s">
        <v>29</v>
      </c>
      <c r="I587">
        <v>31</v>
      </c>
      <c r="J587" t="s">
        <v>23</v>
      </c>
      <c r="K587" t="s">
        <v>24</v>
      </c>
      <c r="L587" t="s">
        <v>25</v>
      </c>
      <c r="M587">
        <v>38</v>
      </c>
      <c r="N587">
        <v>184</v>
      </c>
      <c r="O587" t="s">
        <v>55</v>
      </c>
      <c r="P587">
        <v>70</v>
      </c>
      <c r="Q587">
        <v>100</v>
      </c>
      <c r="R587">
        <v>40</v>
      </c>
      <c r="S587">
        <v>170</v>
      </c>
      <c r="T587">
        <v>64</v>
      </c>
      <c r="U587" t="s">
        <v>27</v>
      </c>
      <c r="V587">
        <f t="shared" si="54"/>
        <v>0.20652173913043478</v>
      </c>
      <c r="W587">
        <f t="shared" si="55"/>
        <v>-2</v>
      </c>
      <c r="X587">
        <f t="shared" si="56"/>
        <v>14</v>
      </c>
      <c r="Y587">
        <f t="shared" si="57"/>
        <v>0.44565217391304346</v>
      </c>
      <c r="Z587" s="7" t="str">
        <f t="shared" si="58"/>
        <v>Low Sales</v>
      </c>
      <c r="AA587" s="7" t="str">
        <f t="shared" si="59"/>
        <v>High Margin</v>
      </c>
    </row>
    <row r="588" spans="1:27" x14ac:dyDescent="0.25">
      <c r="A588" t="s">
        <v>96</v>
      </c>
      <c r="B588">
        <v>94</v>
      </c>
      <c r="C588">
        <v>-5</v>
      </c>
      <c r="D588" s="1">
        <v>41768</v>
      </c>
      <c r="E588">
        <v>694</v>
      </c>
      <c r="F588">
        <v>130</v>
      </c>
      <c r="G588" t="s">
        <v>39</v>
      </c>
      <c r="H588" t="s">
        <v>29</v>
      </c>
      <c r="I588">
        <v>85</v>
      </c>
      <c r="J588" t="s">
        <v>23</v>
      </c>
      <c r="K588" t="s">
        <v>24</v>
      </c>
      <c r="L588" t="s">
        <v>25</v>
      </c>
      <c r="M588">
        <v>15</v>
      </c>
      <c r="N588">
        <v>224</v>
      </c>
      <c r="O588" t="s">
        <v>47</v>
      </c>
      <c r="P588">
        <v>80</v>
      </c>
      <c r="Q588">
        <v>120</v>
      </c>
      <c r="R588">
        <v>20</v>
      </c>
      <c r="S588">
        <v>200</v>
      </c>
      <c r="T588">
        <v>115</v>
      </c>
      <c r="U588" t="s">
        <v>27</v>
      </c>
      <c r="V588">
        <f t="shared" si="54"/>
        <v>6.6964285714285712E-2</v>
      </c>
      <c r="W588">
        <f t="shared" si="55"/>
        <v>-5</v>
      </c>
      <c r="X588">
        <f t="shared" si="56"/>
        <v>24</v>
      </c>
      <c r="Y588">
        <f t="shared" si="57"/>
        <v>0.41964285714285715</v>
      </c>
      <c r="Z588" s="7" t="str">
        <f t="shared" si="58"/>
        <v>Low Sales</v>
      </c>
      <c r="AA588" s="7" t="str">
        <f t="shared" si="59"/>
        <v>High Margin</v>
      </c>
    </row>
    <row r="589" spans="1:27" x14ac:dyDescent="0.25">
      <c r="A589" t="s">
        <v>188</v>
      </c>
      <c r="B589">
        <v>241</v>
      </c>
      <c r="C589">
        <v>-52</v>
      </c>
      <c r="D589" s="1">
        <v>41769</v>
      </c>
      <c r="E589">
        <v>1321</v>
      </c>
      <c r="F589">
        <v>284</v>
      </c>
      <c r="G589" t="s">
        <v>21</v>
      </c>
      <c r="H589" t="s">
        <v>29</v>
      </c>
      <c r="I589">
        <v>74</v>
      </c>
      <c r="J589" t="s">
        <v>40</v>
      </c>
      <c r="K589" t="s">
        <v>45</v>
      </c>
      <c r="L589" t="s">
        <v>52</v>
      </c>
      <c r="M589">
        <v>188</v>
      </c>
      <c r="N589">
        <v>525</v>
      </c>
      <c r="O589" t="s">
        <v>30</v>
      </c>
      <c r="P589">
        <v>280</v>
      </c>
      <c r="Q589">
        <v>340</v>
      </c>
      <c r="R589">
        <v>240</v>
      </c>
      <c r="S589">
        <v>620</v>
      </c>
      <c r="T589">
        <v>96</v>
      </c>
      <c r="U589" t="s">
        <v>35</v>
      </c>
      <c r="V589">
        <f t="shared" si="54"/>
        <v>0.35809523809523808</v>
      </c>
      <c r="W589">
        <f t="shared" si="55"/>
        <v>-52</v>
      </c>
      <c r="X589">
        <f t="shared" si="56"/>
        <v>-95</v>
      </c>
      <c r="Y589">
        <f t="shared" si="57"/>
        <v>0.45904761904761904</v>
      </c>
      <c r="Z589" s="7" t="str">
        <f t="shared" si="58"/>
        <v>High Sales</v>
      </c>
      <c r="AA589" s="7" t="str">
        <f t="shared" si="59"/>
        <v>High Margin</v>
      </c>
    </row>
    <row r="590" spans="1:27" x14ac:dyDescent="0.25">
      <c r="A590" t="s">
        <v>188</v>
      </c>
      <c r="B590">
        <v>123</v>
      </c>
      <c r="C590">
        <v>23</v>
      </c>
      <c r="D590" s="1">
        <v>41770</v>
      </c>
      <c r="E590">
        <v>959</v>
      </c>
      <c r="F590">
        <v>179</v>
      </c>
      <c r="G590" t="s">
        <v>21</v>
      </c>
      <c r="H590" t="s">
        <v>29</v>
      </c>
      <c r="I590">
        <v>34</v>
      </c>
      <c r="J590" t="s">
        <v>40</v>
      </c>
      <c r="K590" t="s">
        <v>41</v>
      </c>
      <c r="L590" t="s">
        <v>53</v>
      </c>
      <c r="M590">
        <v>133</v>
      </c>
      <c r="N590">
        <v>302</v>
      </c>
      <c r="O590" t="s">
        <v>30</v>
      </c>
      <c r="P590">
        <v>90</v>
      </c>
      <c r="Q590">
        <v>140</v>
      </c>
      <c r="R590">
        <v>110</v>
      </c>
      <c r="S590">
        <v>230</v>
      </c>
      <c r="T590">
        <v>46</v>
      </c>
      <c r="U590" t="s">
        <v>35</v>
      </c>
      <c r="V590">
        <f t="shared" si="54"/>
        <v>0.44039735099337746</v>
      </c>
      <c r="W590">
        <f t="shared" si="55"/>
        <v>23</v>
      </c>
      <c r="X590">
        <f t="shared" si="56"/>
        <v>72</v>
      </c>
      <c r="Y590">
        <f t="shared" si="57"/>
        <v>0.40728476821192056</v>
      </c>
      <c r="Z590" s="7" t="str">
        <f t="shared" si="58"/>
        <v>High Sales</v>
      </c>
      <c r="AA590" s="7" t="str">
        <f t="shared" si="59"/>
        <v>High Margin</v>
      </c>
    </row>
    <row r="591" spans="1:27" x14ac:dyDescent="0.25">
      <c r="A591" t="s">
        <v>107</v>
      </c>
      <c r="B591">
        <v>92</v>
      </c>
      <c r="C591">
        <v>-24</v>
      </c>
      <c r="D591" s="1">
        <v>41771</v>
      </c>
      <c r="E591">
        <v>1898</v>
      </c>
      <c r="F591">
        <v>68</v>
      </c>
      <c r="G591" t="s">
        <v>39</v>
      </c>
      <c r="H591" t="s">
        <v>29</v>
      </c>
      <c r="I591">
        <v>28</v>
      </c>
      <c r="J591" t="s">
        <v>40</v>
      </c>
      <c r="K591" t="s">
        <v>45</v>
      </c>
      <c r="L591" t="s">
        <v>46</v>
      </c>
      <c r="M591">
        <v>16</v>
      </c>
      <c r="N591">
        <v>160</v>
      </c>
      <c r="O591" t="s">
        <v>64</v>
      </c>
      <c r="P591">
        <v>100</v>
      </c>
      <c r="Q591">
        <v>90</v>
      </c>
      <c r="R591">
        <v>40</v>
      </c>
      <c r="S591">
        <v>190</v>
      </c>
      <c r="T591">
        <v>52</v>
      </c>
      <c r="U591" t="s">
        <v>27</v>
      </c>
      <c r="V591">
        <f t="shared" si="54"/>
        <v>0.1</v>
      </c>
      <c r="W591">
        <f t="shared" si="55"/>
        <v>-24</v>
      </c>
      <c r="X591">
        <f t="shared" si="56"/>
        <v>-30</v>
      </c>
      <c r="Y591">
        <f t="shared" si="57"/>
        <v>0.57499999999999996</v>
      </c>
      <c r="Z591" s="7" t="str">
        <f t="shared" si="58"/>
        <v>Low Sales</v>
      </c>
      <c r="AA591" s="7" t="str">
        <f t="shared" si="59"/>
        <v>High Margin</v>
      </c>
    </row>
    <row r="592" spans="1:27" x14ac:dyDescent="0.25">
      <c r="A592" t="s">
        <v>115</v>
      </c>
      <c r="B592">
        <v>88</v>
      </c>
      <c r="C592">
        <v>12</v>
      </c>
      <c r="D592" s="1">
        <v>41772</v>
      </c>
      <c r="E592">
        <v>817</v>
      </c>
      <c r="F592">
        <v>133</v>
      </c>
      <c r="G592" t="s">
        <v>39</v>
      </c>
      <c r="H592" t="s">
        <v>29</v>
      </c>
      <c r="I592">
        <v>29</v>
      </c>
      <c r="J592" t="s">
        <v>40</v>
      </c>
      <c r="K592" t="s">
        <v>41</v>
      </c>
      <c r="L592" t="s">
        <v>42</v>
      </c>
      <c r="M592">
        <v>72</v>
      </c>
      <c r="N592">
        <v>221</v>
      </c>
      <c r="O592" t="s">
        <v>47</v>
      </c>
      <c r="P592">
        <v>60</v>
      </c>
      <c r="Q592">
        <v>110</v>
      </c>
      <c r="R592">
        <v>60</v>
      </c>
      <c r="S592">
        <v>170</v>
      </c>
      <c r="T592">
        <v>61</v>
      </c>
      <c r="U592" t="s">
        <v>27</v>
      </c>
      <c r="V592">
        <f t="shared" si="54"/>
        <v>0.32579185520361992</v>
      </c>
      <c r="W592">
        <f t="shared" si="55"/>
        <v>12</v>
      </c>
      <c r="X592">
        <f t="shared" si="56"/>
        <v>51</v>
      </c>
      <c r="Y592">
        <f t="shared" si="57"/>
        <v>0.39819004524886875</v>
      </c>
      <c r="Z592" s="7" t="str">
        <f t="shared" si="58"/>
        <v>Low Sales</v>
      </c>
      <c r="AA592" s="7" t="str">
        <f t="shared" si="59"/>
        <v>High Margin</v>
      </c>
    </row>
    <row r="593" spans="1:27" x14ac:dyDescent="0.25">
      <c r="A593" t="s">
        <v>79</v>
      </c>
      <c r="B593">
        <v>49</v>
      </c>
      <c r="C593">
        <v>-24</v>
      </c>
      <c r="D593" s="1">
        <v>41773</v>
      </c>
      <c r="E593">
        <v>845</v>
      </c>
      <c r="F593">
        <v>71</v>
      </c>
      <c r="G593" t="s">
        <v>39</v>
      </c>
      <c r="H593" t="s">
        <v>29</v>
      </c>
      <c r="I593">
        <v>13</v>
      </c>
      <c r="J593" t="s">
        <v>40</v>
      </c>
      <c r="K593" t="s">
        <v>45</v>
      </c>
      <c r="L593" t="s">
        <v>52</v>
      </c>
      <c r="M593">
        <v>46</v>
      </c>
      <c r="N593">
        <v>120</v>
      </c>
      <c r="O593" t="s">
        <v>55</v>
      </c>
      <c r="P593">
        <v>50</v>
      </c>
      <c r="Q593">
        <v>90</v>
      </c>
      <c r="R593">
        <v>70</v>
      </c>
      <c r="S593">
        <v>140</v>
      </c>
      <c r="T593">
        <v>25</v>
      </c>
      <c r="U593" t="s">
        <v>35</v>
      </c>
      <c r="V593">
        <f t="shared" si="54"/>
        <v>0.38333333333333336</v>
      </c>
      <c r="W593">
        <f t="shared" si="55"/>
        <v>-24</v>
      </c>
      <c r="X593">
        <f t="shared" si="56"/>
        <v>-20</v>
      </c>
      <c r="Y593">
        <f t="shared" si="57"/>
        <v>0.40833333333333333</v>
      </c>
      <c r="Z593" s="7" t="str">
        <f t="shared" si="58"/>
        <v>Low Sales</v>
      </c>
      <c r="AA593" s="7" t="str">
        <f t="shared" si="59"/>
        <v>High Margin</v>
      </c>
    </row>
    <row r="594" spans="1:27" x14ac:dyDescent="0.25">
      <c r="A594" t="s">
        <v>107</v>
      </c>
      <c r="B594">
        <v>48</v>
      </c>
      <c r="C594">
        <v>-23</v>
      </c>
      <c r="D594" s="1">
        <v>41774</v>
      </c>
      <c r="E594">
        <v>462</v>
      </c>
      <c r="F594">
        <v>74</v>
      </c>
      <c r="G594" t="s">
        <v>39</v>
      </c>
      <c r="H594" t="s">
        <v>29</v>
      </c>
      <c r="I594">
        <v>15</v>
      </c>
      <c r="J594" t="s">
        <v>40</v>
      </c>
      <c r="K594" t="s">
        <v>45</v>
      </c>
      <c r="L594" t="s">
        <v>52</v>
      </c>
      <c r="M594">
        <v>27</v>
      </c>
      <c r="N594">
        <v>122</v>
      </c>
      <c r="O594" t="s">
        <v>64</v>
      </c>
      <c r="P594">
        <v>50</v>
      </c>
      <c r="Q594">
        <v>90</v>
      </c>
      <c r="R594">
        <v>50</v>
      </c>
      <c r="S594">
        <v>140</v>
      </c>
      <c r="T594">
        <v>47</v>
      </c>
      <c r="U594" t="s">
        <v>35</v>
      </c>
      <c r="V594">
        <f t="shared" si="54"/>
        <v>0.22131147540983606</v>
      </c>
      <c r="W594">
        <f t="shared" si="55"/>
        <v>-23</v>
      </c>
      <c r="X594">
        <f t="shared" si="56"/>
        <v>-18</v>
      </c>
      <c r="Y594">
        <f t="shared" si="57"/>
        <v>0.39344262295081966</v>
      </c>
      <c r="Z594" s="7" t="str">
        <f t="shared" si="58"/>
        <v>Low Sales</v>
      </c>
      <c r="AA594" s="7" t="str">
        <f t="shared" si="59"/>
        <v>High Margin</v>
      </c>
    </row>
    <row r="595" spans="1:27" x14ac:dyDescent="0.25">
      <c r="A595" t="s">
        <v>115</v>
      </c>
      <c r="B595">
        <v>81</v>
      </c>
      <c r="C595">
        <v>-34</v>
      </c>
      <c r="D595" s="1">
        <v>41775</v>
      </c>
      <c r="E595">
        <v>551</v>
      </c>
      <c r="F595">
        <v>104</v>
      </c>
      <c r="G595" t="s">
        <v>39</v>
      </c>
      <c r="H595" t="s">
        <v>29</v>
      </c>
      <c r="I595">
        <v>26</v>
      </c>
      <c r="J595" t="s">
        <v>40</v>
      </c>
      <c r="K595" t="s">
        <v>45</v>
      </c>
      <c r="L595" t="s">
        <v>52</v>
      </c>
      <c r="M595">
        <v>66</v>
      </c>
      <c r="N595">
        <v>185</v>
      </c>
      <c r="O595" t="s">
        <v>47</v>
      </c>
      <c r="P595">
        <v>90</v>
      </c>
      <c r="Q595">
        <v>130</v>
      </c>
      <c r="R595">
        <v>100</v>
      </c>
      <c r="S595">
        <v>220</v>
      </c>
      <c r="T595">
        <v>38</v>
      </c>
      <c r="U595" t="s">
        <v>35</v>
      </c>
      <c r="V595">
        <f t="shared" si="54"/>
        <v>0.35675675675675678</v>
      </c>
      <c r="W595">
        <f t="shared" si="55"/>
        <v>-34</v>
      </c>
      <c r="X595">
        <f t="shared" si="56"/>
        <v>-35</v>
      </c>
      <c r="Y595">
        <f t="shared" si="57"/>
        <v>0.43783783783783786</v>
      </c>
      <c r="Z595" s="7" t="str">
        <f t="shared" si="58"/>
        <v>Low Sales</v>
      </c>
      <c r="AA595" s="7" t="str">
        <f t="shared" si="59"/>
        <v>High Margin</v>
      </c>
    </row>
    <row r="596" spans="1:27" x14ac:dyDescent="0.25">
      <c r="A596" t="s">
        <v>107</v>
      </c>
      <c r="B596">
        <v>20</v>
      </c>
      <c r="C596">
        <v>-5</v>
      </c>
      <c r="D596" s="1">
        <v>41776</v>
      </c>
      <c r="E596">
        <v>-598</v>
      </c>
      <c r="F596">
        <v>25</v>
      </c>
      <c r="G596" t="s">
        <v>39</v>
      </c>
      <c r="H596" t="s">
        <v>29</v>
      </c>
      <c r="I596">
        <v>7</v>
      </c>
      <c r="J596" t="s">
        <v>40</v>
      </c>
      <c r="K596" t="s">
        <v>41</v>
      </c>
      <c r="L596" t="s">
        <v>54</v>
      </c>
      <c r="M596">
        <v>-15</v>
      </c>
      <c r="N596">
        <v>45</v>
      </c>
      <c r="O596" t="s">
        <v>64</v>
      </c>
      <c r="P596">
        <v>10</v>
      </c>
      <c r="Q596">
        <v>20</v>
      </c>
      <c r="R596">
        <v>-10</v>
      </c>
      <c r="S596">
        <v>30</v>
      </c>
      <c r="T596">
        <v>40</v>
      </c>
      <c r="U596" t="s">
        <v>35</v>
      </c>
      <c r="V596">
        <f t="shared" si="54"/>
        <v>-0.33333333333333331</v>
      </c>
      <c r="W596">
        <f t="shared" si="55"/>
        <v>-5</v>
      </c>
      <c r="X596">
        <f t="shared" si="56"/>
        <v>15</v>
      </c>
      <c r="Y596">
        <f t="shared" si="57"/>
        <v>0.44444444444444442</v>
      </c>
      <c r="Z596" s="7" t="str">
        <f t="shared" si="58"/>
        <v>Low Sales</v>
      </c>
      <c r="AA596" s="7" t="str">
        <f t="shared" si="59"/>
        <v>Low Margin</v>
      </c>
    </row>
    <row r="597" spans="1:27" x14ac:dyDescent="0.25">
      <c r="A597" t="s">
        <v>75</v>
      </c>
      <c r="B597">
        <v>134</v>
      </c>
      <c r="C597">
        <v>31</v>
      </c>
      <c r="D597" s="1">
        <v>41777</v>
      </c>
      <c r="E597">
        <v>-2248</v>
      </c>
      <c r="F597">
        <v>186</v>
      </c>
      <c r="G597" t="s">
        <v>39</v>
      </c>
      <c r="H597" t="s">
        <v>29</v>
      </c>
      <c r="I597">
        <v>41</v>
      </c>
      <c r="J597" t="s">
        <v>40</v>
      </c>
      <c r="K597" t="s">
        <v>41</v>
      </c>
      <c r="L597" t="s">
        <v>54</v>
      </c>
      <c r="M597">
        <v>121</v>
      </c>
      <c r="N597">
        <v>320</v>
      </c>
      <c r="O597" t="s">
        <v>47</v>
      </c>
      <c r="P597">
        <v>100</v>
      </c>
      <c r="Q597">
        <v>140</v>
      </c>
      <c r="R597">
        <v>90</v>
      </c>
      <c r="S597">
        <v>240</v>
      </c>
      <c r="T597">
        <v>65</v>
      </c>
      <c r="U597" t="s">
        <v>35</v>
      </c>
      <c r="V597">
        <f t="shared" si="54"/>
        <v>0.37812499999999999</v>
      </c>
      <c r="W597">
        <f t="shared" si="55"/>
        <v>31</v>
      </c>
      <c r="X597">
        <f t="shared" si="56"/>
        <v>80</v>
      </c>
      <c r="Y597">
        <f t="shared" si="57"/>
        <v>0.41875000000000001</v>
      </c>
      <c r="Z597" s="7" t="str">
        <f t="shared" si="58"/>
        <v>High Sales</v>
      </c>
      <c r="AA597" s="7" t="str">
        <f t="shared" si="59"/>
        <v>High Margin</v>
      </c>
    </row>
    <row r="598" spans="1:27" x14ac:dyDescent="0.25">
      <c r="A598" t="s">
        <v>97</v>
      </c>
      <c r="B598">
        <v>94</v>
      </c>
      <c r="C598">
        <v>7</v>
      </c>
      <c r="D598" s="1">
        <v>41778</v>
      </c>
      <c r="E598">
        <v>540</v>
      </c>
      <c r="F598">
        <v>120</v>
      </c>
      <c r="G598" t="s">
        <v>39</v>
      </c>
      <c r="H598" t="s">
        <v>29</v>
      </c>
      <c r="I598">
        <v>31</v>
      </c>
      <c r="J598" t="s">
        <v>23</v>
      </c>
      <c r="K598" t="s">
        <v>24</v>
      </c>
      <c r="L598" t="s">
        <v>57</v>
      </c>
      <c r="M598">
        <v>77</v>
      </c>
      <c r="N598">
        <v>214</v>
      </c>
      <c r="O598" t="s">
        <v>55</v>
      </c>
      <c r="P598">
        <v>80</v>
      </c>
      <c r="Q598">
        <v>110</v>
      </c>
      <c r="R598">
        <v>70</v>
      </c>
      <c r="S598">
        <v>190</v>
      </c>
      <c r="T598">
        <v>43</v>
      </c>
      <c r="U598" t="s">
        <v>27</v>
      </c>
      <c r="V598">
        <f t="shared" si="54"/>
        <v>0.35981308411214952</v>
      </c>
      <c r="W598">
        <f t="shared" si="55"/>
        <v>7</v>
      </c>
      <c r="X598">
        <f t="shared" si="56"/>
        <v>24</v>
      </c>
      <c r="Y598">
        <f t="shared" si="57"/>
        <v>0.43925233644859812</v>
      </c>
      <c r="Z598" s="7" t="str">
        <f t="shared" si="58"/>
        <v>Low Sales</v>
      </c>
      <c r="AA598" s="7" t="str">
        <f t="shared" si="59"/>
        <v>High Margin</v>
      </c>
    </row>
    <row r="599" spans="1:27" x14ac:dyDescent="0.25">
      <c r="A599" t="s">
        <v>107</v>
      </c>
      <c r="B599">
        <v>16</v>
      </c>
      <c r="C599">
        <v>-1</v>
      </c>
      <c r="D599" s="1">
        <v>41779</v>
      </c>
      <c r="E599">
        <v>851</v>
      </c>
      <c r="F599">
        <v>25</v>
      </c>
      <c r="G599" t="s">
        <v>39</v>
      </c>
      <c r="H599" t="s">
        <v>29</v>
      </c>
      <c r="I599">
        <v>4</v>
      </c>
      <c r="J599" t="s">
        <v>23</v>
      </c>
      <c r="K599" t="s">
        <v>24</v>
      </c>
      <c r="L599" t="s">
        <v>57</v>
      </c>
      <c r="M599">
        <v>9</v>
      </c>
      <c r="N599">
        <v>41</v>
      </c>
      <c r="O599" t="s">
        <v>64</v>
      </c>
      <c r="P599">
        <v>10</v>
      </c>
      <c r="Q599">
        <v>20</v>
      </c>
      <c r="R599">
        <v>10</v>
      </c>
      <c r="S599">
        <v>30</v>
      </c>
      <c r="T599">
        <v>16</v>
      </c>
      <c r="U599" t="s">
        <v>27</v>
      </c>
      <c r="V599">
        <f t="shared" si="54"/>
        <v>0.21951219512195122</v>
      </c>
      <c r="W599">
        <f t="shared" si="55"/>
        <v>-1</v>
      </c>
      <c r="X599">
        <f t="shared" si="56"/>
        <v>11</v>
      </c>
      <c r="Y599">
        <f t="shared" si="57"/>
        <v>0.3902439024390244</v>
      </c>
      <c r="Z599" s="7" t="str">
        <f t="shared" si="58"/>
        <v>Low Sales</v>
      </c>
      <c r="AA599" s="7" t="str">
        <f t="shared" si="59"/>
        <v>High Margin</v>
      </c>
    </row>
    <row r="600" spans="1:27" x14ac:dyDescent="0.25">
      <c r="A600" t="s">
        <v>96</v>
      </c>
      <c r="B600">
        <v>105</v>
      </c>
      <c r="C600">
        <v>-10</v>
      </c>
      <c r="D600" s="1">
        <v>41780</v>
      </c>
      <c r="E600">
        <v>716</v>
      </c>
      <c r="F600">
        <v>145</v>
      </c>
      <c r="G600" t="s">
        <v>39</v>
      </c>
      <c r="H600" t="s">
        <v>29</v>
      </c>
      <c r="I600">
        <v>95</v>
      </c>
      <c r="J600" t="s">
        <v>23</v>
      </c>
      <c r="K600" t="s">
        <v>24</v>
      </c>
      <c r="L600" t="s">
        <v>25</v>
      </c>
      <c r="M600">
        <v>20</v>
      </c>
      <c r="N600">
        <v>250</v>
      </c>
      <c r="O600" t="s">
        <v>47</v>
      </c>
      <c r="P600">
        <v>90</v>
      </c>
      <c r="Q600">
        <v>140</v>
      </c>
      <c r="R600">
        <v>30</v>
      </c>
      <c r="S600">
        <v>230</v>
      </c>
      <c r="T600">
        <v>125</v>
      </c>
      <c r="U600" t="s">
        <v>27</v>
      </c>
      <c r="V600">
        <f t="shared" si="54"/>
        <v>0.08</v>
      </c>
      <c r="W600">
        <f t="shared" si="55"/>
        <v>-10</v>
      </c>
      <c r="X600">
        <f t="shared" si="56"/>
        <v>20</v>
      </c>
      <c r="Y600">
        <f t="shared" si="57"/>
        <v>0.42</v>
      </c>
      <c r="Z600" s="7" t="str">
        <f t="shared" si="58"/>
        <v>Low Sales</v>
      </c>
      <c r="AA600" s="7" t="str">
        <f t="shared" si="59"/>
        <v>High Margin</v>
      </c>
    </row>
    <row r="601" spans="1:27" x14ac:dyDescent="0.25">
      <c r="A601" t="s">
        <v>189</v>
      </c>
      <c r="B601">
        <v>39</v>
      </c>
      <c r="C601">
        <v>-41</v>
      </c>
      <c r="D601" s="1">
        <v>41781</v>
      </c>
      <c r="E601">
        <v>541</v>
      </c>
      <c r="F601">
        <v>51</v>
      </c>
      <c r="G601" t="s">
        <v>21</v>
      </c>
      <c r="H601" t="s">
        <v>29</v>
      </c>
      <c r="I601">
        <v>12</v>
      </c>
      <c r="J601" t="s">
        <v>40</v>
      </c>
      <c r="K601" t="s">
        <v>45</v>
      </c>
      <c r="L601" t="s">
        <v>46</v>
      </c>
      <c r="M601">
        <v>39</v>
      </c>
      <c r="N601">
        <v>96</v>
      </c>
      <c r="O601" t="s">
        <v>30</v>
      </c>
      <c r="P601">
        <v>40</v>
      </c>
      <c r="Q601">
        <v>90</v>
      </c>
      <c r="R601">
        <v>80</v>
      </c>
      <c r="S601">
        <v>130</v>
      </c>
      <c r="T601">
        <v>25</v>
      </c>
      <c r="U601" t="s">
        <v>27</v>
      </c>
      <c r="V601">
        <f t="shared" si="54"/>
        <v>0.40625</v>
      </c>
      <c r="W601">
        <f t="shared" si="55"/>
        <v>-41</v>
      </c>
      <c r="X601">
        <f t="shared" si="56"/>
        <v>-34</v>
      </c>
      <c r="Y601">
        <f t="shared" si="57"/>
        <v>0.40625</v>
      </c>
      <c r="Z601" s="7" t="str">
        <f t="shared" si="58"/>
        <v>Low Sales</v>
      </c>
      <c r="AA601" s="7" t="str">
        <f t="shared" si="59"/>
        <v>High Margin</v>
      </c>
    </row>
    <row r="602" spans="1:27" x14ac:dyDescent="0.25">
      <c r="A602" t="s">
        <v>184</v>
      </c>
      <c r="B602">
        <v>239</v>
      </c>
      <c r="C602">
        <v>-65</v>
      </c>
      <c r="D602" s="1">
        <v>41782</v>
      </c>
      <c r="E602">
        <v>1246</v>
      </c>
      <c r="F602">
        <v>281</v>
      </c>
      <c r="G602" t="s">
        <v>21</v>
      </c>
      <c r="H602" t="s">
        <v>29</v>
      </c>
      <c r="I602">
        <v>74</v>
      </c>
      <c r="J602" t="s">
        <v>40</v>
      </c>
      <c r="K602" t="s">
        <v>45</v>
      </c>
      <c r="L602" t="s">
        <v>52</v>
      </c>
      <c r="M602">
        <v>275</v>
      </c>
      <c r="N602">
        <v>554</v>
      </c>
      <c r="O602" t="s">
        <v>30</v>
      </c>
      <c r="P602">
        <v>350</v>
      </c>
      <c r="Q602">
        <v>420</v>
      </c>
      <c r="R602">
        <v>340</v>
      </c>
      <c r="S602">
        <v>770</v>
      </c>
      <c r="T602">
        <v>96</v>
      </c>
      <c r="U602" t="s">
        <v>35</v>
      </c>
      <c r="V602">
        <f t="shared" si="54"/>
        <v>0.49638989169675091</v>
      </c>
      <c r="W602">
        <f t="shared" si="55"/>
        <v>-65</v>
      </c>
      <c r="X602">
        <f t="shared" si="56"/>
        <v>-216</v>
      </c>
      <c r="Y602">
        <f t="shared" si="57"/>
        <v>0.43140794223826717</v>
      </c>
      <c r="Z602" s="7" t="str">
        <f t="shared" si="58"/>
        <v>High Sales</v>
      </c>
      <c r="AA602" s="7" t="str">
        <f t="shared" si="59"/>
        <v>High Margin</v>
      </c>
    </row>
    <row r="603" spans="1:27" x14ac:dyDescent="0.25">
      <c r="A603" t="s">
        <v>187</v>
      </c>
      <c r="B603">
        <v>123</v>
      </c>
      <c r="C603">
        <v>97</v>
      </c>
      <c r="D603" s="1">
        <v>41783</v>
      </c>
      <c r="E603">
        <v>915</v>
      </c>
      <c r="F603">
        <v>179</v>
      </c>
      <c r="G603" t="s">
        <v>21</v>
      </c>
      <c r="H603" t="s">
        <v>29</v>
      </c>
      <c r="I603">
        <v>34</v>
      </c>
      <c r="J603" t="s">
        <v>40</v>
      </c>
      <c r="K603" t="s">
        <v>41</v>
      </c>
      <c r="L603" t="s">
        <v>53</v>
      </c>
      <c r="M603">
        <v>197</v>
      </c>
      <c r="N603">
        <v>322</v>
      </c>
      <c r="O603" t="s">
        <v>30</v>
      </c>
      <c r="P603">
        <v>70</v>
      </c>
      <c r="Q603">
        <v>120</v>
      </c>
      <c r="R603">
        <v>100</v>
      </c>
      <c r="S603">
        <v>190</v>
      </c>
      <c r="T603">
        <v>46</v>
      </c>
      <c r="U603" t="s">
        <v>35</v>
      </c>
      <c r="V603">
        <f t="shared" si="54"/>
        <v>0.61180124223602483</v>
      </c>
      <c r="W603">
        <f t="shared" si="55"/>
        <v>97</v>
      </c>
      <c r="X603">
        <f t="shared" si="56"/>
        <v>132</v>
      </c>
      <c r="Y603">
        <f t="shared" si="57"/>
        <v>0.38198757763975155</v>
      </c>
      <c r="Z603" s="7" t="str">
        <f t="shared" si="58"/>
        <v>High Sales</v>
      </c>
      <c r="AA603" s="7" t="str">
        <f t="shared" si="59"/>
        <v>High Margin</v>
      </c>
    </row>
    <row r="604" spans="1:27" x14ac:dyDescent="0.25">
      <c r="A604" t="s">
        <v>106</v>
      </c>
      <c r="B604">
        <v>48</v>
      </c>
      <c r="C604">
        <v>-13</v>
      </c>
      <c r="D604" s="1">
        <v>41784</v>
      </c>
      <c r="E604">
        <v>851</v>
      </c>
      <c r="F604">
        <v>70</v>
      </c>
      <c r="G604" t="s">
        <v>39</v>
      </c>
      <c r="H604" t="s">
        <v>29</v>
      </c>
      <c r="I604">
        <v>13</v>
      </c>
      <c r="J604" t="s">
        <v>40</v>
      </c>
      <c r="K604" t="s">
        <v>45</v>
      </c>
      <c r="L604" t="s">
        <v>46</v>
      </c>
      <c r="M604">
        <v>67</v>
      </c>
      <c r="N604">
        <v>126</v>
      </c>
      <c r="O604" t="s">
        <v>55</v>
      </c>
      <c r="P604">
        <v>70</v>
      </c>
      <c r="Q604">
        <v>90</v>
      </c>
      <c r="R604">
        <v>80</v>
      </c>
      <c r="S604">
        <v>160</v>
      </c>
      <c r="T604">
        <v>25</v>
      </c>
      <c r="U604" t="s">
        <v>27</v>
      </c>
      <c r="V604">
        <f t="shared" si="54"/>
        <v>0.53174603174603174</v>
      </c>
      <c r="W604">
        <f t="shared" si="55"/>
        <v>-13</v>
      </c>
      <c r="X604">
        <f t="shared" si="56"/>
        <v>-34</v>
      </c>
      <c r="Y604">
        <f t="shared" si="57"/>
        <v>0.38095238095238093</v>
      </c>
      <c r="Z604" s="7" t="str">
        <f t="shared" si="58"/>
        <v>Low Sales</v>
      </c>
      <c r="AA604" s="7" t="str">
        <f t="shared" si="59"/>
        <v>High Margin</v>
      </c>
    </row>
    <row r="605" spans="1:27" x14ac:dyDescent="0.25">
      <c r="A605" t="s">
        <v>123</v>
      </c>
      <c r="B605">
        <v>48</v>
      </c>
      <c r="C605">
        <v>-10</v>
      </c>
      <c r="D605" s="1">
        <v>41785</v>
      </c>
      <c r="E605">
        <v>829</v>
      </c>
      <c r="F605">
        <v>71</v>
      </c>
      <c r="G605" t="s">
        <v>39</v>
      </c>
      <c r="H605" t="s">
        <v>29</v>
      </c>
      <c r="I605">
        <v>13</v>
      </c>
      <c r="J605" t="s">
        <v>40</v>
      </c>
      <c r="K605" t="s">
        <v>45</v>
      </c>
      <c r="L605" t="s">
        <v>52</v>
      </c>
      <c r="M605">
        <v>70</v>
      </c>
      <c r="N605">
        <v>127</v>
      </c>
      <c r="O605" t="s">
        <v>55</v>
      </c>
      <c r="P605">
        <v>70</v>
      </c>
      <c r="Q605">
        <v>90</v>
      </c>
      <c r="R605">
        <v>80</v>
      </c>
      <c r="S605">
        <v>160</v>
      </c>
      <c r="T605">
        <v>24</v>
      </c>
      <c r="U605" t="s">
        <v>35</v>
      </c>
      <c r="V605">
        <f t="shared" si="54"/>
        <v>0.55118110236220474</v>
      </c>
      <c r="W605">
        <f t="shared" si="55"/>
        <v>-10</v>
      </c>
      <c r="X605">
        <f t="shared" si="56"/>
        <v>-33</v>
      </c>
      <c r="Y605">
        <f t="shared" si="57"/>
        <v>0.37795275590551181</v>
      </c>
      <c r="Z605" s="7" t="str">
        <f t="shared" si="58"/>
        <v>Low Sales</v>
      </c>
      <c r="AA605" s="7" t="str">
        <f t="shared" si="59"/>
        <v>High Margin</v>
      </c>
    </row>
    <row r="606" spans="1:27" x14ac:dyDescent="0.25">
      <c r="A606" t="s">
        <v>107</v>
      </c>
      <c r="B606">
        <v>45</v>
      </c>
      <c r="C606">
        <v>-46</v>
      </c>
      <c r="D606" s="1">
        <v>41786</v>
      </c>
      <c r="E606">
        <v>447</v>
      </c>
      <c r="F606">
        <v>69</v>
      </c>
      <c r="G606" t="s">
        <v>39</v>
      </c>
      <c r="H606" t="s">
        <v>29</v>
      </c>
      <c r="I606">
        <v>14</v>
      </c>
      <c r="J606" t="s">
        <v>40</v>
      </c>
      <c r="K606" t="s">
        <v>45</v>
      </c>
      <c r="L606" t="s">
        <v>52</v>
      </c>
      <c r="M606">
        <v>34</v>
      </c>
      <c r="N606">
        <v>121</v>
      </c>
      <c r="O606" t="s">
        <v>64</v>
      </c>
      <c r="P606">
        <v>50</v>
      </c>
      <c r="Q606">
        <v>110</v>
      </c>
      <c r="R606">
        <v>80</v>
      </c>
      <c r="S606">
        <v>160</v>
      </c>
      <c r="T606">
        <v>46</v>
      </c>
      <c r="U606" t="s">
        <v>35</v>
      </c>
      <c r="V606">
        <f t="shared" si="54"/>
        <v>0.28099173553719009</v>
      </c>
      <c r="W606">
        <f t="shared" si="55"/>
        <v>-46</v>
      </c>
      <c r="X606">
        <f t="shared" si="56"/>
        <v>-39</v>
      </c>
      <c r="Y606">
        <f t="shared" si="57"/>
        <v>0.37190082644628097</v>
      </c>
      <c r="Z606" s="7" t="str">
        <f t="shared" si="58"/>
        <v>Low Sales</v>
      </c>
      <c r="AA606" s="7" t="str">
        <f t="shared" si="59"/>
        <v>High Margin</v>
      </c>
    </row>
    <row r="607" spans="1:27" x14ac:dyDescent="0.25">
      <c r="A607" t="s">
        <v>75</v>
      </c>
      <c r="B607">
        <v>90</v>
      </c>
      <c r="C607">
        <v>-30</v>
      </c>
      <c r="D607" s="1">
        <v>41787</v>
      </c>
      <c r="E607">
        <v>572</v>
      </c>
      <c r="F607">
        <v>115</v>
      </c>
      <c r="G607" t="s">
        <v>39</v>
      </c>
      <c r="H607" t="s">
        <v>29</v>
      </c>
      <c r="I607">
        <v>29</v>
      </c>
      <c r="J607" t="s">
        <v>40</v>
      </c>
      <c r="K607" t="s">
        <v>45</v>
      </c>
      <c r="L607" t="s">
        <v>52</v>
      </c>
      <c r="M607">
        <v>110</v>
      </c>
      <c r="N607">
        <v>218</v>
      </c>
      <c r="O607" t="s">
        <v>47</v>
      </c>
      <c r="P607">
        <v>130</v>
      </c>
      <c r="Q607">
        <v>160</v>
      </c>
      <c r="R607">
        <v>140</v>
      </c>
      <c r="S607">
        <v>290</v>
      </c>
      <c r="T607">
        <v>41</v>
      </c>
      <c r="U607" t="s">
        <v>35</v>
      </c>
      <c r="V607">
        <f t="shared" si="54"/>
        <v>0.50458715596330272</v>
      </c>
      <c r="W607">
        <f t="shared" si="55"/>
        <v>-30</v>
      </c>
      <c r="X607">
        <f t="shared" si="56"/>
        <v>-72</v>
      </c>
      <c r="Y607">
        <f t="shared" si="57"/>
        <v>0.41284403669724773</v>
      </c>
      <c r="Z607" s="7" t="str">
        <f t="shared" si="58"/>
        <v>Low Sales</v>
      </c>
      <c r="AA607" s="7" t="str">
        <f t="shared" si="59"/>
        <v>High Margin</v>
      </c>
    </row>
    <row r="608" spans="1:27" x14ac:dyDescent="0.25">
      <c r="A608" t="s">
        <v>107</v>
      </c>
      <c r="B608">
        <v>25</v>
      </c>
      <c r="C608">
        <v>-28</v>
      </c>
      <c r="D608" s="1">
        <v>41788</v>
      </c>
      <c r="E608">
        <v>-466</v>
      </c>
      <c r="F608">
        <v>31</v>
      </c>
      <c r="G608" t="s">
        <v>39</v>
      </c>
      <c r="H608" t="s">
        <v>29</v>
      </c>
      <c r="I608">
        <v>9</v>
      </c>
      <c r="J608" t="s">
        <v>40</v>
      </c>
      <c r="K608" t="s">
        <v>41</v>
      </c>
      <c r="L608" t="s">
        <v>54</v>
      </c>
      <c r="M608">
        <v>-18</v>
      </c>
      <c r="N608">
        <v>60</v>
      </c>
      <c r="O608" t="s">
        <v>64</v>
      </c>
      <c r="P608">
        <v>10</v>
      </c>
      <c r="Q608">
        <v>20</v>
      </c>
      <c r="R608">
        <v>10</v>
      </c>
      <c r="S608">
        <v>30</v>
      </c>
      <c r="T608">
        <v>43</v>
      </c>
      <c r="U608" t="s">
        <v>35</v>
      </c>
      <c r="V608">
        <f t="shared" si="54"/>
        <v>-0.3</v>
      </c>
      <c r="W608">
        <f t="shared" si="55"/>
        <v>-28</v>
      </c>
      <c r="X608">
        <f t="shared" si="56"/>
        <v>30</v>
      </c>
      <c r="Y608">
        <f t="shared" si="57"/>
        <v>0.41666666666666669</v>
      </c>
      <c r="Z608" s="7" t="str">
        <f t="shared" si="58"/>
        <v>Low Sales</v>
      </c>
      <c r="AA608" s="7" t="str">
        <f t="shared" si="59"/>
        <v>Low Margin</v>
      </c>
    </row>
    <row r="609" spans="1:27" x14ac:dyDescent="0.25">
      <c r="A609" t="s">
        <v>79</v>
      </c>
      <c r="B609">
        <v>103</v>
      </c>
      <c r="C609">
        <v>19</v>
      </c>
      <c r="D609" s="1">
        <v>41789</v>
      </c>
      <c r="E609">
        <v>564</v>
      </c>
      <c r="F609">
        <v>133</v>
      </c>
      <c r="G609" t="s">
        <v>39</v>
      </c>
      <c r="H609" t="s">
        <v>29</v>
      </c>
      <c r="I609">
        <v>33</v>
      </c>
      <c r="J609" t="s">
        <v>23</v>
      </c>
      <c r="K609" t="s">
        <v>24</v>
      </c>
      <c r="L609" t="s">
        <v>57</v>
      </c>
      <c r="M609">
        <v>129</v>
      </c>
      <c r="N609">
        <v>251</v>
      </c>
      <c r="O609" t="s">
        <v>55</v>
      </c>
      <c r="P609">
        <v>80</v>
      </c>
      <c r="Q609">
        <v>130</v>
      </c>
      <c r="R609">
        <v>110</v>
      </c>
      <c r="S609">
        <v>210</v>
      </c>
      <c r="T609">
        <v>46</v>
      </c>
      <c r="U609" t="s">
        <v>27</v>
      </c>
      <c r="V609">
        <f t="shared" si="54"/>
        <v>0.51394422310756971</v>
      </c>
      <c r="W609">
        <f t="shared" si="55"/>
        <v>19</v>
      </c>
      <c r="X609">
        <f t="shared" si="56"/>
        <v>41</v>
      </c>
      <c r="Y609">
        <f t="shared" si="57"/>
        <v>0.41035856573705182</v>
      </c>
      <c r="Z609" s="7" t="str">
        <f t="shared" si="58"/>
        <v>Low Sales</v>
      </c>
      <c r="AA609" s="7" t="str">
        <f t="shared" si="59"/>
        <v>High Margin</v>
      </c>
    </row>
    <row r="610" spans="1:27" x14ac:dyDescent="0.25">
      <c r="A610" t="s">
        <v>97</v>
      </c>
      <c r="B610">
        <v>79</v>
      </c>
      <c r="C610">
        <v>-10</v>
      </c>
      <c r="D610" s="1">
        <v>41790</v>
      </c>
      <c r="E610">
        <v>593</v>
      </c>
      <c r="F610">
        <v>98</v>
      </c>
      <c r="G610" t="s">
        <v>39</v>
      </c>
      <c r="H610" t="s">
        <v>29</v>
      </c>
      <c r="I610">
        <v>30</v>
      </c>
      <c r="J610" t="s">
        <v>23</v>
      </c>
      <c r="K610" t="s">
        <v>24</v>
      </c>
      <c r="L610" t="s">
        <v>25</v>
      </c>
      <c r="M610">
        <v>50</v>
      </c>
      <c r="N610">
        <v>189</v>
      </c>
      <c r="O610" t="s">
        <v>55</v>
      </c>
      <c r="P610">
        <v>60</v>
      </c>
      <c r="Q610">
        <v>90</v>
      </c>
      <c r="R610">
        <v>60</v>
      </c>
      <c r="S610">
        <v>150</v>
      </c>
      <c r="T610">
        <v>64</v>
      </c>
      <c r="U610" t="s">
        <v>27</v>
      </c>
      <c r="V610">
        <f t="shared" si="54"/>
        <v>0.26455026455026454</v>
      </c>
      <c r="W610">
        <f t="shared" si="55"/>
        <v>-10</v>
      </c>
      <c r="X610">
        <f t="shared" si="56"/>
        <v>39</v>
      </c>
      <c r="Y610">
        <f t="shared" si="57"/>
        <v>0.41798941798941797</v>
      </c>
      <c r="Z610" s="7" t="str">
        <f t="shared" si="58"/>
        <v>Low Sales</v>
      </c>
      <c r="AA610" s="7" t="str">
        <f t="shared" si="59"/>
        <v>High Margin</v>
      </c>
    </row>
    <row r="611" spans="1:27" x14ac:dyDescent="0.25">
      <c r="A611" t="s">
        <v>75</v>
      </c>
      <c r="B611">
        <v>96</v>
      </c>
      <c r="C611">
        <v>-15</v>
      </c>
      <c r="D611" s="1">
        <v>41791</v>
      </c>
      <c r="E611">
        <v>683</v>
      </c>
      <c r="F611">
        <v>134</v>
      </c>
      <c r="G611" t="s">
        <v>39</v>
      </c>
      <c r="H611" t="s">
        <v>29</v>
      </c>
      <c r="I611">
        <v>87</v>
      </c>
      <c r="J611" t="s">
        <v>23</v>
      </c>
      <c r="K611" t="s">
        <v>24</v>
      </c>
      <c r="L611" t="s">
        <v>25</v>
      </c>
      <c r="M611">
        <v>25</v>
      </c>
      <c r="N611">
        <v>245</v>
      </c>
      <c r="O611" t="s">
        <v>47</v>
      </c>
      <c r="P611">
        <v>80</v>
      </c>
      <c r="Q611">
        <v>120</v>
      </c>
      <c r="R611">
        <v>40</v>
      </c>
      <c r="S611">
        <v>200</v>
      </c>
      <c r="T611">
        <v>117</v>
      </c>
      <c r="U611" t="s">
        <v>27</v>
      </c>
      <c r="V611">
        <f t="shared" si="54"/>
        <v>0.10204081632653061</v>
      </c>
      <c r="W611">
        <f t="shared" si="55"/>
        <v>-15</v>
      </c>
      <c r="X611">
        <f t="shared" si="56"/>
        <v>45</v>
      </c>
      <c r="Y611">
        <f t="shared" si="57"/>
        <v>0.39183673469387753</v>
      </c>
      <c r="Z611" s="7" t="str">
        <f t="shared" si="58"/>
        <v>Low Sales</v>
      </c>
      <c r="AA611" s="7" t="str">
        <f t="shared" si="59"/>
        <v>High Margin</v>
      </c>
    </row>
    <row r="612" spans="1:27" x14ac:dyDescent="0.25">
      <c r="A612" t="s">
        <v>184</v>
      </c>
      <c r="B612">
        <v>225</v>
      </c>
      <c r="C612">
        <v>28</v>
      </c>
      <c r="D612" s="1">
        <v>41792</v>
      </c>
      <c r="E612">
        <v>1272</v>
      </c>
      <c r="F612">
        <v>265</v>
      </c>
      <c r="G612" t="s">
        <v>21</v>
      </c>
      <c r="H612" t="s">
        <v>29</v>
      </c>
      <c r="I612">
        <v>69</v>
      </c>
      <c r="J612" t="s">
        <v>40</v>
      </c>
      <c r="K612" t="s">
        <v>45</v>
      </c>
      <c r="L612" t="s">
        <v>52</v>
      </c>
      <c r="M612">
        <v>258</v>
      </c>
      <c r="N612">
        <v>522</v>
      </c>
      <c r="O612" t="s">
        <v>30</v>
      </c>
      <c r="P612">
        <v>260</v>
      </c>
      <c r="Q612">
        <v>320</v>
      </c>
      <c r="R612">
        <v>230</v>
      </c>
      <c r="S612">
        <v>580</v>
      </c>
      <c r="T612">
        <v>91</v>
      </c>
      <c r="U612" t="s">
        <v>35</v>
      </c>
      <c r="V612">
        <f t="shared" si="54"/>
        <v>0.4942528735632184</v>
      </c>
      <c r="W612">
        <f t="shared" si="55"/>
        <v>28</v>
      </c>
      <c r="X612">
        <f t="shared" si="56"/>
        <v>-58</v>
      </c>
      <c r="Y612">
        <f t="shared" si="57"/>
        <v>0.43103448275862066</v>
      </c>
      <c r="Z612" s="7" t="str">
        <f t="shared" si="58"/>
        <v>High Sales</v>
      </c>
      <c r="AA612" s="7" t="str">
        <f t="shared" si="59"/>
        <v>High Margin</v>
      </c>
    </row>
    <row r="613" spans="1:27" x14ac:dyDescent="0.25">
      <c r="A613" t="s">
        <v>119</v>
      </c>
      <c r="B613">
        <v>75</v>
      </c>
      <c r="C613">
        <v>48</v>
      </c>
      <c r="D613" s="1">
        <v>41793</v>
      </c>
      <c r="E613">
        <v>-1050</v>
      </c>
      <c r="F613">
        <v>114</v>
      </c>
      <c r="G613" t="s">
        <v>21</v>
      </c>
      <c r="H613" t="s">
        <v>29</v>
      </c>
      <c r="I613">
        <v>24</v>
      </c>
      <c r="J613" t="s">
        <v>40</v>
      </c>
      <c r="K613" t="s">
        <v>41</v>
      </c>
      <c r="L613" t="s">
        <v>54</v>
      </c>
      <c r="M613">
        <v>88</v>
      </c>
      <c r="N613">
        <v>201</v>
      </c>
      <c r="O613" t="s">
        <v>30</v>
      </c>
      <c r="P613">
        <v>50</v>
      </c>
      <c r="Q613">
        <v>90</v>
      </c>
      <c r="R613">
        <v>40</v>
      </c>
      <c r="S613">
        <v>140</v>
      </c>
      <c r="T613">
        <v>55</v>
      </c>
      <c r="U613" t="s">
        <v>35</v>
      </c>
      <c r="V613">
        <f t="shared" si="54"/>
        <v>0.43781094527363185</v>
      </c>
      <c r="W613">
        <f t="shared" si="55"/>
        <v>48</v>
      </c>
      <c r="X613">
        <f t="shared" si="56"/>
        <v>61</v>
      </c>
      <c r="Y613">
        <f t="shared" si="57"/>
        <v>0.37313432835820898</v>
      </c>
      <c r="Z613" s="7" t="str">
        <f t="shared" si="58"/>
        <v>Low Sales</v>
      </c>
      <c r="AA613" s="7" t="str">
        <f t="shared" si="59"/>
        <v>High Margin</v>
      </c>
    </row>
    <row r="614" spans="1:27" x14ac:dyDescent="0.25">
      <c r="A614" t="s">
        <v>86</v>
      </c>
      <c r="B614">
        <v>118</v>
      </c>
      <c r="C614">
        <v>88</v>
      </c>
      <c r="D614" s="1">
        <v>41794</v>
      </c>
      <c r="E614">
        <v>930</v>
      </c>
      <c r="F614">
        <v>172</v>
      </c>
      <c r="G614" t="s">
        <v>21</v>
      </c>
      <c r="H614" t="s">
        <v>29</v>
      </c>
      <c r="I614">
        <v>33</v>
      </c>
      <c r="J614" t="s">
        <v>40</v>
      </c>
      <c r="K614" t="s">
        <v>41</v>
      </c>
      <c r="L614" t="s">
        <v>53</v>
      </c>
      <c r="M614">
        <v>188</v>
      </c>
      <c r="N614">
        <v>309</v>
      </c>
      <c r="O614" t="s">
        <v>30</v>
      </c>
      <c r="P614">
        <v>90</v>
      </c>
      <c r="Q614">
        <v>130</v>
      </c>
      <c r="R614">
        <v>100</v>
      </c>
      <c r="S614">
        <v>220</v>
      </c>
      <c r="T614">
        <v>45</v>
      </c>
      <c r="U614" t="s">
        <v>35</v>
      </c>
      <c r="V614">
        <f t="shared" si="54"/>
        <v>0.60841423948220064</v>
      </c>
      <c r="W614">
        <f t="shared" si="55"/>
        <v>88</v>
      </c>
      <c r="X614">
        <f t="shared" si="56"/>
        <v>89</v>
      </c>
      <c r="Y614">
        <f t="shared" si="57"/>
        <v>0.3818770226537217</v>
      </c>
      <c r="Z614" s="7" t="str">
        <f t="shared" si="58"/>
        <v>High Sales</v>
      </c>
      <c r="AA614" s="7" t="str">
        <f t="shared" si="59"/>
        <v>High Margin</v>
      </c>
    </row>
    <row r="615" spans="1:27" x14ac:dyDescent="0.25">
      <c r="A615" t="s">
        <v>96</v>
      </c>
      <c r="B615">
        <v>78</v>
      </c>
      <c r="C615">
        <v>52</v>
      </c>
      <c r="D615" s="1">
        <v>41795</v>
      </c>
      <c r="E615">
        <v>798</v>
      </c>
      <c r="F615">
        <v>119</v>
      </c>
      <c r="G615" t="s">
        <v>39</v>
      </c>
      <c r="H615" t="s">
        <v>29</v>
      </c>
      <c r="I615">
        <v>25</v>
      </c>
      <c r="J615" t="s">
        <v>40</v>
      </c>
      <c r="K615" t="s">
        <v>41</v>
      </c>
      <c r="L615" t="s">
        <v>42</v>
      </c>
      <c r="M615">
        <v>92</v>
      </c>
      <c r="N615">
        <v>210</v>
      </c>
      <c r="O615" t="s">
        <v>47</v>
      </c>
      <c r="P615">
        <v>60</v>
      </c>
      <c r="Q615">
        <v>90</v>
      </c>
      <c r="R615">
        <v>40</v>
      </c>
      <c r="S615">
        <v>150</v>
      </c>
      <c r="T615">
        <v>57</v>
      </c>
      <c r="U615" t="s">
        <v>27</v>
      </c>
      <c r="V615">
        <f t="shared" si="54"/>
        <v>0.43809523809523809</v>
      </c>
      <c r="W615">
        <f t="shared" si="55"/>
        <v>52</v>
      </c>
      <c r="X615">
        <f t="shared" si="56"/>
        <v>60</v>
      </c>
      <c r="Y615">
        <f t="shared" si="57"/>
        <v>0.37142857142857144</v>
      </c>
      <c r="Z615" s="7" t="str">
        <f t="shared" si="58"/>
        <v>Low Sales</v>
      </c>
      <c r="AA615" s="7" t="str">
        <f t="shared" si="59"/>
        <v>High Margin</v>
      </c>
    </row>
    <row r="616" spans="1:27" x14ac:dyDescent="0.25">
      <c r="A616" t="s">
        <v>75</v>
      </c>
      <c r="B616">
        <v>88</v>
      </c>
      <c r="C616">
        <v>15</v>
      </c>
      <c r="D616" s="1">
        <v>41796</v>
      </c>
      <c r="E616">
        <v>561</v>
      </c>
      <c r="F616">
        <v>112</v>
      </c>
      <c r="G616" t="s">
        <v>39</v>
      </c>
      <c r="H616" t="s">
        <v>29</v>
      </c>
      <c r="I616">
        <v>29</v>
      </c>
      <c r="J616" t="s">
        <v>40</v>
      </c>
      <c r="K616" t="s">
        <v>45</v>
      </c>
      <c r="L616" t="s">
        <v>52</v>
      </c>
      <c r="M616">
        <v>105</v>
      </c>
      <c r="N616">
        <v>213</v>
      </c>
      <c r="O616" t="s">
        <v>47</v>
      </c>
      <c r="P616">
        <v>100</v>
      </c>
      <c r="Q616">
        <v>130</v>
      </c>
      <c r="R616">
        <v>90</v>
      </c>
      <c r="S616">
        <v>230</v>
      </c>
      <c r="T616">
        <v>41</v>
      </c>
      <c r="U616" t="s">
        <v>35</v>
      </c>
      <c r="V616">
        <f t="shared" si="54"/>
        <v>0.49295774647887325</v>
      </c>
      <c r="W616">
        <f t="shared" si="55"/>
        <v>15</v>
      </c>
      <c r="X616">
        <f t="shared" si="56"/>
        <v>-17</v>
      </c>
      <c r="Y616">
        <f t="shared" si="57"/>
        <v>0.41314553990610331</v>
      </c>
      <c r="Z616" s="7" t="str">
        <f t="shared" si="58"/>
        <v>Low Sales</v>
      </c>
      <c r="AA616" s="7" t="str">
        <f t="shared" si="59"/>
        <v>High Margin</v>
      </c>
    </row>
    <row r="617" spans="1:27" x14ac:dyDescent="0.25">
      <c r="A617" t="s">
        <v>115</v>
      </c>
      <c r="B617">
        <v>102</v>
      </c>
      <c r="C617">
        <v>72</v>
      </c>
      <c r="D617" s="1">
        <v>41797</v>
      </c>
      <c r="E617">
        <v>-2003</v>
      </c>
      <c r="F617">
        <v>143</v>
      </c>
      <c r="G617" t="s">
        <v>39</v>
      </c>
      <c r="H617" t="s">
        <v>29</v>
      </c>
      <c r="I617">
        <v>31</v>
      </c>
      <c r="J617" t="s">
        <v>40</v>
      </c>
      <c r="K617" t="s">
        <v>41</v>
      </c>
      <c r="L617" t="s">
        <v>54</v>
      </c>
      <c r="M617">
        <v>132</v>
      </c>
      <c r="N617">
        <v>261</v>
      </c>
      <c r="O617" t="s">
        <v>47</v>
      </c>
      <c r="P617">
        <v>80</v>
      </c>
      <c r="Q617">
        <v>100</v>
      </c>
      <c r="R617">
        <v>60</v>
      </c>
      <c r="S617">
        <v>180</v>
      </c>
      <c r="T617">
        <v>54</v>
      </c>
      <c r="U617" t="s">
        <v>35</v>
      </c>
      <c r="V617">
        <f t="shared" si="54"/>
        <v>0.50574712643678166</v>
      </c>
      <c r="W617">
        <f t="shared" si="55"/>
        <v>72</v>
      </c>
      <c r="X617">
        <f t="shared" si="56"/>
        <v>81</v>
      </c>
      <c r="Y617">
        <f t="shared" si="57"/>
        <v>0.39080459770114945</v>
      </c>
      <c r="Z617" s="7" t="str">
        <f t="shared" si="58"/>
        <v>Low Sales</v>
      </c>
      <c r="AA617" s="7" t="str">
        <f t="shared" si="59"/>
        <v>High Margin</v>
      </c>
    </row>
    <row r="618" spans="1:27" x14ac:dyDescent="0.25">
      <c r="A618" t="s">
        <v>106</v>
      </c>
      <c r="B618">
        <v>101</v>
      </c>
      <c r="C618">
        <v>46</v>
      </c>
      <c r="D618" s="1">
        <v>41798</v>
      </c>
      <c r="E618">
        <v>552</v>
      </c>
      <c r="F618">
        <v>130</v>
      </c>
      <c r="G618" t="s">
        <v>39</v>
      </c>
      <c r="H618" t="s">
        <v>29</v>
      </c>
      <c r="I618">
        <v>33</v>
      </c>
      <c r="J618" t="s">
        <v>23</v>
      </c>
      <c r="K618" t="s">
        <v>24</v>
      </c>
      <c r="L618" t="s">
        <v>57</v>
      </c>
      <c r="M618">
        <v>126</v>
      </c>
      <c r="N618">
        <v>246</v>
      </c>
      <c r="O618" t="s">
        <v>55</v>
      </c>
      <c r="P618">
        <v>90</v>
      </c>
      <c r="Q618">
        <v>120</v>
      </c>
      <c r="R618">
        <v>80</v>
      </c>
      <c r="S618">
        <v>210</v>
      </c>
      <c r="T618">
        <v>45</v>
      </c>
      <c r="U618" t="s">
        <v>27</v>
      </c>
      <c r="V618">
        <f t="shared" si="54"/>
        <v>0.51219512195121952</v>
      </c>
      <c r="W618">
        <f t="shared" si="55"/>
        <v>46</v>
      </c>
      <c r="X618">
        <f t="shared" si="56"/>
        <v>36</v>
      </c>
      <c r="Y618">
        <f t="shared" si="57"/>
        <v>0.41056910569105692</v>
      </c>
      <c r="Z618" s="7" t="str">
        <f t="shared" si="58"/>
        <v>Low Sales</v>
      </c>
      <c r="AA618" s="7" t="str">
        <f t="shared" si="59"/>
        <v>High Margin</v>
      </c>
    </row>
    <row r="619" spans="1:27" x14ac:dyDescent="0.25">
      <c r="A619" t="s">
        <v>107</v>
      </c>
      <c r="B619">
        <v>15</v>
      </c>
      <c r="C619">
        <v>3</v>
      </c>
      <c r="D619" s="1">
        <v>41799</v>
      </c>
      <c r="E619">
        <v>848</v>
      </c>
      <c r="F619">
        <v>24</v>
      </c>
      <c r="G619" t="s">
        <v>39</v>
      </c>
      <c r="H619" t="s">
        <v>29</v>
      </c>
      <c r="I619">
        <v>4</v>
      </c>
      <c r="J619" t="s">
        <v>23</v>
      </c>
      <c r="K619" t="s">
        <v>24</v>
      </c>
      <c r="L619" t="s">
        <v>57</v>
      </c>
      <c r="M619">
        <v>13</v>
      </c>
      <c r="N619">
        <v>42</v>
      </c>
      <c r="O619" t="s">
        <v>64</v>
      </c>
      <c r="P619">
        <v>10</v>
      </c>
      <c r="Q619">
        <v>20</v>
      </c>
      <c r="R619">
        <v>10</v>
      </c>
      <c r="S619">
        <v>30</v>
      </c>
      <c r="T619">
        <v>15</v>
      </c>
      <c r="U619" t="s">
        <v>27</v>
      </c>
      <c r="V619">
        <f t="shared" si="54"/>
        <v>0.30952380952380953</v>
      </c>
      <c r="W619">
        <f t="shared" si="55"/>
        <v>3</v>
      </c>
      <c r="X619">
        <f t="shared" si="56"/>
        <v>12</v>
      </c>
      <c r="Y619">
        <f t="shared" si="57"/>
        <v>0.35714285714285715</v>
      </c>
      <c r="Z619" s="7" t="str">
        <f t="shared" si="58"/>
        <v>Low Sales</v>
      </c>
      <c r="AA619" s="7" t="str">
        <f t="shared" si="59"/>
        <v>High Margin</v>
      </c>
    </row>
    <row r="620" spans="1:27" x14ac:dyDescent="0.25">
      <c r="A620" t="s">
        <v>123</v>
      </c>
      <c r="B620">
        <v>82</v>
      </c>
      <c r="C620">
        <v>16</v>
      </c>
      <c r="D620" s="1">
        <v>41800</v>
      </c>
      <c r="E620">
        <v>601</v>
      </c>
      <c r="F620">
        <v>102</v>
      </c>
      <c r="G620" t="s">
        <v>39</v>
      </c>
      <c r="H620" t="s">
        <v>29</v>
      </c>
      <c r="I620">
        <v>31</v>
      </c>
      <c r="J620" t="s">
        <v>23</v>
      </c>
      <c r="K620" t="s">
        <v>24</v>
      </c>
      <c r="L620" t="s">
        <v>25</v>
      </c>
      <c r="M620">
        <v>56</v>
      </c>
      <c r="N620">
        <v>196</v>
      </c>
      <c r="O620" t="s">
        <v>55</v>
      </c>
      <c r="P620">
        <v>70</v>
      </c>
      <c r="Q620">
        <v>100</v>
      </c>
      <c r="R620">
        <v>40</v>
      </c>
      <c r="S620">
        <v>170</v>
      </c>
      <c r="T620">
        <v>64</v>
      </c>
      <c r="U620" t="s">
        <v>27</v>
      </c>
      <c r="V620">
        <f t="shared" si="54"/>
        <v>0.2857142857142857</v>
      </c>
      <c r="W620">
        <f t="shared" si="55"/>
        <v>16</v>
      </c>
      <c r="X620">
        <f t="shared" si="56"/>
        <v>26</v>
      </c>
      <c r="Y620">
        <f t="shared" si="57"/>
        <v>0.41836734693877553</v>
      </c>
      <c r="Z620" s="7" t="str">
        <f t="shared" si="58"/>
        <v>Low Sales</v>
      </c>
      <c r="AA620" s="7" t="str">
        <f t="shared" si="59"/>
        <v>High Margin</v>
      </c>
    </row>
    <row r="621" spans="1:27" x14ac:dyDescent="0.25">
      <c r="A621" t="s">
        <v>115</v>
      </c>
      <c r="B621">
        <v>94</v>
      </c>
      <c r="C621">
        <v>2</v>
      </c>
      <c r="D621" s="1">
        <v>41801</v>
      </c>
      <c r="E621">
        <v>694</v>
      </c>
      <c r="F621">
        <v>130</v>
      </c>
      <c r="G621" t="s">
        <v>39</v>
      </c>
      <c r="H621" t="s">
        <v>29</v>
      </c>
      <c r="I621">
        <v>85</v>
      </c>
      <c r="J621" t="s">
        <v>23</v>
      </c>
      <c r="K621" t="s">
        <v>24</v>
      </c>
      <c r="L621" t="s">
        <v>25</v>
      </c>
      <c r="M621">
        <v>22</v>
      </c>
      <c r="N621">
        <v>239</v>
      </c>
      <c r="O621" t="s">
        <v>47</v>
      </c>
      <c r="P621">
        <v>80</v>
      </c>
      <c r="Q621">
        <v>120</v>
      </c>
      <c r="R621">
        <v>20</v>
      </c>
      <c r="S621">
        <v>200</v>
      </c>
      <c r="T621">
        <v>115</v>
      </c>
      <c r="U621" t="s">
        <v>27</v>
      </c>
      <c r="V621">
        <f t="shared" si="54"/>
        <v>9.2050209205020925E-2</v>
      </c>
      <c r="W621">
        <f t="shared" si="55"/>
        <v>2</v>
      </c>
      <c r="X621">
        <f t="shared" si="56"/>
        <v>39</v>
      </c>
      <c r="Y621">
        <f t="shared" si="57"/>
        <v>0.39330543933054396</v>
      </c>
      <c r="Z621" s="7" t="str">
        <f t="shared" si="58"/>
        <v>Low Sales</v>
      </c>
      <c r="AA621" s="7" t="str">
        <f t="shared" si="59"/>
        <v>High Margin</v>
      </c>
    </row>
    <row r="622" spans="1:27" x14ac:dyDescent="0.25">
      <c r="A622" t="s">
        <v>70</v>
      </c>
      <c r="B622">
        <v>241</v>
      </c>
      <c r="C622">
        <v>39</v>
      </c>
      <c r="D622" s="1">
        <v>41802</v>
      </c>
      <c r="E622">
        <v>1321</v>
      </c>
      <c r="F622">
        <v>284</v>
      </c>
      <c r="G622" t="s">
        <v>21</v>
      </c>
      <c r="H622" t="s">
        <v>29</v>
      </c>
      <c r="I622">
        <v>74</v>
      </c>
      <c r="J622" t="s">
        <v>40</v>
      </c>
      <c r="K622" t="s">
        <v>45</v>
      </c>
      <c r="L622" t="s">
        <v>52</v>
      </c>
      <c r="M622">
        <v>279</v>
      </c>
      <c r="N622">
        <v>559</v>
      </c>
      <c r="O622" t="s">
        <v>30</v>
      </c>
      <c r="P622">
        <v>280</v>
      </c>
      <c r="Q622">
        <v>340</v>
      </c>
      <c r="R622">
        <v>240</v>
      </c>
      <c r="S622">
        <v>620</v>
      </c>
      <c r="T622">
        <v>96</v>
      </c>
      <c r="U622" t="s">
        <v>35</v>
      </c>
      <c r="V622">
        <f t="shared" si="54"/>
        <v>0.49910554561717352</v>
      </c>
      <c r="W622">
        <f t="shared" si="55"/>
        <v>39</v>
      </c>
      <c r="X622">
        <f t="shared" si="56"/>
        <v>-61</v>
      </c>
      <c r="Y622">
        <f t="shared" si="57"/>
        <v>0.43112701252236135</v>
      </c>
      <c r="Z622" s="7" t="str">
        <f t="shared" si="58"/>
        <v>High Sales</v>
      </c>
      <c r="AA622" s="7" t="str">
        <f t="shared" si="59"/>
        <v>High Margin</v>
      </c>
    </row>
    <row r="623" spans="1:27" x14ac:dyDescent="0.25">
      <c r="A623" t="s">
        <v>118</v>
      </c>
      <c r="B623">
        <v>123</v>
      </c>
      <c r="C623">
        <v>87</v>
      </c>
      <c r="D623" s="1">
        <v>41803</v>
      </c>
      <c r="E623">
        <v>959</v>
      </c>
      <c r="F623">
        <v>179</v>
      </c>
      <c r="G623" t="s">
        <v>21</v>
      </c>
      <c r="H623" t="s">
        <v>29</v>
      </c>
      <c r="I623">
        <v>34</v>
      </c>
      <c r="J623" t="s">
        <v>40</v>
      </c>
      <c r="K623" t="s">
        <v>41</v>
      </c>
      <c r="L623" t="s">
        <v>53</v>
      </c>
      <c r="M623">
        <v>197</v>
      </c>
      <c r="N623">
        <v>322</v>
      </c>
      <c r="O623" t="s">
        <v>30</v>
      </c>
      <c r="P623">
        <v>90</v>
      </c>
      <c r="Q623">
        <v>140</v>
      </c>
      <c r="R623">
        <v>110</v>
      </c>
      <c r="S623">
        <v>230</v>
      </c>
      <c r="T623">
        <v>46</v>
      </c>
      <c r="U623" t="s">
        <v>35</v>
      </c>
      <c r="V623">
        <f t="shared" si="54"/>
        <v>0.61180124223602483</v>
      </c>
      <c r="W623">
        <f t="shared" si="55"/>
        <v>87</v>
      </c>
      <c r="X623">
        <f t="shared" si="56"/>
        <v>92</v>
      </c>
      <c r="Y623">
        <f t="shared" si="57"/>
        <v>0.38198757763975155</v>
      </c>
      <c r="Z623" s="7" t="str">
        <f t="shared" si="58"/>
        <v>High Sales</v>
      </c>
      <c r="AA623" s="7" t="str">
        <f t="shared" si="59"/>
        <v>High Margin</v>
      </c>
    </row>
    <row r="624" spans="1:27" x14ac:dyDescent="0.25">
      <c r="A624" t="s">
        <v>107</v>
      </c>
      <c r="B624">
        <v>92</v>
      </c>
      <c r="C624">
        <v>-16</v>
      </c>
      <c r="D624" s="1">
        <v>41804</v>
      </c>
      <c r="E624">
        <v>1898</v>
      </c>
      <c r="F624">
        <v>68</v>
      </c>
      <c r="G624" t="s">
        <v>39</v>
      </c>
      <c r="H624" t="s">
        <v>29</v>
      </c>
      <c r="I624">
        <v>28</v>
      </c>
      <c r="J624" t="s">
        <v>40</v>
      </c>
      <c r="K624" t="s">
        <v>45</v>
      </c>
      <c r="L624" t="s">
        <v>46</v>
      </c>
      <c r="M624">
        <v>24</v>
      </c>
      <c r="N624">
        <v>171</v>
      </c>
      <c r="O624" t="s">
        <v>64</v>
      </c>
      <c r="P624">
        <v>100</v>
      </c>
      <c r="Q624">
        <v>90</v>
      </c>
      <c r="R624">
        <v>40</v>
      </c>
      <c r="S624">
        <v>190</v>
      </c>
      <c r="T624">
        <v>52</v>
      </c>
      <c r="U624" t="s">
        <v>27</v>
      </c>
      <c r="V624">
        <f t="shared" si="54"/>
        <v>0.14035087719298245</v>
      </c>
      <c r="W624">
        <f t="shared" si="55"/>
        <v>-16</v>
      </c>
      <c r="X624">
        <f t="shared" si="56"/>
        <v>-19</v>
      </c>
      <c r="Y624">
        <f t="shared" si="57"/>
        <v>0.53801169590643272</v>
      </c>
      <c r="Z624" s="7" t="str">
        <f t="shared" si="58"/>
        <v>Low Sales</v>
      </c>
      <c r="AA624" s="7" t="str">
        <f t="shared" si="59"/>
        <v>High Margin</v>
      </c>
    </row>
    <row r="625" spans="1:27" x14ac:dyDescent="0.25">
      <c r="A625" t="s">
        <v>75</v>
      </c>
      <c r="B625">
        <v>88</v>
      </c>
      <c r="C625">
        <v>47</v>
      </c>
      <c r="D625" s="1">
        <v>41805</v>
      </c>
      <c r="E625">
        <v>817</v>
      </c>
      <c r="F625">
        <v>133</v>
      </c>
      <c r="G625" t="s">
        <v>39</v>
      </c>
      <c r="H625" t="s">
        <v>29</v>
      </c>
      <c r="I625">
        <v>29</v>
      </c>
      <c r="J625" t="s">
        <v>40</v>
      </c>
      <c r="K625" t="s">
        <v>41</v>
      </c>
      <c r="L625" t="s">
        <v>42</v>
      </c>
      <c r="M625">
        <v>107</v>
      </c>
      <c r="N625">
        <v>236</v>
      </c>
      <c r="O625" t="s">
        <v>47</v>
      </c>
      <c r="P625">
        <v>60</v>
      </c>
      <c r="Q625">
        <v>110</v>
      </c>
      <c r="R625">
        <v>60</v>
      </c>
      <c r="S625">
        <v>170</v>
      </c>
      <c r="T625">
        <v>61</v>
      </c>
      <c r="U625" t="s">
        <v>27</v>
      </c>
      <c r="V625">
        <f t="shared" si="54"/>
        <v>0.45338983050847459</v>
      </c>
      <c r="W625">
        <f t="shared" si="55"/>
        <v>47</v>
      </c>
      <c r="X625">
        <f t="shared" si="56"/>
        <v>66</v>
      </c>
      <c r="Y625">
        <f t="shared" si="57"/>
        <v>0.3728813559322034</v>
      </c>
      <c r="Z625" s="7" t="str">
        <f t="shared" si="58"/>
        <v>Low Sales</v>
      </c>
      <c r="AA625" s="7" t="str">
        <f t="shared" si="59"/>
        <v>High Margin</v>
      </c>
    </row>
    <row r="626" spans="1:27" x14ac:dyDescent="0.25">
      <c r="A626" t="s">
        <v>106</v>
      </c>
      <c r="B626">
        <v>49</v>
      </c>
      <c r="C626">
        <v>-2</v>
      </c>
      <c r="D626" s="1">
        <v>41806</v>
      </c>
      <c r="E626">
        <v>845</v>
      </c>
      <c r="F626">
        <v>71</v>
      </c>
      <c r="G626" t="s">
        <v>39</v>
      </c>
      <c r="H626" t="s">
        <v>29</v>
      </c>
      <c r="I626">
        <v>13</v>
      </c>
      <c r="J626" t="s">
        <v>40</v>
      </c>
      <c r="K626" t="s">
        <v>45</v>
      </c>
      <c r="L626" t="s">
        <v>52</v>
      </c>
      <c r="M626">
        <v>68</v>
      </c>
      <c r="N626">
        <v>128</v>
      </c>
      <c r="O626" t="s">
        <v>55</v>
      </c>
      <c r="P626">
        <v>50</v>
      </c>
      <c r="Q626">
        <v>90</v>
      </c>
      <c r="R626">
        <v>70</v>
      </c>
      <c r="S626">
        <v>140</v>
      </c>
      <c r="T626">
        <v>25</v>
      </c>
      <c r="U626" t="s">
        <v>35</v>
      </c>
      <c r="V626">
        <f t="shared" si="54"/>
        <v>0.53125</v>
      </c>
      <c r="W626">
        <f t="shared" si="55"/>
        <v>-2</v>
      </c>
      <c r="X626">
        <f t="shared" si="56"/>
        <v>-12</v>
      </c>
      <c r="Y626">
        <f t="shared" si="57"/>
        <v>0.3828125</v>
      </c>
      <c r="Z626" s="7" t="str">
        <f t="shared" si="58"/>
        <v>Low Sales</v>
      </c>
      <c r="AA626" s="7" t="str">
        <f t="shared" si="59"/>
        <v>High Margin</v>
      </c>
    </row>
    <row r="627" spans="1:27" x14ac:dyDescent="0.25">
      <c r="A627" t="s">
        <v>107</v>
      </c>
      <c r="B627">
        <v>48</v>
      </c>
      <c r="C627">
        <v>-10</v>
      </c>
      <c r="D627" s="1">
        <v>41807</v>
      </c>
      <c r="E627">
        <v>462</v>
      </c>
      <c r="F627">
        <v>74</v>
      </c>
      <c r="G627" t="s">
        <v>39</v>
      </c>
      <c r="H627" t="s">
        <v>29</v>
      </c>
      <c r="I627">
        <v>15</v>
      </c>
      <c r="J627" t="s">
        <v>40</v>
      </c>
      <c r="K627" t="s">
        <v>45</v>
      </c>
      <c r="L627" t="s">
        <v>52</v>
      </c>
      <c r="M627">
        <v>40</v>
      </c>
      <c r="N627">
        <v>130</v>
      </c>
      <c r="O627" t="s">
        <v>64</v>
      </c>
      <c r="P627">
        <v>50</v>
      </c>
      <c r="Q627">
        <v>90</v>
      </c>
      <c r="R627">
        <v>50</v>
      </c>
      <c r="S627">
        <v>140</v>
      </c>
      <c r="T627">
        <v>47</v>
      </c>
      <c r="U627" t="s">
        <v>35</v>
      </c>
      <c r="V627">
        <f t="shared" si="54"/>
        <v>0.30769230769230771</v>
      </c>
      <c r="W627">
        <f t="shared" si="55"/>
        <v>-10</v>
      </c>
      <c r="X627">
        <f t="shared" si="56"/>
        <v>-10</v>
      </c>
      <c r="Y627">
        <f t="shared" si="57"/>
        <v>0.36923076923076925</v>
      </c>
      <c r="Z627" s="7" t="str">
        <f t="shared" si="58"/>
        <v>Low Sales</v>
      </c>
      <c r="AA627" s="7" t="str">
        <f t="shared" si="59"/>
        <v>High Margin</v>
      </c>
    </row>
    <row r="628" spans="1:27" x14ac:dyDescent="0.25">
      <c r="A628" t="s">
        <v>96</v>
      </c>
      <c r="B628">
        <v>81</v>
      </c>
      <c r="C628">
        <v>-2</v>
      </c>
      <c r="D628" s="1">
        <v>41808</v>
      </c>
      <c r="E628">
        <v>551</v>
      </c>
      <c r="F628">
        <v>104</v>
      </c>
      <c r="G628" t="s">
        <v>39</v>
      </c>
      <c r="H628" t="s">
        <v>29</v>
      </c>
      <c r="I628">
        <v>26</v>
      </c>
      <c r="J628" t="s">
        <v>40</v>
      </c>
      <c r="K628" t="s">
        <v>45</v>
      </c>
      <c r="L628" t="s">
        <v>52</v>
      </c>
      <c r="M628">
        <v>98</v>
      </c>
      <c r="N628">
        <v>197</v>
      </c>
      <c r="O628" t="s">
        <v>47</v>
      </c>
      <c r="P628">
        <v>90</v>
      </c>
      <c r="Q628">
        <v>130</v>
      </c>
      <c r="R628">
        <v>100</v>
      </c>
      <c r="S628">
        <v>220</v>
      </c>
      <c r="T628">
        <v>38</v>
      </c>
      <c r="U628" t="s">
        <v>35</v>
      </c>
      <c r="V628">
        <f t="shared" si="54"/>
        <v>0.49746192893401014</v>
      </c>
      <c r="W628">
        <f t="shared" si="55"/>
        <v>-2</v>
      </c>
      <c r="X628">
        <f t="shared" si="56"/>
        <v>-23</v>
      </c>
      <c r="Y628">
        <f t="shared" si="57"/>
        <v>0.41116751269035534</v>
      </c>
      <c r="Z628" s="7" t="str">
        <f t="shared" si="58"/>
        <v>Low Sales</v>
      </c>
      <c r="AA628" s="7" t="str">
        <f t="shared" si="59"/>
        <v>High Margin</v>
      </c>
    </row>
    <row r="629" spans="1:27" x14ac:dyDescent="0.25">
      <c r="A629" t="s">
        <v>107</v>
      </c>
      <c r="B629">
        <v>20</v>
      </c>
      <c r="C629">
        <v>-12</v>
      </c>
      <c r="D629" s="1">
        <v>41809</v>
      </c>
      <c r="E629">
        <v>-598</v>
      </c>
      <c r="F629">
        <v>25</v>
      </c>
      <c r="G629" t="s">
        <v>39</v>
      </c>
      <c r="H629" t="s">
        <v>29</v>
      </c>
      <c r="I629">
        <v>7</v>
      </c>
      <c r="J629" t="s">
        <v>40</v>
      </c>
      <c r="K629" t="s">
        <v>41</v>
      </c>
      <c r="L629" t="s">
        <v>54</v>
      </c>
      <c r="M629">
        <v>-22</v>
      </c>
      <c r="N629">
        <v>48</v>
      </c>
      <c r="O629" t="s">
        <v>64</v>
      </c>
      <c r="P629">
        <v>10</v>
      </c>
      <c r="Q629">
        <v>20</v>
      </c>
      <c r="R629">
        <v>-10</v>
      </c>
      <c r="S629">
        <v>30</v>
      </c>
      <c r="T629">
        <v>40</v>
      </c>
      <c r="U629" t="s">
        <v>35</v>
      </c>
      <c r="V629">
        <f t="shared" si="54"/>
        <v>-0.45833333333333331</v>
      </c>
      <c r="W629">
        <f t="shared" si="55"/>
        <v>-12</v>
      </c>
      <c r="X629">
        <f t="shared" si="56"/>
        <v>18</v>
      </c>
      <c r="Y629">
        <f t="shared" si="57"/>
        <v>0.41666666666666669</v>
      </c>
      <c r="Z629" s="7" t="str">
        <f t="shared" si="58"/>
        <v>Low Sales</v>
      </c>
      <c r="AA629" s="7" t="str">
        <f t="shared" si="59"/>
        <v>Low Margin</v>
      </c>
    </row>
    <row r="630" spans="1:27" x14ac:dyDescent="0.25">
      <c r="A630" t="s">
        <v>75</v>
      </c>
      <c r="B630">
        <v>134</v>
      </c>
      <c r="C630">
        <v>90</v>
      </c>
      <c r="D630" s="1">
        <v>41810</v>
      </c>
      <c r="E630">
        <v>-2248</v>
      </c>
      <c r="F630">
        <v>186</v>
      </c>
      <c r="G630" t="s">
        <v>39</v>
      </c>
      <c r="H630" t="s">
        <v>29</v>
      </c>
      <c r="I630">
        <v>41</v>
      </c>
      <c r="J630" t="s">
        <v>40</v>
      </c>
      <c r="K630" t="s">
        <v>41</v>
      </c>
      <c r="L630" t="s">
        <v>54</v>
      </c>
      <c r="M630">
        <v>180</v>
      </c>
      <c r="N630">
        <v>341</v>
      </c>
      <c r="O630" t="s">
        <v>47</v>
      </c>
      <c r="P630">
        <v>100</v>
      </c>
      <c r="Q630">
        <v>140</v>
      </c>
      <c r="R630">
        <v>90</v>
      </c>
      <c r="S630">
        <v>240</v>
      </c>
      <c r="T630">
        <v>65</v>
      </c>
      <c r="U630" t="s">
        <v>35</v>
      </c>
      <c r="V630">
        <f t="shared" si="54"/>
        <v>0.52785923753665687</v>
      </c>
      <c r="W630">
        <f t="shared" si="55"/>
        <v>90</v>
      </c>
      <c r="X630">
        <f t="shared" si="56"/>
        <v>101</v>
      </c>
      <c r="Y630">
        <f t="shared" si="57"/>
        <v>0.39296187683284456</v>
      </c>
      <c r="Z630" s="7" t="str">
        <f t="shared" si="58"/>
        <v>High Sales</v>
      </c>
      <c r="AA630" s="7" t="str">
        <f t="shared" si="59"/>
        <v>High Margin</v>
      </c>
    </row>
    <row r="631" spans="1:27" x14ac:dyDescent="0.25">
      <c r="A631" t="s">
        <v>106</v>
      </c>
      <c r="B631">
        <v>94</v>
      </c>
      <c r="C631">
        <v>44</v>
      </c>
      <c r="D631" s="1">
        <v>41811</v>
      </c>
      <c r="E631">
        <v>540</v>
      </c>
      <c r="F631">
        <v>120</v>
      </c>
      <c r="G631" t="s">
        <v>39</v>
      </c>
      <c r="H631" t="s">
        <v>29</v>
      </c>
      <c r="I631">
        <v>31</v>
      </c>
      <c r="J631" t="s">
        <v>23</v>
      </c>
      <c r="K631" t="s">
        <v>24</v>
      </c>
      <c r="L631" t="s">
        <v>57</v>
      </c>
      <c r="M631">
        <v>114</v>
      </c>
      <c r="N631">
        <v>228</v>
      </c>
      <c r="O631" t="s">
        <v>55</v>
      </c>
      <c r="P631">
        <v>80</v>
      </c>
      <c r="Q631">
        <v>110</v>
      </c>
      <c r="R631">
        <v>70</v>
      </c>
      <c r="S631">
        <v>190</v>
      </c>
      <c r="T631">
        <v>43</v>
      </c>
      <c r="U631" t="s">
        <v>27</v>
      </c>
      <c r="V631">
        <f t="shared" si="54"/>
        <v>0.5</v>
      </c>
      <c r="W631">
        <f t="shared" si="55"/>
        <v>44</v>
      </c>
      <c r="X631">
        <f t="shared" si="56"/>
        <v>38</v>
      </c>
      <c r="Y631">
        <f t="shared" si="57"/>
        <v>0.41228070175438597</v>
      </c>
      <c r="Z631" s="7" t="str">
        <f t="shared" si="58"/>
        <v>Low Sales</v>
      </c>
      <c r="AA631" s="7" t="str">
        <f t="shared" si="59"/>
        <v>High Margin</v>
      </c>
    </row>
    <row r="632" spans="1:27" x14ac:dyDescent="0.25">
      <c r="A632" t="s">
        <v>107</v>
      </c>
      <c r="B632">
        <v>16</v>
      </c>
      <c r="C632">
        <v>3</v>
      </c>
      <c r="D632" s="1">
        <v>41812</v>
      </c>
      <c r="E632">
        <v>851</v>
      </c>
      <c r="F632">
        <v>25</v>
      </c>
      <c r="G632" t="s">
        <v>39</v>
      </c>
      <c r="H632" t="s">
        <v>29</v>
      </c>
      <c r="I632">
        <v>4</v>
      </c>
      <c r="J632" t="s">
        <v>23</v>
      </c>
      <c r="K632" t="s">
        <v>24</v>
      </c>
      <c r="L632" t="s">
        <v>57</v>
      </c>
      <c r="M632">
        <v>13</v>
      </c>
      <c r="N632">
        <v>44</v>
      </c>
      <c r="O632" t="s">
        <v>64</v>
      </c>
      <c r="P632">
        <v>10</v>
      </c>
      <c r="Q632">
        <v>20</v>
      </c>
      <c r="R632">
        <v>10</v>
      </c>
      <c r="S632">
        <v>30</v>
      </c>
      <c r="T632">
        <v>16</v>
      </c>
      <c r="U632" t="s">
        <v>27</v>
      </c>
      <c r="V632">
        <f t="shared" si="54"/>
        <v>0.29545454545454547</v>
      </c>
      <c r="W632">
        <f t="shared" si="55"/>
        <v>3</v>
      </c>
      <c r="X632">
        <f t="shared" si="56"/>
        <v>14</v>
      </c>
      <c r="Y632">
        <f t="shared" si="57"/>
        <v>0.36363636363636365</v>
      </c>
      <c r="Z632" s="7" t="str">
        <f t="shared" si="58"/>
        <v>Low Sales</v>
      </c>
      <c r="AA632" s="7" t="str">
        <f t="shared" si="59"/>
        <v>High Margin</v>
      </c>
    </row>
    <row r="633" spans="1:27" x14ac:dyDescent="0.25">
      <c r="A633" t="s">
        <v>96</v>
      </c>
      <c r="B633">
        <v>105</v>
      </c>
      <c r="C633">
        <v>0</v>
      </c>
      <c r="D633" s="1">
        <v>41813</v>
      </c>
      <c r="E633">
        <v>716</v>
      </c>
      <c r="F633">
        <v>145</v>
      </c>
      <c r="G633" t="s">
        <v>39</v>
      </c>
      <c r="H633" t="s">
        <v>29</v>
      </c>
      <c r="I633">
        <v>95</v>
      </c>
      <c r="J633" t="s">
        <v>23</v>
      </c>
      <c r="K633" t="s">
        <v>24</v>
      </c>
      <c r="L633" t="s">
        <v>25</v>
      </c>
      <c r="M633">
        <v>30</v>
      </c>
      <c r="N633">
        <v>266</v>
      </c>
      <c r="O633" t="s">
        <v>47</v>
      </c>
      <c r="P633">
        <v>90</v>
      </c>
      <c r="Q633">
        <v>140</v>
      </c>
      <c r="R633">
        <v>30</v>
      </c>
      <c r="S633">
        <v>230</v>
      </c>
      <c r="T633">
        <v>125</v>
      </c>
      <c r="U633" t="s">
        <v>27</v>
      </c>
      <c r="V633">
        <f t="shared" si="54"/>
        <v>0.11278195488721804</v>
      </c>
      <c r="W633">
        <f t="shared" si="55"/>
        <v>0</v>
      </c>
      <c r="X633">
        <f t="shared" si="56"/>
        <v>36</v>
      </c>
      <c r="Y633">
        <f t="shared" si="57"/>
        <v>0.39473684210526316</v>
      </c>
      <c r="Z633" s="7" t="str">
        <f t="shared" si="58"/>
        <v>Low Sales</v>
      </c>
      <c r="AA633" s="7" t="str">
        <f t="shared" si="59"/>
        <v>High Margin</v>
      </c>
    </row>
    <row r="634" spans="1:27" x14ac:dyDescent="0.25">
      <c r="A634" t="s">
        <v>74</v>
      </c>
      <c r="B634">
        <v>125</v>
      </c>
      <c r="C634">
        <v>-15</v>
      </c>
      <c r="D634" s="1">
        <v>41814</v>
      </c>
      <c r="E634">
        <v>1119</v>
      </c>
      <c r="F634">
        <v>188</v>
      </c>
      <c r="G634" t="s">
        <v>39</v>
      </c>
      <c r="H634" t="s">
        <v>31</v>
      </c>
      <c r="I634">
        <v>41</v>
      </c>
      <c r="J634" t="s">
        <v>40</v>
      </c>
      <c r="K634" t="s">
        <v>45</v>
      </c>
      <c r="L634" t="s">
        <v>52</v>
      </c>
      <c r="M634">
        <v>115</v>
      </c>
      <c r="N634">
        <v>313</v>
      </c>
      <c r="O634" t="s">
        <v>44</v>
      </c>
      <c r="P634">
        <v>100</v>
      </c>
      <c r="Q634">
        <v>160</v>
      </c>
      <c r="R634">
        <v>130</v>
      </c>
      <c r="S634">
        <v>260</v>
      </c>
      <c r="T634">
        <v>73</v>
      </c>
      <c r="U634" t="s">
        <v>35</v>
      </c>
      <c r="V634">
        <f t="shared" si="54"/>
        <v>0.36741214057507987</v>
      </c>
      <c r="W634">
        <f t="shared" si="55"/>
        <v>-15</v>
      </c>
      <c r="X634">
        <f t="shared" si="56"/>
        <v>53</v>
      </c>
      <c r="Y634">
        <f t="shared" si="57"/>
        <v>0.39936102236421728</v>
      </c>
      <c r="Z634" s="7" t="str">
        <f t="shared" si="58"/>
        <v>High Sales</v>
      </c>
      <c r="AA634" s="7" t="str">
        <f t="shared" si="59"/>
        <v>High Margin</v>
      </c>
    </row>
    <row r="635" spans="1:27" x14ac:dyDescent="0.25">
      <c r="A635" t="s">
        <v>99</v>
      </c>
      <c r="B635">
        <v>60</v>
      </c>
      <c r="C635">
        <v>-39</v>
      </c>
      <c r="D635" s="1">
        <v>41815</v>
      </c>
      <c r="E635">
        <v>606</v>
      </c>
      <c r="F635">
        <v>84</v>
      </c>
      <c r="G635" t="s">
        <v>39</v>
      </c>
      <c r="H635" t="s">
        <v>31</v>
      </c>
      <c r="I635">
        <v>54</v>
      </c>
      <c r="J635" t="s">
        <v>40</v>
      </c>
      <c r="K635" t="s">
        <v>41</v>
      </c>
      <c r="L635" t="s">
        <v>53</v>
      </c>
      <c r="M635">
        <v>1</v>
      </c>
      <c r="N635">
        <v>144</v>
      </c>
      <c r="O635" t="s">
        <v>44</v>
      </c>
      <c r="P635">
        <v>40</v>
      </c>
      <c r="Q635">
        <v>90</v>
      </c>
      <c r="R635">
        <v>40</v>
      </c>
      <c r="S635">
        <v>130</v>
      </c>
      <c r="T635">
        <v>83</v>
      </c>
      <c r="U635" t="s">
        <v>35</v>
      </c>
      <c r="V635">
        <f t="shared" si="54"/>
        <v>6.9444444444444441E-3</v>
      </c>
      <c r="W635">
        <f t="shared" si="55"/>
        <v>-39</v>
      </c>
      <c r="X635">
        <f t="shared" si="56"/>
        <v>14</v>
      </c>
      <c r="Y635">
        <f t="shared" si="57"/>
        <v>0.41666666666666669</v>
      </c>
      <c r="Z635" s="7" t="str">
        <f t="shared" si="58"/>
        <v>Low Sales</v>
      </c>
      <c r="AA635" s="7" t="str">
        <f t="shared" si="59"/>
        <v>High Margin</v>
      </c>
    </row>
    <row r="636" spans="1:27" x14ac:dyDescent="0.25">
      <c r="A636" t="s">
        <v>99</v>
      </c>
      <c r="B636">
        <v>130</v>
      </c>
      <c r="C636">
        <v>-8</v>
      </c>
      <c r="D636" s="1">
        <v>41816</v>
      </c>
      <c r="E636">
        <v>1134</v>
      </c>
      <c r="F636">
        <v>195</v>
      </c>
      <c r="G636" t="s">
        <v>39</v>
      </c>
      <c r="H636" t="s">
        <v>31</v>
      </c>
      <c r="I636">
        <v>42</v>
      </c>
      <c r="J636" t="s">
        <v>40</v>
      </c>
      <c r="K636" t="s">
        <v>45</v>
      </c>
      <c r="L636" t="s">
        <v>52</v>
      </c>
      <c r="M636">
        <v>122</v>
      </c>
      <c r="N636">
        <v>325</v>
      </c>
      <c r="O636" t="s">
        <v>44</v>
      </c>
      <c r="P636">
        <v>110</v>
      </c>
      <c r="Q636">
        <v>180</v>
      </c>
      <c r="R636">
        <v>130</v>
      </c>
      <c r="S636">
        <v>290</v>
      </c>
      <c r="T636">
        <v>73</v>
      </c>
      <c r="U636" t="s">
        <v>35</v>
      </c>
      <c r="V636">
        <f t="shared" si="54"/>
        <v>0.37538461538461537</v>
      </c>
      <c r="W636">
        <f t="shared" si="55"/>
        <v>-8</v>
      </c>
      <c r="X636">
        <f t="shared" si="56"/>
        <v>35</v>
      </c>
      <c r="Y636">
        <f t="shared" si="57"/>
        <v>0.4</v>
      </c>
      <c r="Z636" s="7" t="str">
        <f t="shared" si="58"/>
        <v>High Sales</v>
      </c>
      <c r="AA636" s="7" t="str">
        <f t="shared" si="59"/>
        <v>High Margin</v>
      </c>
    </row>
    <row r="637" spans="1:27" x14ac:dyDescent="0.25">
      <c r="A637" t="s">
        <v>99</v>
      </c>
      <c r="B637">
        <v>115</v>
      </c>
      <c r="C637">
        <v>-5</v>
      </c>
      <c r="D637" s="1">
        <v>41817</v>
      </c>
      <c r="E637">
        <v>1166</v>
      </c>
      <c r="F637">
        <v>174</v>
      </c>
      <c r="G637" t="s">
        <v>39</v>
      </c>
      <c r="H637" t="s">
        <v>31</v>
      </c>
      <c r="I637">
        <v>37</v>
      </c>
      <c r="J637" t="s">
        <v>40</v>
      </c>
      <c r="K637" t="s">
        <v>45</v>
      </c>
      <c r="L637" t="s">
        <v>52</v>
      </c>
      <c r="M637">
        <v>105</v>
      </c>
      <c r="N637">
        <v>289</v>
      </c>
      <c r="O637" t="s">
        <v>44</v>
      </c>
      <c r="P637">
        <v>100</v>
      </c>
      <c r="Q637">
        <v>160</v>
      </c>
      <c r="R637">
        <v>110</v>
      </c>
      <c r="S637">
        <v>260</v>
      </c>
      <c r="T637">
        <v>69</v>
      </c>
      <c r="U637" t="s">
        <v>35</v>
      </c>
      <c r="V637">
        <f t="shared" si="54"/>
        <v>0.36332179930795849</v>
      </c>
      <c r="W637">
        <f t="shared" si="55"/>
        <v>-5</v>
      </c>
      <c r="X637">
        <f t="shared" si="56"/>
        <v>29</v>
      </c>
      <c r="Y637">
        <f t="shared" si="57"/>
        <v>0.39792387543252594</v>
      </c>
      <c r="Z637" s="7" t="str">
        <f t="shared" si="58"/>
        <v>Low Sales</v>
      </c>
      <c r="AA637" s="7" t="str">
        <f t="shared" si="59"/>
        <v>High Margin</v>
      </c>
    </row>
    <row r="638" spans="1:27" x14ac:dyDescent="0.25">
      <c r="A638" t="s">
        <v>99</v>
      </c>
      <c r="B638">
        <v>125</v>
      </c>
      <c r="C638">
        <v>41</v>
      </c>
      <c r="D638" s="1">
        <v>41818</v>
      </c>
      <c r="E638">
        <v>1119</v>
      </c>
      <c r="F638">
        <v>188</v>
      </c>
      <c r="G638" t="s">
        <v>39</v>
      </c>
      <c r="H638" t="s">
        <v>31</v>
      </c>
      <c r="I638">
        <v>41</v>
      </c>
      <c r="J638" t="s">
        <v>40</v>
      </c>
      <c r="K638" t="s">
        <v>45</v>
      </c>
      <c r="L638" t="s">
        <v>52</v>
      </c>
      <c r="M638">
        <v>171</v>
      </c>
      <c r="N638">
        <v>334</v>
      </c>
      <c r="O638" t="s">
        <v>44</v>
      </c>
      <c r="P638">
        <v>100</v>
      </c>
      <c r="Q638">
        <v>160</v>
      </c>
      <c r="R638">
        <v>130</v>
      </c>
      <c r="S638">
        <v>260</v>
      </c>
      <c r="T638">
        <v>73</v>
      </c>
      <c r="U638" t="s">
        <v>35</v>
      </c>
      <c r="V638">
        <f t="shared" si="54"/>
        <v>0.5119760479041916</v>
      </c>
      <c r="W638">
        <f t="shared" si="55"/>
        <v>41</v>
      </c>
      <c r="X638">
        <f t="shared" si="56"/>
        <v>74</v>
      </c>
      <c r="Y638">
        <f t="shared" si="57"/>
        <v>0.37425149700598803</v>
      </c>
      <c r="Z638" s="7" t="str">
        <f t="shared" si="58"/>
        <v>High Sales</v>
      </c>
      <c r="AA638" s="7" t="str">
        <f t="shared" si="59"/>
        <v>High Margin</v>
      </c>
    </row>
    <row r="639" spans="1:27" x14ac:dyDescent="0.25">
      <c r="A639" t="s">
        <v>135</v>
      </c>
      <c r="B639">
        <v>60</v>
      </c>
      <c r="C639">
        <v>-39</v>
      </c>
      <c r="D639" s="1">
        <v>41819</v>
      </c>
      <c r="E639">
        <v>606</v>
      </c>
      <c r="F639">
        <v>84</v>
      </c>
      <c r="G639" t="s">
        <v>39</v>
      </c>
      <c r="H639" t="s">
        <v>31</v>
      </c>
      <c r="I639">
        <v>54</v>
      </c>
      <c r="J639" t="s">
        <v>40</v>
      </c>
      <c r="K639" t="s">
        <v>41</v>
      </c>
      <c r="L639" t="s">
        <v>53</v>
      </c>
      <c r="M639">
        <v>1</v>
      </c>
      <c r="N639">
        <v>153</v>
      </c>
      <c r="O639" t="s">
        <v>44</v>
      </c>
      <c r="P639">
        <v>40</v>
      </c>
      <c r="Q639">
        <v>90</v>
      </c>
      <c r="R639">
        <v>40</v>
      </c>
      <c r="S639">
        <v>130</v>
      </c>
      <c r="T639">
        <v>83</v>
      </c>
      <c r="U639" t="s">
        <v>35</v>
      </c>
      <c r="V639">
        <f t="shared" si="54"/>
        <v>6.5359477124183009E-3</v>
      </c>
      <c r="W639">
        <f t="shared" si="55"/>
        <v>-39</v>
      </c>
      <c r="X639">
        <f t="shared" si="56"/>
        <v>23</v>
      </c>
      <c r="Y639">
        <f t="shared" si="57"/>
        <v>0.39215686274509803</v>
      </c>
      <c r="Z639" s="7" t="str">
        <f t="shared" si="58"/>
        <v>Low Sales</v>
      </c>
      <c r="AA639" s="7" t="str">
        <f t="shared" si="59"/>
        <v>High Margin</v>
      </c>
    </row>
    <row r="640" spans="1:27" x14ac:dyDescent="0.25">
      <c r="A640" t="s">
        <v>99</v>
      </c>
      <c r="B640">
        <v>130</v>
      </c>
      <c r="C640">
        <v>51</v>
      </c>
      <c r="D640" s="1">
        <v>41820</v>
      </c>
      <c r="E640">
        <v>1134</v>
      </c>
      <c r="F640">
        <v>195</v>
      </c>
      <c r="G640" t="s">
        <v>39</v>
      </c>
      <c r="H640" t="s">
        <v>31</v>
      </c>
      <c r="I640">
        <v>42</v>
      </c>
      <c r="J640" t="s">
        <v>40</v>
      </c>
      <c r="K640" t="s">
        <v>45</v>
      </c>
      <c r="L640" t="s">
        <v>52</v>
      </c>
      <c r="M640">
        <v>181</v>
      </c>
      <c r="N640">
        <v>346</v>
      </c>
      <c r="O640" t="s">
        <v>44</v>
      </c>
      <c r="P640">
        <v>110</v>
      </c>
      <c r="Q640">
        <v>180</v>
      </c>
      <c r="R640">
        <v>130</v>
      </c>
      <c r="S640">
        <v>290</v>
      </c>
      <c r="T640">
        <v>73</v>
      </c>
      <c r="U640" t="s">
        <v>35</v>
      </c>
      <c r="V640">
        <f t="shared" si="54"/>
        <v>0.52312138728323698</v>
      </c>
      <c r="W640">
        <f t="shared" si="55"/>
        <v>51</v>
      </c>
      <c r="X640">
        <f t="shared" si="56"/>
        <v>56</v>
      </c>
      <c r="Y640">
        <f t="shared" si="57"/>
        <v>0.37572254335260113</v>
      </c>
      <c r="Z640" s="7" t="str">
        <f t="shared" si="58"/>
        <v>High Sales</v>
      </c>
      <c r="AA640" s="7" t="str">
        <f t="shared" si="59"/>
        <v>High Margin</v>
      </c>
    </row>
    <row r="641" spans="1:27" x14ac:dyDescent="0.25">
      <c r="A641" t="s">
        <v>135</v>
      </c>
      <c r="B641">
        <v>115</v>
      </c>
      <c r="C641">
        <v>46</v>
      </c>
      <c r="D641" s="1">
        <v>41821</v>
      </c>
      <c r="E641">
        <v>1166</v>
      </c>
      <c r="F641">
        <v>174</v>
      </c>
      <c r="G641" t="s">
        <v>39</v>
      </c>
      <c r="H641" t="s">
        <v>31</v>
      </c>
      <c r="I641">
        <v>37</v>
      </c>
      <c r="J641" t="s">
        <v>40</v>
      </c>
      <c r="K641" t="s">
        <v>45</v>
      </c>
      <c r="L641" t="s">
        <v>52</v>
      </c>
      <c r="M641">
        <v>156</v>
      </c>
      <c r="N641">
        <v>308</v>
      </c>
      <c r="O641" t="s">
        <v>44</v>
      </c>
      <c r="P641">
        <v>100</v>
      </c>
      <c r="Q641">
        <v>160</v>
      </c>
      <c r="R641">
        <v>110</v>
      </c>
      <c r="S641">
        <v>260</v>
      </c>
      <c r="T641">
        <v>69</v>
      </c>
      <c r="U641" t="s">
        <v>35</v>
      </c>
      <c r="V641">
        <f t="shared" si="54"/>
        <v>0.50649350649350644</v>
      </c>
      <c r="W641">
        <f t="shared" si="55"/>
        <v>46</v>
      </c>
      <c r="X641">
        <f t="shared" si="56"/>
        <v>48</v>
      </c>
      <c r="Y641">
        <f t="shared" si="57"/>
        <v>0.37337662337662336</v>
      </c>
      <c r="Z641" s="7" t="str">
        <f t="shared" si="58"/>
        <v>High Sales</v>
      </c>
      <c r="AA641" s="7" t="str">
        <f t="shared" si="59"/>
        <v>High Margin</v>
      </c>
    </row>
    <row r="642" spans="1:27" x14ac:dyDescent="0.25">
      <c r="A642" t="s">
        <v>103</v>
      </c>
      <c r="B642">
        <v>91</v>
      </c>
      <c r="C642">
        <v>-14</v>
      </c>
      <c r="D642" s="1">
        <v>41822</v>
      </c>
      <c r="E642">
        <v>656</v>
      </c>
      <c r="F642">
        <v>127</v>
      </c>
      <c r="G642" t="s">
        <v>21</v>
      </c>
      <c r="H642" t="s">
        <v>31</v>
      </c>
      <c r="I642">
        <v>28</v>
      </c>
      <c r="J642" t="s">
        <v>40</v>
      </c>
      <c r="K642" t="s">
        <v>45</v>
      </c>
      <c r="L642" t="s">
        <v>46</v>
      </c>
      <c r="M642">
        <v>76</v>
      </c>
      <c r="N642">
        <v>218</v>
      </c>
      <c r="O642" t="s">
        <v>34</v>
      </c>
      <c r="P642">
        <v>70</v>
      </c>
      <c r="Q642">
        <v>110</v>
      </c>
      <c r="R642">
        <v>90</v>
      </c>
      <c r="S642">
        <v>180</v>
      </c>
      <c r="T642">
        <v>51</v>
      </c>
      <c r="U642" t="s">
        <v>27</v>
      </c>
      <c r="V642">
        <f t="shared" ref="V642:V705" si="60">M642/N642</f>
        <v>0.34862385321100919</v>
      </c>
      <c r="W642">
        <f t="shared" ref="W642:W705" si="61">M642-R642</f>
        <v>-14</v>
      </c>
      <c r="X642">
        <f t="shared" ref="X642:X705" si="62">N642-S642</f>
        <v>38</v>
      </c>
      <c r="Y642">
        <f t="shared" ref="Y642:Y705" si="63">B642/N642</f>
        <v>0.41743119266055045</v>
      </c>
      <c r="Z642" s="7" t="str">
        <f t="shared" ref="Z642:Z705" si="64">IF(N642&gt;=AVERAGE(N642:N1703),"High Sales","Low Sales")</f>
        <v>Low Sales</v>
      </c>
      <c r="AA642" s="7" t="str">
        <f t="shared" ref="AA642:AA705" si="65">IF(V642&gt;=AVERAGE(V642:V1703), "High Margin", "Low Margin")</f>
        <v>High Margin</v>
      </c>
    </row>
    <row r="643" spans="1:27" x14ac:dyDescent="0.25">
      <c r="A643" t="s">
        <v>190</v>
      </c>
      <c r="B643">
        <v>86</v>
      </c>
      <c r="C643">
        <v>-30</v>
      </c>
      <c r="D643" s="1">
        <v>41823</v>
      </c>
      <c r="E643">
        <v>547</v>
      </c>
      <c r="F643">
        <v>116</v>
      </c>
      <c r="G643" t="s">
        <v>21</v>
      </c>
      <c r="H643" t="s">
        <v>31</v>
      </c>
      <c r="I643">
        <v>28</v>
      </c>
      <c r="J643" t="s">
        <v>40</v>
      </c>
      <c r="K643" t="s">
        <v>41</v>
      </c>
      <c r="L643" t="s">
        <v>42</v>
      </c>
      <c r="M643">
        <v>60</v>
      </c>
      <c r="N643">
        <v>202</v>
      </c>
      <c r="O643" t="s">
        <v>34</v>
      </c>
      <c r="P643">
        <v>70</v>
      </c>
      <c r="Q643">
        <v>110</v>
      </c>
      <c r="R643">
        <v>90</v>
      </c>
      <c r="S643">
        <v>180</v>
      </c>
      <c r="T643">
        <v>56</v>
      </c>
      <c r="U643" t="s">
        <v>27</v>
      </c>
      <c r="V643">
        <f t="shared" si="60"/>
        <v>0.29702970297029702</v>
      </c>
      <c r="W643">
        <f t="shared" si="61"/>
        <v>-30</v>
      </c>
      <c r="X643">
        <f t="shared" si="62"/>
        <v>22</v>
      </c>
      <c r="Y643">
        <f t="shared" si="63"/>
        <v>0.42574257425742573</v>
      </c>
      <c r="Z643" s="7" t="str">
        <f t="shared" si="64"/>
        <v>Low Sales</v>
      </c>
      <c r="AA643" s="7" t="str">
        <f t="shared" si="65"/>
        <v>High Margin</v>
      </c>
    </row>
    <row r="644" spans="1:27" x14ac:dyDescent="0.25">
      <c r="A644" t="s">
        <v>127</v>
      </c>
      <c r="B644">
        <v>82</v>
      </c>
      <c r="C644">
        <v>-26</v>
      </c>
      <c r="D644" s="1">
        <v>41824</v>
      </c>
      <c r="E644">
        <v>788</v>
      </c>
      <c r="F644">
        <v>123</v>
      </c>
      <c r="G644" t="s">
        <v>21</v>
      </c>
      <c r="H644" t="s">
        <v>31</v>
      </c>
      <c r="I644">
        <v>27</v>
      </c>
      <c r="J644" t="s">
        <v>40</v>
      </c>
      <c r="K644" t="s">
        <v>45</v>
      </c>
      <c r="L644" t="s">
        <v>52</v>
      </c>
      <c r="M644">
        <v>64</v>
      </c>
      <c r="N644">
        <v>205</v>
      </c>
      <c r="O644" t="s">
        <v>34</v>
      </c>
      <c r="P644">
        <v>60</v>
      </c>
      <c r="Q644">
        <v>110</v>
      </c>
      <c r="R644">
        <v>90</v>
      </c>
      <c r="S644">
        <v>170</v>
      </c>
      <c r="T644">
        <v>59</v>
      </c>
      <c r="U644" t="s">
        <v>35</v>
      </c>
      <c r="V644">
        <f t="shared" si="60"/>
        <v>0.31219512195121951</v>
      </c>
      <c r="W644">
        <f t="shared" si="61"/>
        <v>-26</v>
      </c>
      <c r="X644">
        <f t="shared" si="62"/>
        <v>35</v>
      </c>
      <c r="Y644">
        <f t="shared" si="63"/>
        <v>0.4</v>
      </c>
      <c r="Z644" s="7" t="str">
        <f t="shared" si="64"/>
        <v>Low Sales</v>
      </c>
      <c r="AA644" s="7" t="str">
        <f t="shared" si="65"/>
        <v>High Margin</v>
      </c>
    </row>
    <row r="645" spans="1:27" x14ac:dyDescent="0.25">
      <c r="A645" t="s">
        <v>152</v>
      </c>
      <c r="B645">
        <v>72</v>
      </c>
      <c r="C645">
        <v>18</v>
      </c>
      <c r="D645" s="1">
        <v>41825</v>
      </c>
      <c r="E645">
        <v>-3004</v>
      </c>
      <c r="F645">
        <v>402</v>
      </c>
      <c r="G645" t="s">
        <v>21</v>
      </c>
      <c r="H645" t="s">
        <v>31</v>
      </c>
      <c r="I645">
        <v>23</v>
      </c>
      <c r="J645" t="s">
        <v>40</v>
      </c>
      <c r="K645" t="s">
        <v>45</v>
      </c>
      <c r="L645" t="s">
        <v>52</v>
      </c>
      <c r="M645">
        <v>348</v>
      </c>
      <c r="N645">
        <v>474</v>
      </c>
      <c r="O645" t="s">
        <v>62</v>
      </c>
      <c r="P645">
        <v>50</v>
      </c>
      <c r="Q645">
        <v>350</v>
      </c>
      <c r="R645">
        <v>330</v>
      </c>
      <c r="S645">
        <v>400</v>
      </c>
      <c r="T645">
        <v>54</v>
      </c>
      <c r="U645" t="s">
        <v>35</v>
      </c>
      <c r="V645">
        <f t="shared" si="60"/>
        <v>0.73417721518987344</v>
      </c>
      <c r="W645">
        <f t="shared" si="61"/>
        <v>18</v>
      </c>
      <c r="X645">
        <f t="shared" si="62"/>
        <v>74</v>
      </c>
      <c r="Y645">
        <f t="shared" si="63"/>
        <v>0.15189873417721519</v>
      </c>
      <c r="Z645" s="7" t="str">
        <f t="shared" si="64"/>
        <v>High Sales</v>
      </c>
      <c r="AA645" s="7" t="str">
        <f t="shared" si="65"/>
        <v>High Margin</v>
      </c>
    </row>
    <row r="646" spans="1:27" x14ac:dyDescent="0.25">
      <c r="A646" t="s">
        <v>191</v>
      </c>
      <c r="B646">
        <v>260</v>
      </c>
      <c r="C646">
        <v>17</v>
      </c>
      <c r="D646" s="1">
        <v>41826</v>
      </c>
      <c r="E646">
        <v>2548</v>
      </c>
      <c r="F646">
        <v>390</v>
      </c>
      <c r="G646" t="s">
        <v>21</v>
      </c>
      <c r="H646" t="s">
        <v>31</v>
      </c>
      <c r="I646">
        <v>91</v>
      </c>
      <c r="J646" t="s">
        <v>40</v>
      </c>
      <c r="K646" t="s">
        <v>45</v>
      </c>
      <c r="L646" t="s">
        <v>52</v>
      </c>
      <c r="M646">
        <v>247</v>
      </c>
      <c r="N646">
        <v>650</v>
      </c>
      <c r="O646" t="s">
        <v>67</v>
      </c>
      <c r="P646">
        <v>210</v>
      </c>
      <c r="Q646">
        <v>330</v>
      </c>
      <c r="R646">
        <v>230</v>
      </c>
      <c r="S646">
        <v>540</v>
      </c>
      <c r="T646">
        <v>143</v>
      </c>
      <c r="U646" t="s">
        <v>35</v>
      </c>
      <c r="V646">
        <f t="shared" si="60"/>
        <v>0.38</v>
      </c>
      <c r="W646">
        <f t="shared" si="61"/>
        <v>17</v>
      </c>
      <c r="X646">
        <f t="shared" si="62"/>
        <v>110</v>
      </c>
      <c r="Y646">
        <f t="shared" si="63"/>
        <v>0.4</v>
      </c>
      <c r="Z646" s="7" t="str">
        <f t="shared" si="64"/>
        <v>High Sales</v>
      </c>
      <c r="AA646" s="7" t="str">
        <f t="shared" si="65"/>
        <v>High Margin</v>
      </c>
    </row>
    <row r="647" spans="1:27" x14ac:dyDescent="0.25">
      <c r="A647" t="s">
        <v>190</v>
      </c>
      <c r="B647">
        <v>96</v>
      </c>
      <c r="C647">
        <v>-32</v>
      </c>
      <c r="D647" s="1">
        <v>41827</v>
      </c>
      <c r="E647">
        <v>683</v>
      </c>
      <c r="F647">
        <v>134</v>
      </c>
      <c r="G647" t="s">
        <v>21</v>
      </c>
      <c r="H647" t="s">
        <v>31</v>
      </c>
      <c r="I647">
        <v>87</v>
      </c>
      <c r="J647" t="s">
        <v>40</v>
      </c>
      <c r="K647" t="s">
        <v>41</v>
      </c>
      <c r="L647" t="s">
        <v>53</v>
      </c>
      <c r="M647">
        <v>18</v>
      </c>
      <c r="N647">
        <v>230</v>
      </c>
      <c r="O647" t="s">
        <v>34</v>
      </c>
      <c r="P647">
        <v>80</v>
      </c>
      <c r="Q647">
        <v>130</v>
      </c>
      <c r="R647">
        <v>50</v>
      </c>
      <c r="S647">
        <v>210</v>
      </c>
      <c r="T647">
        <v>116</v>
      </c>
      <c r="U647" t="s">
        <v>35</v>
      </c>
      <c r="V647">
        <f t="shared" si="60"/>
        <v>7.8260869565217397E-2</v>
      </c>
      <c r="W647">
        <f t="shared" si="61"/>
        <v>-32</v>
      </c>
      <c r="X647">
        <f t="shared" si="62"/>
        <v>20</v>
      </c>
      <c r="Y647">
        <f t="shared" si="63"/>
        <v>0.41739130434782606</v>
      </c>
      <c r="Z647" s="7" t="str">
        <f t="shared" si="64"/>
        <v>Low Sales</v>
      </c>
      <c r="AA647" s="7" t="str">
        <f t="shared" si="65"/>
        <v>High Margin</v>
      </c>
    </row>
    <row r="648" spans="1:27" x14ac:dyDescent="0.25">
      <c r="A648" t="s">
        <v>192</v>
      </c>
      <c r="B648">
        <v>125</v>
      </c>
      <c r="C648">
        <v>-32</v>
      </c>
      <c r="D648" s="1">
        <v>41828</v>
      </c>
      <c r="E648">
        <v>3142</v>
      </c>
      <c r="F648">
        <v>-56</v>
      </c>
      <c r="G648" t="s">
        <v>21</v>
      </c>
      <c r="H648" t="s">
        <v>31</v>
      </c>
      <c r="I648">
        <v>113</v>
      </c>
      <c r="J648" t="s">
        <v>40</v>
      </c>
      <c r="K648" t="s">
        <v>41</v>
      </c>
      <c r="L648" t="s">
        <v>53</v>
      </c>
      <c r="M648">
        <v>-202</v>
      </c>
      <c r="N648">
        <v>69</v>
      </c>
      <c r="O648" t="s">
        <v>67</v>
      </c>
      <c r="P648">
        <v>110</v>
      </c>
      <c r="Q648">
        <v>-60</v>
      </c>
      <c r="R648">
        <v>-170</v>
      </c>
      <c r="S648">
        <v>50</v>
      </c>
      <c r="T648">
        <v>146</v>
      </c>
      <c r="U648" t="s">
        <v>35</v>
      </c>
      <c r="V648">
        <f t="shared" si="60"/>
        <v>-2.9275362318840581</v>
      </c>
      <c r="W648">
        <f t="shared" si="61"/>
        <v>-32</v>
      </c>
      <c r="X648">
        <f t="shared" si="62"/>
        <v>19</v>
      </c>
      <c r="Y648">
        <f t="shared" si="63"/>
        <v>1.8115942028985508</v>
      </c>
      <c r="Z648" s="7" t="str">
        <f t="shared" si="64"/>
        <v>Low Sales</v>
      </c>
      <c r="AA648" s="7" t="str">
        <f t="shared" si="65"/>
        <v>Low Margin</v>
      </c>
    </row>
    <row r="649" spans="1:27" x14ac:dyDescent="0.25">
      <c r="A649" t="s">
        <v>176</v>
      </c>
      <c r="B649">
        <v>161</v>
      </c>
      <c r="C649">
        <v>-28</v>
      </c>
      <c r="D649" s="1">
        <v>41829</v>
      </c>
      <c r="E649">
        <v>1267</v>
      </c>
      <c r="F649">
        <v>161</v>
      </c>
      <c r="G649" t="s">
        <v>21</v>
      </c>
      <c r="H649" t="s">
        <v>31</v>
      </c>
      <c r="I649">
        <v>45</v>
      </c>
      <c r="J649" t="s">
        <v>40</v>
      </c>
      <c r="K649" t="s">
        <v>41</v>
      </c>
      <c r="L649" t="s">
        <v>66</v>
      </c>
      <c r="M649">
        <v>92</v>
      </c>
      <c r="N649">
        <v>322</v>
      </c>
      <c r="O649" t="s">
        <v>62</v>
      </c>
      <c r="P649">
        <v>140</v>
      </c>
      <c r="Q649">
        <v>160</v>
      </c>
      <c r="R649">
        <v>120</v>
      </c>
      <c r="S649">
        <v>300</v>
      </c>
      <c r="T649">
        <v>69</v>
      </c>
      <c r="U649" t="s">
        <v>35</v>
      </c>
      <c r="V649">
        <f t="shared" si="60"/>
        <v>0.2857142857142857</v>
      </c>
      <c r="W649">
        <f t="shared" si="61"/>
        <v>-28</v>
      </c>
      <c r="X649">
        <f t="shared" si="62"/>
        <v>22</v>
      </c>
      <c r="Y649">
        <f t="shared" si="63"/>
        <v>0.5</v>
      </c>
      <c r="Z649" s="7" t="str">
        <f t="shared" si="64"/>
        <v>High Sales</v>
      </c>
      <c r="AA649" s="7" t="str">
        <f t="shared" si="65"/>
        <v>High Margin</v>
      </c>
    </row>
    <row r="650" spans="1:27" x14ac:dyDescent="0.25">
      <c r="A650" t="s">
        <v>168</v>
      </c>
      <c r="B650">
        <v>239</v>
      </c>
      <c r="C650">
        <v>-15</v>
      </c>
      <c r="D650" s="1">
        <v>41830</v>
      </c>
      <c r="E650">
        <v>1197</v>
      </c>
      <c r="F650">
        <v>526</v>
      </c>
      <c r="G650" t="s">
        <v>21</v>
      </c>
      <c r="H650" t="s">
        <v>31</v>
      </c>
      <c r="I650">
        <v>66</v>
      </c>
      <c r="J650" t="s">
        <v>40</v>
      </c>
      <c r="K650" t="s">
        <v>41</v>
      </c>
      <c r="L650" t="s">
        <v>66</v>
      </c>
      <c r="M650">
        <v>435</v>
      </c>
      <c r="N650">
        <v>765</v>
      </c>
      <c r="O650" t="s">
        <v>67</v>
      </c>
      <c r="P650">
        <v>210</v>
      </c>
      <c r="Q650">
        <v>510</v>
      </c>
      <c r="R650">
        <v>450</v>
      </c>
      <c r="S650">
        <v>720</v>
      </c>
      <c r="T650">
        <v>91</v>
      </c>
      <c r="U650" t="s">
        <v>35</v>
      </c>
      <c r="V650">
        <f t="shared" si="60"/>
        <v>0.56862745098039214</v>
      </c>
      <c r="W650">
        <f t="shared" si="61"/>
        <v>-15</v>
      </c>
      <c r="X650">
        <f t="shared" si="62"/>
        <v>45</v>
      </c>
      <c r="Y650">
        <f t="shared" si="63"/>
        <v>0.31241830065359477</v>
      </c>
      <c r="Z650" s="7" t="str">
        <f t="shared" si="64"/>
        <v>High Sales</v>
      </c>
      <c r="AA650" s="7" t="str">
        <f t="shared" si="65"/>
        <v>High Margin</v>
      </c>
    </row>
    <row r="651" spans="1:27" x14ac:dyDescent="0.25">
      <c r="A651" t="s">
        <v>193</v>
      </c>
      <c r="B651">
        <v>22</v>
      </c>
      <c r="C651">
        <v>-10</v>
      </c>
      <c r="D651" s="1">
        <v>41831</v>
      </c>
      <c r="E651">
        <v>573</v>
      </c>
      <c r="F651">
        <v>29</v>
      </c>
      <c r="G651" t="s">
        <v>21</v>
      </c>
      <c r="H651" t="s">
        <v>31</v>
      </c>
      <c r="I651">
        <v>7</v>
      </c>
      <c r="J651" t="s">
        <v>23</v>
      </c>
      <c r="K651" t="s">
        <v>24</v>
      </c>
      <c r="L651" t="s">
        <v>57</v>
      </c>
      <c r="M651">
        <v>10</v>
      </c>
      <c r="N651">
        <v>51</v>
      </c>
      <c r="O651" t="s">
        <v>34</v>
      </c>
      <c r="P651">
        <v>0</v>
      </c>
      <c r="Q651">
        <v>20</v>
      </c>
      <c r="R651">
        <v>20</v>
      </c>
      <c r="S651">
        <v>20</v>
      </c>
      <c r="T651">
        <v>19</v>
      </c>
      <c r="U651" t="s">
        <v>27</v>
      </c>
      <c r="V651">
        <f t="shared" si="60"/>
        <v>0.19607843137254902</v>
      </c>
      <c r="W651">
        <f t="shared" si="61"/>
        <v>-10</v>
      </c>
      <c r="X651">
        <f t="shared" si="62"/>
        <v>31</v>
      </c>
      <c r="Y651">
        <f t="shared" si="63"/>
        <v>0.43137254901960786</v>
      </c>
      <c r="Z651" s="7" t="str">
        <f t="shared" si="64"/>
        <v>Low Sales</v>
      </c>
      <c r="AA651" s="7" t="str">
        <f t="shared" si="65"/>
        <v>High Margin</v>
      </c>
    </row>
    <row r="652" spans="1:27" x14ac:dyDescent="0.25">
      <c r="A652" t="s">
        <v>192</v>
      </c>
      <c r="B652">
        <v>255</v>
      </c>
      <c r="C652">
        <v>59</v>
      </c>
      <c r="D652" s="1">
        <v>41832</v>
      </c>
      <c r="E652">
        <v>1622</v>
      </c>
      <c r="F652">
        <v>258</v>
      </c>
      <c r="G652" t="s">
        <v>21</v>
      </c>
      <c r="H652" t="s">
        <v>31</v>
      </c>
      <c r="I652">
        <v>96</v>
      </c>
      <c r="J652" t="s">
        <v>23</v>
      </c>
      <c r="K652" t="s">
        <v>24</v>
      </c>
      <c r="L652" t="s">
        <v>25</v>
      </c>
      <c r="M652">
        <v>129</v>
      </c>
      <c r="N652">
        <v>513</v>
      </c>
      <c r="O652" t="s">
        <v>67</v>
      </c>
      <c r="P652">
        <v>140</v>
      </c>
      <c r="Q652">
        <v>150</v>
      </c>
      <c r="R652">
        <v>70</v>
      </c>
      <c r="S652">
        <v>290</v>
      </c>
      <c r="T652">
        <v>129</v>
      </c>
      <c r="U652" t="s">
        <v>27</v>
      </c>
      <c r="V652">
        <f t="shared" si="60"/>
        <v>0.25146198830409355</v>
      </c>
      <c r="W652">
        <f t="shared" si="61"/>
        <v>59</v>
      </c>
      <c r="X652">
        <f t="shared" si="62"/>
        <v>223</v>
      </c>
      <c r="Y652">
        <f t="shared" si="63"/>
        <v>0.49707602339181284</v>
      </c>
      <c r="Z652" s="7" t="str">
        <f t="shared" si="64"/>
        <v>High Sales</v>
      </c>
      <c r="AA652" s="7" t="str">
        <f t="shared" si="65"/>
        <v>High Margin</v>
      </c>
    </row>
    <row r="653" spans="1:27" x14ac:dyDescent="0.25">
      <c r="A653" t="s">
        <v>191</v>
      </c>
      <c r="B653">
        <v>239</v>
      </c>
      <c r="C653">
        <v>-70</v>
      </c>
      <c r="D653" s="1">
        <v>41833</v>
      </c>
      <c r="E653">
        <v>4360</v>
      </c>
      <c r="F653">
        <v>-75</v>
      </c>
      <c r="G653" t="s">
        <v>21</v>
      </c>
      <c r="H653" t="s">
        <v>31</v>
      </c>
      <c r="I653">
        <v>74</v>
      </c>
      <c r="J653" t="s">
        <v>23</v>
      </c>
      <c r="K653" t="s">
        <v>24</v>
      </c>
      <c r="L653" t="s">
        <v>28</v>
      </c>
      <c r="M653">
        <v>-170</v>
      </c>
      <c r="N653">
        <v>164</v>
      </c>
      <c r="O653" t="s">
        <v>67</v>
      </c>
      <c r="P653">
        <v>130</v>
      </c>
      <c r="Q653">
        <v>-50</v>
      </c>
      <c r="R653">
        <v>-100</v>
      </c>
      <c r="S653">
        <v>80</v>
      </c>
      <c r="T653">
        <v>95</v>
      </c>
      <c r="U653" t="s">
        <v>27</v>
      </c>
      <c r="V653">
        <f t="shared" si="60"/>
        <v>-1.0365853658536586</v>
      </c>
      <c r="W653">
        <f t="shared" si="61"/>
        <v>-70</v>
      </c>
      <c r="X653">
        <f t="shared" si="62"/>
        <v>84</v>
      </c>
      <c r="Y653">
        <f t="shared" si="63"/>
        <v>1.4573170731707317</v>
      </c>
      <c r="Z653" s="7" t="str">
        <f t="shared" si="64"/>
        <v>Low Sales</v>
      </c>
      <c r="AA653" s="7" t="str">
        <f t="shared" si="65"/>
        <v>Low Margin</v>
      </c>
    </row>
    <row r="654" spans="1:27" x14ac:dyDescent="0.25">
      <c r="A654" t="s">
        <v>194</v>
      </c>
      <c r="B654">
        <v>108</v>
      </c>
      <c r="C654">
        <v>-25</v>
      </c>
      <c r="D654" s="1">
        <v>41834</v>
      </c>
      <c r="E654">
        <v>971</v>
      </c>
      <c r="F654">
        <v>157</v>
      </c>
      <c r="G654" t="s">
        <v>21</v>
      </c>
      <c r="H654" t="s">
        <v>31</v>
      </c>
      <c r="I654">
        <v>30</v>
      </c>
      <c r="J654" t="s">
        <v>23</v>
      </c>
      <c r="K654" t="s">
        <v>32</v>
      </c>
      <c r="L654" t="s">
        <v>33</v>
      </c>
      <c r="M654">
        <v>115</v>
      </c>
      <c r="N654">
        <v>265</v>
      </c>
      <c r="O654" t="s">
        <v>67</v>
      </c>
      <c r="P654">
        <v>110</v>
      </c>
      <c r="Q654">
        <v>170</v>
      </c>
      <c r="R654">
        <v>140</v>
      </c>
      <c r="S654">
        <v>280</v>
      </c>
      <c r="T654">
        <v>42</v>
      </c>
      <c r="U654" t="s">
        <v>35</v>
      </c>
      <c r="V654">
        <f t="shared" si="60"/>
        <v>0.43396226415094341</v>
      </c>
      <c r="W654">
        <f t="shared" si="61"/>
        <v>-25</v>
      </c>
      <c r="X654">
        <f t="shared" si="62"/>
        <v>-15</v>
      </c>
      <c r="Y654">
        <f t="shared" si="63"/>
        <v>0.40754716981132078</v>
      </c>
      <c r="Z654" s="7" t="str">
        <f t="shared" si="64"/>
        <v>Low Sales</v>
      </c>
      <c r="AA654" s="7" t="str">
        <f t="shared" si="65"/>
        <v>High Margin</v>
      </c>
    </row>
    <row r="655" spans="1:27" x14ac:dyDescent="0.25">
      <c r="A655" t="s">
        <v>195</v>
      </c>
      <c r="B655">
        <v>123</v>
      </c>
      <c r="C655">
        <v>-26</v>
      </c>
      <c r="D655" s="1">
        <v>41835</v>
      </c>
      <c r="E655">
        <v>915</v>
      </c>
      <c r="F655">
        <v>179</v>
      </c>
      <c r="G655" t="s">
        <v>21</v>
      </c>
      <c r="H655" t="s">
        <v>31</v>
      </c>
      <c r="I655">
        <v>34</v>
      </c>
      <c r="J655" t="s">
        <v>23</v>
      </c>
      <c r="K655" t="s">
        <v>32</v>
      </c>
      <c r="L655" t="s">
        <v>61</v>
      </c>
      <c r="M655">
        <v>134</v>
      </c>
      <c r="N655">
        <v>302</v>
      </c>
      <c r="O655" t="s">
        <v>67</v>
      </c>
      <c r="P655">
        <v>130</v>
      </c>
      <c r="Q655">
        <v>190</v>
      </c>
      <c r="R655">
        <v>160</v>
      </c>
      <c r="S655">
        <v>320</v>
      </c>
      <c r="T655">
        <v>45</v>
      </c>
      <c r="U655" t="s">
        <v>35</v>
      </c>
      <c r="V655">
        <f t="shared" si="60"/>
        <v>0.44370860927152317</v>
      </c>
      <c r="W655">
        <f t="shared" si="61"/>
        <v>-26</v>
      </c>
      <c r="X655">
        <f t="shared" si="62"/>
        <v>-18</v>
      </c>
      <c r="Y655">
        <f t="shared" si="63"/>
        <v>0.40728476821192056</v>
      </c>
      <c r="Z655" s="7" t="str">
        <f t="shared" si="64"/>
        <v>High Sales</v>
      </c>
      <c r="AA655" s="7" t="str">
        <f t="shared" si="65"/>
        <v>High Margin</v>
      </c>
    </row>
    <row r="656" spans="1:27" x14ac:dyDescent="0.25">
      <c r="A656" t="s">
        <v>182</v>
      </c>
      <c r="B656">
        <v>76</v>
      </c>
      <c r="C656">
        <v>-22</v>
      </c>
      <c r="D656" s="1">
        <v>41836</v>
      </c>
      <c r="E656">
        <v>580</v>
      </c>
      <c r="F656">
        <v>111</v>
      </c>
      <c r="G656" t="s">
        <v>21</v>
      </c>
      <c r="H656" t="s">
        <v>31</v>
      </c>
      <c r="I656">
        <v>21</v>
      </c>
      <c r="J656" t="s">
        <v>23</v>
      </c>
      <c r="K656" t="s">
        <v>32</v>
      </c>
      <c r="L656" t="s">
        <v>37</v>
      </c>
      <c r="M656">
        <v>78</v>
      </c>
      <c r="N656">
        <v>187</v>
      </c>
      <c r="O656" t="s">
        <v>67</v>
      </c>
      <c r="P656">
        <v>80</v>
      </c>
      <c r="Q656">
        <v>120</v>
      </c>
      <c r="R656">
        <v>100</v>
      </c>
      <c r="S656">
        <v>200</v>
      </c>
      <c r="T656">
        <v>33</v>
      </c>
      <c r="U656" t="s">
        <v>35</v>
      </c>
      <c r="V656">
        <f t="shared" si="60"/>
        <v>0.41711229946524064</v>
      </c>
      <c r="W656">
        <f t="shared" si="61"/>
        <v>-22</v>
      </c>
      <c r="X656">
        <f t="shared" si="62"/>
        <v>-13</v>
      </c>
      <c r="Y656">
        <f t="shared" si="63"/>
        <v>0.40641711229946526</v>
      </c>
      <c r="Z656" s="7" t="str">
        <f t="shared" si="64"/>
        <v>Low Sales</v>
      </c>
      <c r="AA656" s="7" t="str">
        <f t="shared" si="65"/>
        <v>High Margin</v>
      </c>
    </row>
    <row r="657" spans="1:27" x14ac:dyDescent="0.25">
      <c r="A657" t="s">
        <v>173</v>
      </c>
      <c r="B657">
        <v>102</v>
      </c>
      <c r="C657">
        <v>-1</v>
      </c>
      <c r="D657" s="1">
        <v>41837</v>
      </c>
      <c r="E657">
        <v>666</v>
      </c>
      <c r="F657">
        <v>143</v>
      </c>
      <c r="G657" t="s">
        <v>21</v>
      </c>
      <c r="H657" t="s">
        <v>31</v>
      </c>
      <c r="I657">
        <v>31</v>
      </c>
      <c r="J657" t="s">
        <v>40</v>
      </c>
      <c r="K657" t="s">
        <v>45</v>
      </c>
      <c r="L657" t="s">
        <v>46</v>
      </c>
      <c r="M657">
        <v>89</v>
      </c>
      <c r="N657">
        <v>245</v>
      </c>
      <c r="O657" t="s">
        <v>34</v>
      </c>
      <c r="P657">
        <v>90</v>
      </c>
      <c r="Q657">
        <v>130</v>
      </c>
      <c r="R657">
        <v>90</v>
      </c>
      <c r="S657">
        <v>220</v>
      </c>
      <c r="T657">
        <v>54</v>
      </c>
      <c r="U657" t="s">
        <v>27</v>
      </c>
      <c r="V657">
        <f t="shared" si="60"/>
        <v>0.36326530612244901</v>
      </c>
      <c r="W657">
        <f t="shared" si="61"/>
        <v>-1</v>
      </c>
      <c r="X657">
        <f t="shared" si="62"/>
        <v>25</v>
      </c>
      <c r="Y657">
        <f t="shared" si="63"/>
        <v>0.41632653061224489</v>
      </c>
      <c r="Z657" s="7" t="str">
        <f t="shared" si="64"/>
        <v>Low Sales</v>
      </c>
      <c r="AA657" s="7" t="str">
        <f t="shared" si="65"/>
        <v>High Margin</v>
      </c>
    </row>
    <row r="658" spans="1:27" x14ac:dyDescent="0.25">
      <c r="A658" t="s">
        <v>103</v>
      </c>
      <c r="B658">
        <v>77</v>
      </c>
      <c r="C658">
        <v>-9</v>
      </c>
      <c r="D658" s="1">
        <v>41838</v>
      </c>
      <c r="E658">
        <v>557</v>
      </c>
      <c r="F658">
        <v>103</v>
      </c>
      <c r="G658" t="s">
        <v>21</v>
      </c>
      <c r="H658" t="s">
        <v>31</v>
      </c>
      <c r="I658">
        <v>25</v>
      </c>
      <c r="J658" t="s">
        <v>40</v>
      </c>
      <c r="K658" t="s">
        <v>41</v>
      </c>
      <c r="L658" t="s">
        <v>42</v>
      </c>
      <c r="M658">
        <v>51</v>
      </c>
      <c r="N658">
        <v>180</v>
      </c>
      <c r="O658" t="s">
        <v>34</v>
      </c>
      <c r="P658">
        <v>70</v>
      </c>
      <c r="Q658">
        <v>100</v>
      </c>
      <c r="R658">
        <v>60</v>
      </c>
      <c r="S658">
        <v>170</v>
      </c>
      <c r="T658">
        <v>52</v>
      </c>
      <c r="U658" t="s">
        <v>27</v>
      </c>
      <c r="V658">
        <f t="shared" si="60"/>
        <v>0.28333333333333333</v>
      </c>
      <c r="W658">
        <f t="shared" si="61"/>
        <v>-9</v>
      </c>
      <c r="X658">
        <f t="shared" si="62"/>
        <v>10</v>
      </c>
      <c r="Y658">
        <f t="shared" si="63"/>
        <v>0.42777777777777776</v>
      </c>
      <c r="Z658" s="7" t="str">
        <f t="shared" si="64"/>
        <v>Low Sales</v>
      </c>
      <c r="AA658" s="7" t="str">
        <f t="shared" si="65"/>
        <v>High Margin</v>
      </c>
    </row>
    <row r="659" spans="1:27" x14ac:dyDescent="0.25">
      <c r="A659" t="s">
        <v>196</v>
      </c>
      <c r="B659">
        <v>78</v>
      </c>
      <c r="C659">
        <v>3</v>
      </c>
      <c r="D659" s="1">
        <v>41839</v>
      </c>
      <c r="E659">
        <v>798</v>
      </c>
      <c r="F659">
        <v>119</v>
      </c>
      <c r="G659" t="s">
        <v>21</v>
      </c>
      <c r="H659" t="s">
        <v>31</v>
      </c>
      <c r="I659">
        <v>25</v>
      </c>
      <c r="J659" t="s">
        <v>40</v>
      </c>
      <c r="K659" t="s">
        <v>45</v>
      </c>
      <c r="L659" t="s">
        <v>52</v>
      </c>
      <c r="M659">
        <v>63</v>
      </c>
      <c r="N659">
        <v>197</v>
      </c>
      <c r="O659" t="s">
        <v>34</v>
      </c>
      <c r="P659">
        <v>70</v>
      </c>
      <c r="Q659">
        <v>100</v>
      </c>
      <c r="R659">
        <v>60</v>
      </c>
      <c r="S659">
        <v>170</v>
      </c>
      <c r="T659">
        <v>56</v>
      </c>
      <c r="U659" t="s">
        <v>35</v>
      </c>
      <c r="V659">
        <f t="shared" si="60"/>
        <v>0.31979695431472083</v>
      </c>
      <c r="W659">
        <f t="shared" si="61"/>
        <v>3</v>
      </c>
      <c r="X659">
        <f t="shared" si="62"/>
        <v>27</v>
      </c>
      <c r="Y659">
        <f t="shared" si="63"/>
        <v>0.39593908629441626</v>
      </c>
      <c r="Z659" s="7" t="str">
        <f t="shared" si="64"/>
        <v>Low Sales</v>
      </c>
      <c r="AA659" s="7" t="str">
        <f t="shared" si="65"/>
        <v>High Margin</v>
      </c>
    </row>
    <row r="660" spans="1:27" x14ac:dyDescent="0.25">
      <c r="A660" t="s">
        <v>148</v>
      </c>
      <c r="B660">
        <v>75</v>
      </c>
      <c r="C660">
        <v>24</v>
      </c>
      <c r="D660" s="1">
        <v>41840</v>
      </c>
      <c r="E660">
        <v>-3287</v>
      </c>
      <c r="F660">
        <v>379</v>
      </c>
      <c r="G660" t="s">
        <v>21</v>
      </c>
      <c r="H660" t="s">
        <v>31</v>
      </c>
      <c r="I660">
        <v>24</v>
      </c>
      <c r="J660" t="s">
        <v>40</v>
      </c>
      <c r="K660" t="s">
        <v>45</v>
      </c>
      <c r="L660" t="s">
        <v>52</v>
      </c>
      <c r="M660">
        <v>324</v>
      </c>
      <c r="N660">
        <v>454</v>
      </c>
      <c r="O660" t="s">
        <v>62</v>
      </c>
      <c r="P660">
        <v>60</v>
      </c>
      <c r="Q660">
        <v>340</v>
      </c>
      <c r="R660">
        <v>300</v>
      </c>
      <c r="S660">
        <v>400</v>
      </c>
      <c r="T660">
        <v>55</v>
      </c>
      <c r="U660" t="s">
        <v>35</v>
      </c>
      <c r="V660">
        <f t="shared" si="60"/>
        <v>0.71365638766519823</v>
      </c>
      <c r="W660">
        <f t="shared" si="61"/>
        <v>24</v>
      </c>
      <c r="X660">
        <f t="shared" si="62"/>
        <v>54</v>
      </c>
      <c r="Y660">
        <f t="shared" si="63"/>
        <v>0.16519823788546256</v>
      </c>
      <c r="Z660" s="7" t="str">
        <f t="shared" si="64"/>
        <v>High Sales</v>
      </c>
      <c r="AA660" s="7" t="str">
        <f t="shared" si="65"/>
        <v>High Margin</v>
      </c>
    </row>
    <row r="661" spans="1:27" x14ac:dyDescent="0.25">
      <c r="A661" t="s">
        <v>197</v>
      </c>
      <c r="B661">
        <v>249</v>
      </c>
      <c r="C661">
        <v>6</v>
      </c>
      <c r="D661" s="1">
        <v>41841</v>
      </c>
      <c r="E661">
        <v>2580</v>
      </c>
      <c r="F661">
        <v>374</v>
      </c>
      <c r="G661" t="s">
        <v>21</v>
      </c>
      <c r="H661" t="s">
        <v>31</v>
      </c>
      <c r="I661">
        <v>87</v>
      </c>
      <c r="J661" t="s">
        <v>40</v>
      </c>
      <c r="K661" t="s">
        <v>45</v>
      </c>
      <c r="L661" t="s">
        <v>52</v>
      </c>
      <c r="M661">
        <v>236</v>
      </c>
      <c r="N661">
        <v>623</v>
      </c>
      <c r="O661" t="s">
        <v>67</v>
      </c>
      <c r="P661">
        <v>220</v>
      </c>
      <c r="Q661">
        <v>340</v>
      </c>
      <c r="R661">
        <v>230</v>
      </c>
      <c r="S661">
        <v>560</v>
      </c>
      <c r="T661">
        <v>138</v>
      </c>
      <c r="U661" t="s">
        <v>35</v>
      </c>
      <c r="V661">
        <f t="shared" si="60"/>
        <v>0.37881219903691815</v>
      </c>
      <c r="W661">
        <f t="shared" si="61"/>
        <v>6</v>
      </c>
      <c r="X661">
        <f t="shared" si="62"/>
        <v>63</v>
      </c>
      <c r="Y661">
        <f t="shared" si="63"/>
        <v>0.3996789727126806</v>
      </c>
      <c r="Z661" s="7" t="str">
        <f t="shared" si="64"/>
        <v>High Sales</v>
      </c>
      <c r="AA661" s="7" t="str">
        <f t="shared" si="65"/>
        <v>High Margin</v>
      </c>
    </row>
    <row r="662" spans="1:27" x14ac:dyDescent="0.25">
      <c r="A662" t="s">
        <v>196</v>
      </c>
      <c r="B662">
        <v>94</v>
      </c>
      <c r="C662">
        <v>-5</v>
      </c>
      <c r="D662" s="1">
        <v>41842</v>
      </c>
      <c r="E662">
        <v>694</v>
      </c>
      <c r="F662">
        <v>130</v>
      </c>
      <c r="G662" t="s">
        <v>21</v>
      </c>
      <c r="H662" t="s">
        <v>31</v>
      </c>
      <c r="I662">
        <v>85</v>
      </c>
      <c r="J662" t="s">
        <v>40</v>
      </c>
      <c r="K662" t="s">
        <v>41</v>
      </c>
      <c r="L662" t="s">
        <v>53</v>
      </c>
      <c r="M662">
        <v>15</v>
      </c>
      <c r="N662">
        <v>224</v>
      </c>
      <c r="O662" t="s">
        <v>34</v>
      </c>
      <c r="P662">
        <v>90</v>
      </c>
      <c r="Q662">
        <v>120</v>
      </c>
      <c r="R662">
        <v>20</v>
      </c>
      <c r="S662">
        <v>210</v>
      </c>
      <c r="T662">
        <v>115</v>
      </c>
      <c r="U662" t="s">
        <v>35</v>
      </c>
      <c r="V662">
        <f t="shared" si="60"/>
        <v>6.6964285714285712E-2</v>
      </c>
      <c r="W662">
        <f t="shared" si="61"/>
        <v>-5</v>
      </c>
      <c r="X662">
        <f t="shared" si="62"/>
        <v>14</v>
      </c>
      <c r="Y662">
        <f t="shared" si="63"/>
        <v>0.41964285714285715</v>
      </c>
      <c r="Z662" s="7" t="str">
        <f t="shared" si="64"/>
        <v>Low Sales</v>
      </c>
      <c r="AA662" s="7" t="str">
        <f t="shared" si="65"/>
        <v>High Margin</v>
      </c>
    </row>
    <row r="663" spans="1:27" x14ac:dyDescent="0.25">
      <c r="A663" t="s">
        <v>197</v>
      </c>
      <c r="B663">
        <v>121</v>
      </c>
      <c r="C663">
        <v>-12</v>
      </c>
      <c r="D663" s="1">
        <v>41843</v>
      </c>
      <c r="E663">
        <v>3385</v>
      </c>
      <c r="F663">
        <v>-60</v>
      </c>
      <c r="G663" t="s">
        <v>21</v>
      </c>
      <c r="H663" t="s">
        <v>31</v>
      </c>
      <c r="I663">
        <v>109</v>
      </c>
      <c r="J663" t="s">
        <v>40</v>
      </c>
      <c r="K663" t="s">
        <v>41</v>
      </c>
      <c r="L663" t="s">
        <v>53</v>
      </c>
      <c r="M663">
        <v>-202</v>
      </c>
      <c r="N663">
        <v>61</v>
      </c>
      <c r="O663" t="s">
        <v>67</v>
      </c>
      <c r="P663">
        <v>110</v>
      </c>
      <c r="Q663">
        <v>-60</v>
      </c>
      <c r="R663">
        <v>-190</v>
      </c>
      <c r="S663">
        <v>50</v>
      </c>
      <c r="T663">
        <v>142</v>
      </c>
      <c r="U663" t="s">
        <v>35</v>
      </c>
      <c r="V663">
        <f t="shared" si="60"/>
        <v>-3.3114754098360657</v>
      </c>
      <c r="W663">
        <f t="shared" si="61"/>
        <v>-12</v>
      </c>
      <c r="X663">
        <f t="shared" si="62"/>
        <v>11</v>
      </c>
      <c r="Y663">
        <f t="shared" si="63"/>
        <v>1.9836065573770492</v>
      </c>
      <c r="Z663" s="7" t="str">
        <f t="shared" si="64"/>
        <v>Low Sales</v>
      </c>
      <c r="AA663" s="7" t="str">
        <f t="shared" si="65"/>
        <v>Low Margin</v>
      </c>
    </row>
    <row r="664" spans="1:27" x14ac:dyDescent="0.25">
      <c r="A664" t="s">
        <v>131</v>
      </c>
      <c r="B664">
        <v>181</v>
      </c>
      <c r="C664">
        <v>-12</v>
      </c>
      <c r="D664" s="1">
        <v>41844</v>
      </c>
      <c r="E664">
        <v>1283</v>
      </c>
      <c r="F664">
        <v>182</v>
      </c>
      <c r="G664" t="s">
        <v>21</v>
      </c>
      <c r="H664" t="s">
        <v>31</v>
      </c>
      <c r="I664">
        <v>50</v>
      </c>
      <c r="J664" t="s">
        <v>40</v>
      </c>
      <c r="K664" t="s">
        <v>41</v>
      </c>
      <c r="L664" t="s">
        <v>66</v>
      </c>
      <c r="M664">
        <v>108</v>
      </c>
      <c r="N664">
        <v>363</v>
      </c>
      <c r="O664" t="s">
        <v>62</v>
      </c>
      <c r="P664">
        <v>170</v>
      </c>
      <c r="Q664">
        <v>180</v>
      </c>
      <c r="R664">
        <v>120</v>
      </c>
      <c r="S664">
        <v>350</v>
      </c>
      <c r="T664">
        <v>74</v>
      </c>
      <c r="U664" t="s">
        <v>35</v>
      </c>
      <c r="V664">
        <f t="shared" si="60"/>
        <v>0.2975206611570248</v>
      </c>
      <c r="W664">
        <f t="shared" si="61"/>
        <v>-12</v>
      </c>
      <c r="X664">
        <f t="shared" si="62"/>
        <v>13</v>
      </c>
      <c r="Y664">
        <f t="shared" si="63"/>
        <v>0.49862258953168043</v>
      </c>
      <c r="Z664" s="7" t="str">
        <f t="shared" si="64"/>
        <v>High Sales</v>
      </c>
      <c r="AA664" s="7" t="str">
        <f t="shared" si="65"/>
        <v>High Margin</v>
      </c>
    </row>
    <row r="665" spans="1:27" x14ac:dyDescent="0.25">
      <c r="A665" t="s">
        <v>198</v>
      </c>
      <c r="B665">
        <v>211</v>
      </c>
      <c r="C665">
        <v>-9</v>
      </c>
      <c r="D665" s="1">
        <v>41845</v>
      </c>
      <c r="E665">
        <v>933</v>
      </c>
      <c r="F665">
        <v>464</v>
      </c>
      <c r="G665" t="s">
        <v>21</v>
      </c>
      <c r="H665" t="s">
        <v>31</v>
      </c>
      <c r="I665">
        <v>59</v>
      </c>
      <c r="J665" t="s">
        <v>40</v>
      </c>
      <c r="K665" t="s">
        <v>41</v>
      </c>
      <c r="L665" t="s">
        <v>66</v>
      </c>
      <c r="M665">
        <v>381</v>
      </c>
      <c r="N665">
        <v>675</v>
      </c>
      <c r="O665" t="s">
        <v>67</v>
      </c>
      <c r="P665">
        <v>200</v>
      </c>
      <c r="Q665">
        <v>460</v>
      </c>
      <c r="R665">
        <v>390</v>
      </c>
      <c r="S665">
        <v>660</v>
      </c>
      <c r="T665">
        <v>83</v>
      </c>
      <c r="U665" t="s">
        <v>35</v>
      </c>
      <c r="V665">
        <f t="shared" si="60"/>
        <v>0.56444444444444442</v>
      </c>
      <c r="W665">
        <f t="shared" si="61"/>
        <v>-9</v>
      </c>
      <c r="X665">
        <f t="shared" si="62"/>
        <v>15</v>
      </c>
      <c r="Y665">
        <f t="shared" si="63"/>
        <v>0.31259259259259259</v>
      </c>
      <c r="Z665" s="7" t="str">
        <f t="shared" si="64"/>
        <v>High Sales</v>
      </c>
      <c r="AA665" s="7" t="str">
        <f t="shared" si="65"/>
        <v>High Margin</v>
      </c>
    </row>
    <row r="666" spans="1:27" x14ac:dyDescent="0.25">
      <c r="A666" t="s">
        <v>103</v>
      </c>
      <c r="B666">
        <v>22</v>
      </c>
      <c r="C666">
        <v>1</v>
      </c>
      <c r="D666" s="1">
        <v>41846</v>
      </c>
      <c r="E666">
        <v>570</v>
      </c>
      <c r="F666">
        <v>30</v>
      </c>
      <c r="G666" t="s">
        <v>21</v>
      </c>
      <c r="H666" t="s">
        <v>31</v>
      </c>
      <c r="I666">
        <v>7</v>
      </c>
      <c r="J666" t="s">
        <v>23</v>
      </c>
      <c r="K666" t="s">
        <v>24</v>
      </c>
      <c r="L666" t="s">
        <v>57</v>
      </c>
      <c r="M666">
        <v>11</v>
      </c>
      <c r="N666">
        <v>52</v>
      </c>
      <c r="O666" t="s">
        <v>34</v>
      </c>
      <c r="P666">
        <v>10</v>
      </c>
      <c r="Q666">
        <v>20</v>
      </c>
      <c r="R666">
        <v>10</v>
      </c>
      <c r="S666">
        <v>30</v>
      </c>
      <c r="T666">
        <v>19</v>
      </c>
      <c r="U666" t="s">
        <v>27</v>
      </c>
      <c r="V666">
        <f t="shared" si="60"/>
        <v>0.21153846153846154</v>
      </c>
      <c r="W666">
        <f t="shared" si="61"/>
        <v>1</v>
      </c>
      <c r="X666">
        <f t="shared" si="62"/>
        <v>22</v>
      </c>
      <c r="Y666">
        <f t="shared" si="63"/>
        <v>0.42307692307692307</v>
      </c>
      <c r="Z666" s="7" t="str">
        <f t="shared" si="64"/>
        <v>Low Sales</v>
      </c>
      <c r="AA666" s="7" t="str">
        <f t="shared" si="65"/>
        <v>High Margin</v>
      </c>
    </row>
    <row r="667" spans="1:27" x14ac:dyDescent="0.25">
      <c r="A667" t="s">
        <v>199</v>
      </c>
      <c r="B667">
        <v>245</v>
      </c>
      <c r="C667">
        <v>64</v>
      </c>
      <c r="D667" s="1">
        <v>41847</v>
      </c>
      <c r="E667">
        <v>1704</v>
      </c>
      <c r="F667">
        <v>331</v>
      </c>
      <c r="G667" t="s">
        <v>21</v>
      </c>
      <c r="H667" t="s">
        <v>31</v>
      </c>
      <c r="I667">
        <v>93</v>
      </c>
      <c r="J667" t="s">
        <v>23</v>
      </c>
      <c r="K667" t="s">
        <v>24</v>
      </c>
      <c r="L667" t="s">
        <v>25</v>
      </c>
      <c r="M667">
        <v>204</v>
      </c>
      <c r="N667">
        <v>576</v>
      </c>
      <c r="O667" t="s">
        <v>67</v>
      </c>
      <c r="P667">
        <v>180</v>
      </c>
      <c r="Q667">
        <v>240</v>
      </c>
      <c r="R667">
        <v>140</v>
      </c>
      <c r="S667">
        <v>420</v>
      </c>
      <c r="T667">
        <v>127</v>
      </c>
      <c r="U667" t="s">
        <v>27</v>
      </c>
      <c r="V667">
        <f t="shared" si="60"/>
        <v>0.35416666666666669</v>
      </c>
      <c r="W667">
        <f t="shared" si="61"/>
        <v>64</v>
      </c>
      <c r="X667">
        <f t="shared" si="62"/>
        <v>156</v>
      </c>
      <c r="Y667">
        <f t="shared" si="63"/>
        <v>0.42534722222222221</v>
      </c>
      <c r="Z667" s="7" t="str">
        <f t="shared" si="64"/>
        <v>High Sales</v>
      </c>
      <c r="AA667" s="7" t="str">
        <f t="shared" si="65"/>
        <v>High Margin</v>
      </c>
    </row>
    <row r="668" spans="1:27" x14ac:dyDescent="0.25">
      <c r="A668" t="s">
        <v>174</v>
      </c>
      <c r="B668">
        <v>225</v>
      </c>
      <c r="C668">
        <v>-36</v>
      </c>
      <c r="D668" s="1">
        <v>41848</v>
      </c>
      <c r="E668">
        <v>4742</v>
      </c>
      <c r="F668">
        <v>-65</v>
      </c>
      <c r="G668" t="s">
        <v>21</v>
      </c>
      <c r="H668" t="s">
        <v>31</v>
      </c>
      <c r="I668">
        <v>69</v>
      </c>
      <c r="J668" t="s">
        <v>23</v>
      </c>
      <c r="K668" t="s">
        <v>24</v>
      </c>
      <c r="L668" t="s">
        <v>28</v>
      </c>
      <c r="M668">
        <v>-156</v>
      </c>
      <c r="N668">
        <v>160</v>
      </c>
      <c r="O668" t="s">
        <v>67</v>
      </c>
      <c r="P668">
        <v>160</v>
      </c>
      <c r="Q668">
        <v>-50</v>
      </c>
      <c r="R668">
        <v>-120</v>
      </c>
      <c r="S668">
        <v>110</v>
      </c>
      <c r="T668">
        <v>91</v>
      </c>
      <c r="U668" t="s">
        <v>27</v>
      </c>
      <c r="V668">
        <f t="shared" si="60"/>
        <v>-0.97499999999999998</v>
      </c>
      <c r="W668">
        <f t="shared" si="61"/>
        <v>-36</v>
      </c>
      <c r="X668">
        <f t="shared" si="62"/>
        <v>50</v>
      </c>
      <c r="Y668">
        <f t="shared" si="63"/>
        <v>1.40625</v>
      </c>
      <c r="Z668" s="7" t="str">
        <f t="shared" si="64"/>
        <v>Low Sales</v>
      </c>
      <c r="AA668" s="7" t="str">
        <f t="shared" si="65"/>
        <v>Low Margin</v>
      </c>
    </row>
    <row r="669" spans="1:27" x14ac:dyDescent="0.25">
      <c r="A669" t="s">
        <v>182</v>
      </c>
      <c r="B669">
        <v>81</v>
      </c>
      <c r="C669">
        <v>-6</v>
      </c>
      <c r="D669" s="1">
        <v>41849</v>
      </c>
      <c r="E669">
        <v>984</v>
      </c>
      <c r="F669">
        <v>117</v>
      </c>
      <c r="G669" t="s">
        <v>21</v>
      </c>
      <c r="H669" t="s">
        <v>31</v>
      </c>
      <c r="I669">
        <v>22</v>
      </c>
      <c r="J669" t="s">
        <v>23</v>
      </c>
      <c r="K669" t="s">
        <v>32</v>
      </c>
      <c r="L669" t="s">
        <v>33</v>
      </c>
      <c r="M669">
        <v>84</v>
      </c>
      <c r="N669">
        <v>198</v>
      </c>
      <c r="O669" t="s">
        <v>67</v>
      </c>
      <c r="P669">
        <v>80</v>
      </c>
      <c r="Q669">
        <v>120</v>
      </c>
      <c r="R669">
        <v>90</v>
      </c>
      <c r="S669">
        <v>200</v>
      </c>
      <c r="T669">
        <v>33</v>
      </c>
      <c r="U669" t="s">
        <v>35</v>
      </c>
      <c r="V669">
        <f t="shared" si="60"/>
        <v>0.42424242424242425</v>
      </c>
      <c r="W669">
        <f t="shared" si="61"/>
        <v>-6</v>
      </c>
      <c r="X669">
        <f t="shared" si="62"/>
        <v>-2</v>
      </c>
      <c r="Y669">
        <f t="shared" si="63"/>
        <v>0.40909090909090912</v>
      </c>
      <c r="Z669" s="7" t="str">
        <f t="shared" si="64"/>
        <v>Low Sales</v>
      </c>
      <c r="AA669" s="7" t="str">
        <f t="shared" si="65"/>
        <v>High Margin</v>
      </c>
    </row>
    <row r="670" spans="1:27" x14ac:dyDescent="0.25">
      <c r="A670" t="s">
        <v>191</v>
      </c>
      <c r="B670">
        <v>118</v>
      </c>
      <c r="C670">
        <v>-3</v>
      </c>
      <c r="D670" s="1">
        <v>41850</v>
      </c>
      <c r="E670">
        <v>930</v>
      </c>
      <c r="F670">
        <v>172</v>
      </c>
      <c r="G670" t="s">
        <v>21</v>
      </c>
      <c r="H670" t="s">
        <v>31</v>
      </c>
      <c r="I670">
        <v>33</v>
      </c>
      <c r="J670" t="s">
        <v>23</v>
      </c>
      <c r="K670" t="s">
        <v>32</v>
      </c>
      <c r="L670" t="s">
        <v>61</v>
      </c>
      <c r="M670">
        <v>127</v>
      </c>
      <c r="N670">
        <v>290</v>
      </c>
      <c r="O670" t="s">
        <v>67</v>
      </c>
      <c r="P670">
        <v>120</v>
      </c>
      <c r="Q670">
        <v>170</v>
      </c>
      <c r="R670">
        <v>130</v>
      </c>
      <c r="S670">
        <v>290</v>
      </c>
      <c r="T670">
        <v>45</v>
      </c>
      <c r="U670" t="s">
        <v>35</v>
      </c>
      <c r="V670">
        <f t="shared" si="60"/>
        <v>0.43793103448275861</v>
      </c>
      <c r="W670">
        <f t="shared" si="61"/>
        <v>-3</v>
      </c>
      <c r="X670">
        <f t="shared" si="62"/>
        <v>0</v>
      </c>
      <c r="Y670">
        <f t="shared" si="63"/>
        <v>0.40689655172413791</v>
      </c>
      <c r="Z670" s="7" t="str">
        <f t="shared" si="64"/>
        <v>Low Sales</v>
      </c>
      <c r="AA670" s="7" t="str">
        <f t="shared" si="65"/>
        <v>High Margin</v>
      </c>
    </row>
    <row r="671" spans="1:27" x14ac:dyDescent="0.25">
      <c r="A671" t="s">
        <v>159</v>
      </c>
      <c r="B671">
        <v>134</v>
      </c>
      <c r="C671">
        <v>12</v>
      </c>
      <c r="D671" s="1">
        <v>41851</v>
      </c>
      <c r="E671">
        <v>690</v>
      </c>
      <c r="F671">
        <v>186</v>
      </c>
      <c r="G671" t="s">
        <v>21</v>
      </c>
      <c r="H671" t="s">
        <v>31</v>
      </c>
      <c r="I671">
        <v>41</v>
      </c>
      <c r="J671" t="s">
        <v>40</v>
      </c>
      <c r="K671" t="s">
        <v>45</v>
      </c>
      <c r="L671" t="s">
        <v>46</v>
      </c>
      <c r="M671">
        <v>122</v>
      </c>
      <c r="N671">
        <v>320</v>
      </c>
      <c r="O671" t="s">
        <v>34</v>
      </c>
      <c r="P671">
        <v>120</v>
      </c>
      <c r="Q671">
        <v>160</v>
      </c>
      <c r="R671">
        <v>110</v>
      </c>
      <c r="S671">
        <v>280</v>
      </c>
      <c r="T671">
        <v>64</v>
      </c>
      <c r="U671" t="s">
        <v>27</v>
      </c>
      <c r="V671">
        <f t="shared" si="60"/>
        <v>0.38124999999999998</v>
      </c>
      <c r="W671">
        <f t="shared" si="61"/>
        <v>12</v>
      </c>
      <c r="X671">
        <f t="shared" si="62"/>
        <v>40</v>
      </c>
      <c r="Y671">
        <f t="shared" si="63"/>
        <v>0.41875000000000001</v>
      </c>
      <c r="Z671" s="7" t="str">
        <f t="shared" si="64"/>
        <v>High Sales</v>
      </c>
      <c r="AA671" s="7" t="str">
        <f t="shared" si="65"/>
        <v>High Margin</v>
      </c>
    </row>
    <row r="672" spans="1:27" x14ac:dyDescent="0.25">
      <c r="A672" t="s">
        <v>127</v>
      </c>
      <c r="B672">
        <v>83</v>
      </c>
      <c r="C672">
        <v>-12</v>
      </c>
      <c r="D672" s="1">
        <v>41852</v>
      </c>
      <c r="E672">
        <v>575</v>
      </c>
      <c r="F672">
        <v>112</v>
      </c>
      <c r="G672" t="s">
        <v>21</v>
      </c>
      <c r="H672" t="s">
        <v>31</v>
      </c>
      <c r="I672">
        <v>27</v>
      </c>
      <c r="J672" t="s">
        <v>40</v>
      </c>
      <c r="K672" t="s">
        <v>41</v>
      </c>
      <c r="L672" t="s">
        <v>42</v>
      </c>
      <c r="M672">
        <v>58</v>
      </c>
      <c r="N672">
        <v>195</v>
      </c>
      <c r="O672" t="s">
        <v>34</v>
      </c>
      <c r="P672">
        <v>80</v>
      </c>
      <c r="Q672">
        <v>110</v>
      </c>
      <c r="R672">
        <v>70</v>
      </c>
      <c r="S672">
        <v>190</v>
      </c>
      <c r="T672">
        <v>54</v>
      </c>
      <c r="U672" t="s">
        <v>27</v>
      </c>
      <c r="V672">
        <f t="shared" si="60"/>
        <v>0.29743589743589743</v>
      </c>
      <c r="W672">
        <f t="shared" si="61"/>
        <v>-12</v>
      </c>
      <c r="X672">
        <f t="shared" si="62"/>
        <v>5</v>
      </c>
      <c r="Y672">
        <f t="shared" si="63"/>
        <v>0.42564102564102563</v>
      </c>
      <c r="Z672" s="7" t="str">
        <f t="shared" si="64"/>
        <v>Low Sales</v>
      </c>
      <c r="AA672" s="7" t="str">
        <f t="shared" si="65"/>
        <v>High Margin</v>
      </c>
    </row>
    <row r="673" spans="1:27" x14ac:dyDescent="0.25">
      <c r="A673" t="s">
        <v>196</v>
      </c>
      <c r="B673">
        <v>88</v>
      </c>
      <c r="C673">
        <v>-7</v>
      </c>
      <c r="D673" s="1">
        <v>41853</v>
      </c>
      <c r="E673">
        <v>817</v>
      </c>
      <c r="F673">
        <v>133</v>
      </c>
      <c r="G673" t="s">
        <v>21</v>
      </c>
      <c r="H673" t="s">
        <v>31</v>
      </c>
      <c r="I673">
        <v>29</v>
      </c>
      <c r="J673" t="s">
        <v>40</v>
      </c>
      <c r="K673" t="s">
        <v>45</v>
      </c>
      <c r="L673" t="s">
        <v>52</v>
      </c>
      <c r="M673">
        <v>73</v>
      </c>
      <c r="N673">
        <v>221</v>
      </c>
      <c r="O673" t="s">
        <v>34</v>
      </c>
      <c r="P673">
        <v>70</v>
      </c>
      <c r="Q673">
        <v>120</v>
      </c>
      <c r="R673">
        <v>80</v>
      </c>
      <c r="S673">
        <v>190</v>
      </c>
      <c r="T673">
        <v>60</v>
      </c>
      <c r="U673" t="s">
        <v>35</v>
      </c>
      <c r="V673">
        <f t="shared" si="60"/>
        <v>0.33031674208144796</v>
      </c>
      <c r="W673">
        <f t="shared" si="61"/>
        <v>-7</v>
      </c>
      <c r="X673">
        <f t="shared" si="62"/>
        <v>31</v>
      </c>
      <c r="Y673">
        <f t="shared" si="63"/>
        <v>0.39819004524886875</v>
      </c>
      <c r="Z673" s="7" t="str">
        <f t="shared" si="64"/>
        <v>Low Sales</v>
      </c>
      <c r="AA673" s="7" t="str">
        <f t="shared" si="65"/>
        <v>High Margin</v>
      </c>
    </row>
    <row r="674" spans="1:27" x14ac:dyDescent="0.25">
      <c r="A674" t="s">
        <v>121</v>
      </c>
      <c r="B674">
        <v>67</v>
      </c>
      <c r="C674">
        <v>30</v>
      </c>
      <c r="D674" s="1">
        <v>41854</v>
      </c>
      <c r="E674">
        <v>-3534</v>
      </c>
      <c r="F674">
        <v>443</v>
      </c>
      <c r="G674" t="s">
        <v>21</v>
      </c>
      <c r="H674" t="s">
        <v>31</v>
      </c>
      <c r="I674">
        <v>22</v>
      </c>
      <c r="J674" t="s">
        <v>40</v>
      </c>
      <c r="K674" t="s">
        <v>45</v>
      </c>
      <c r="L674" t="s">
        <v>52</v>
      </c>
      <c r="M674">
        <v>390</v>
      </c>
      <c r="N674">
        <v>510</v>
      </c>
      <c r="O674" t="s">
        <v>62</v>
      </c>
      <c r="P674">
        <v>60</v>
      </c>
      <c r="Q674">
        <v>390</v>
      </c>
      <c r="R674">
        <v>360</v>
      </c>
      <c r="S674">
        <v>450</v>
      </c>
      <c r="T674">
        <v>53</v>
      </c>
      <c r="U674" t="s">
        <v>35</v>
      </c>
      <c r="V674">
        <f t="shared" si="60"/>
        <v>0.76470588235294112</v>
      </c>
      <c r="W674">
        <f t="shared" si="61"/>
        <v>30</v>
      </c>
      <c r="X674">
        <f t="shared" si="62"/>
        <v>60</v>
      </c>
      <c r="Y674">
        <f t="shared" si="63"/>
        <v>0.13137254901960785</v>
      </c>
      <c r="Z674" s="7" t="str">
        <f t="shared" si="64"/>
        <v>High Sales</v>
      </c>
      <c r="AA674" s="7" t="str">
        <f t="shared" si="65"/>
        <v>High Margin</v>
      </c>
    </row>
    <row r="675" spans="1:27" x14ac:dyDescent="0.25">
      <c r="A675" t="s">
        <v>192</v>
      </c>
      <c r="B675">
        <v>279</v>
      </c>
      <c r="C675">
        <v>21</v>
      </c>
      <c r="D675" s="1">
        <v>41855</v>
      </c>
      <c r="E675">
        <v>2642</v>
      </c>
      <c r="F675">
        <v>420</v>
      </c>
      <c r="G675" t="s">
        <v>21</v>
      </c>
      <c r="H675" t="s">
        <v>31</v>
      </c>
      <c r="I675">
        <v>97</v>
      </c>
      <c r="J675" t="s">
        <v>40</v>
      </c>
      <c r="K675" t="s">
        <v>45</v>
      </c>
      <c r="L675" t="s">
        <v>52</v>
      </c>
      <c r="M675">
        <v>271</v>
      </c>
      <c r="N675">
        <v>699</v>
      </c>
      <c r="O675" t="s">
        <v>67</v>
      </c>
      <c r="P675">
        <v>250</v>
      </c>
      <c r="Q675">
        <v>370</v>
      </c>
      <c r="R675">
        <v>250</v>
      </c>
      <c r="S675">
        <v>620</v>
      </c>
      <c r="T675">
        <v>149</v>
      </c>
      <c r="U675" t="s">
        <v>35</v>
      </c>
      <c r="V675">
        <f t="shared" si="60"/>
        <v>0.38769670958512159</v>
      </c>
      <c r="W675">
        <f t="shared" si="61"/>
        <v>21</v>
      </c>
      <c r="X675">
        <f t="shared" si="62"/>
        <v>79</v>
      </c>
      <c r="Y675">
        <f t="shared" si="63"/>
        <v>0.39914163090128757</v>
      </c>
      <c r="Z675" s="7" t="str">
        <f t="shared" si="64"/>
        <v>High Sales</v>
      </c>
      <c r="AA675" s="7" t="str">
        <f t="shared" si="65"/>
        <v>High Margin</v>
      </c>
    </row>
    <row r="676" spans="1:27" x14ac:dyDescent="0.25">
      <c r="A676" t="s">
        <v>126</v>
      </c>
      <c r="B676">
        <v>105</v>
      </c>
      <c r="C676">
        <v>-9</v>
      </c>
      <c r="D676" s="1">
        <v>41856</v>
      </c>
      <c r="E676">
        <v>716</v>
      </c>
      <c r="F676">
        <v>145</v>
      </c>
      <c r="G676" t="s">
        <v>21</v>
      </c>
      <c r="H676" t="s">
        <v>31</v>
      </c>
      <c r="I676">
        <v>95</v>
      </c>
      <c r="J676" t="s">
        <v>40</v>
      </c>
      <c r="K676" t="s">
        <v>41</v>
      </c>
      <c r="L676" t="s">
        <v>53</v>
      </c>
      <c r="M676">
        <v>21</v>
      </c>
      <c r="N676">
        <v>250</v>
      </c>
      <c r="O676" t="s">
        <v>34</v>
      </c>
      <c r="P676">
        <v>100</v>
      </c>
      <c r="Q676">
        <v>140</v>
      </c>
      <c r="R676">
        <v>30</v>
      </c>
      <c r="S676">
        <v>240</v>
      </c>
      <c r="T676">
        <v>124</v>
      </c>
      <c r="U676" t="s">
        <v>35</v>
      </c>
      <c r="V676">
        <f t="shared" si="60"/>
        <v>8.4000000000000005E-2</v>
      </c>
      <c r="W676">
        <f t="shared" si="61"/>
        <v>-9</v>
      </c>
      <c r="X676">
        <f t="shared" si="62"/>
        <v>10</v>
      </c>
      <c r="Y676">
        <f t="shared" si="63"/>
        <v>0.42</v>
      </c>
      <c r="Z676" s="7" t="str">
        <f t="shared" si="64"/>
        <v>Low Sales</v>
      </c>
      <c r="AA676" s="7" t="str">
        <f t="shared" si="65"/>
        <v>High Margin</v>
      </c>
    </row>
    <row r="677" spans="1:27" x14ac:dyDescent="0.25">
      <c r="A677" t="s">
        <v>200</v>
      </c>
      <c r="B677">
        <v>135</v>
      </c>
      <c r="C677">
        <v>-14</v>
      </c>
      <c r="D677" s="1">
        <v>41857</v>
      </c>
      <c r="E677">
        <v>3641</v>
      </c>
      <c r="F677">
        <v>-69</v>
      </c>
      <c r="G677" t="s">
        <v>21</v>
      </c>
      <c r="H677" t="s">
        <v>31</v>
      </c>
      <c r="I677">
        <v>122</v>
      </c>
      <c r="J677" t="s">
        <v>40</v>
      </c>
      <c r="K677" t="s">
        <v>41</v>
      </c>
      <c r="L677" t="s">
        <v>53</v>
      </c>
      <c r="M677">
        <v>-224</v>
      </c>
      <c r="N677">
        <v>66</v>
      </c>
      <c r="O677" t="s">
        <v>67</v>
      </c>
      <c r="P677">
        <v>130</v>
      </c>
      <c r="Q677">
        <v>-70</v>
      </c>
      <c r="R677">
        <v>-210</v>
      </c>
      <c r="S677">
        <v>60</v>
      </c>
      <c r="T677">
        <v>155</v>
      </c>
      <c r="U677" t="s">
        <v>35</v>
      </c>
      <c r="V677">
        <f t="shared" si="60"/>
        <v>-3.393939393939394</v>
      </c>
      <c r="W677">
        <f t="shared" si="61"/>
        <v>-14</v>
      </c>
      <c r="X677">
        <f t="shared" si="62"/>
        <v>6</v>
      </c>
      <c r="Y677">
        <f t="shared" si="63"/>
        <v>2.0454545454545454</v>
      </c>
      <c r="Z677" s="7" t="str">
        <f t="shared" si="64"/>
        <v>Low Sales</v>
      </c>
      <c r="AA677" s="7" t="str">
        <f t="shared" si="65"/>
        <v>Low Margin</v>
      </c>
    </row>
    <row r="678" spans="1:27" x14ac:dyDescent="0.25">
      <c r="A678" t="s">
        <v>121</v>
      </c>
      <c r="B678">
        <v>153</v>
      </c>
      <c r="C678">
        <v>7</v>
      </c>
      <c r="D678" s="1">
        <v>41858</v>
      </c>
      <c r="E678">
        <v>1319</v>
      </c>
      <c r="F678">
        <v>153</v>
      </c>
      <c r="G678" t="s">
        <v>21</v>
      </c>
      <c r="H678" t="s">
        <v>31</v>
      </c>
      <c r="I678">
        <v>42</v>
      </c>
      <c r="J678" t="s">
        <v>40</v>
      </c>
      <c r="K678" t="s">
        <v>41</v>
      </c>
      <c r="L678" t="s">
        <v>66</v>
      </c>
      <c r="M678">
        <v>87</v>
      </c>
      <c r="N678">
        <v>306</v>
      </c>
      <c r="O678" t="s">
        <v>62</v>
      </c>
      <c r="P678">
        <v>150</v>
      </c>
      <c r="Q678">
        <v>140</v>
      </c>
      <c r="R678">
        <v>80</v>
      </c>
      <c r="S678">
        <v>290</v>
      </c>
      <c r="T678">
        <v>66</v>
      </c>
      <c r="U678" t="s">
        <v>35</v>
      </c>
      <c r="V678">
        <f t="shared" si="60"/>
        <v>0.28431372549019607</v>
      </c>
      <c r="W678">
        <f t="shared" si="61"/>
        <v>7</v>
      </c>
      <c r="X678">
        <f t="shared" si="62"/>
        <v>16</v>
      </c>
      <c r="Y678">
        <f t="shared" si="63"/>
        <v>0.5</v>
      </c>
      <c r="Z678" s="7" t="str">
        <f t="shared" si="64"/>
        <v>High Sales</v>
      </c>
      <c r="AA678" s="7" t="str">
        <f t="shared" si="65"/>
        <v>High Margin</v>
      </c>
    </row>
    <row r="679" spans="1:27" x14ac:dyDescent="0.25">
      <c r="A679" t="s">
        <v>168</v>
      </c>
      <c r="B679">
        <v>250</v>
      </c>
      <c r="C679">
        <v>-8</v>
      </c>
      <c r="D679" s="1">
        <v>41859</v>
      </c>
      <c r="E679">
        <v>723</v>
      </c>
      <c r="F679">
        <v>407</v>
      </c>
      <c r="G679" t="s">
        <v>21</v>
      </c>
      <c r="H679" t="s">
        <v>31</v>
      </c>
      <c r="I679">
        <v>70</v>
      </c>
      <c r="J679" t="s">
        <v>40</v>
      </c>
      <c r="K679" t="s">
        <v>41</v>
      </c>
      <c r="L679" t="s">
        <v>66</v>
      </c>
      <c r="M679">
        <v>312</v>
      </c>
      <c r="N679">
        <v>657</v>
      </c>
      <c r="O679" t="s">
        <v>67</v>
      </c>
      <c r="P679">
        <v>240</v>
      </c>
      <c r="Q679">
        <v>400</v>
      </c>
      <c r="R679">
        <v>320</v>
      </c>
      <c r="S679">
        <v>640</v>
      </c>
      <c r="T679">
        <v>95</v>
      </c>
      <c r="U679" t="s">
        <v>35</v>
      </c>
      <c r="V679">
        <f t="shared" si="60"/>
        <v>0.47488584474885842</v>
      </c>
      <c r="W679">
        <f t="shared" si="61"/>
        <v>-8</v>
      </c>
      <c r="X679">
        <f t="shared" si="62"/>
        <v>17</v>
      </c>
      <c r="Y679">
        <f t="shared" si="63"/>
        <v>0.38051750380517502</v>
      </c>
      <c r="Z679" s="7" t="str">
        <f t="shared" si="64"/>
        <v>High Sales</v>
      </c>
      <c r="AA679" s="7" t="str">
        <f t="shared" si="65"/>
        <v>High Margin</v>
      </c>
    </row>
    <row r="680" spans="1:27" x14ac:dyDescent="0.25">
      <c r="A680" t="s">
        <v>201</v>
      </c>
      <c r="B680">
        <v>294</v>
      </c>
      <c r="C680">
        <v>99</v>
      </c>
      <c r="D680" s="1">
        <v>41860</v>
      </c>
      <c r="E680">
        <v>1727</v>
      </c>
      <c r="F680">
        <v>453</v>
      </c>
      <c r="G680" t="s">
        <v>21</v>
      </c>
      <c r="H680" t="s">
        <v>31</v>
      </c>
      <c r="I680">
        <v>111</v>
      </c>
      <c r="J680" t="s">
        <v>23</v>
      </c>
      <c r="K680" t="s">
        <v>24</v>
      </c>
      <c r="L680" t="s">
        <v>25</v>
      </c>
      <c r="M680">
        <v>309</v>
      </c>
      <c r="N680">
        <v>747</v>
      </c>
      <c r="O680" t="s">
        <v>67</v>
      </c>
      <c r="P680">
        <v>220</v>
      </c>
      <c r="Q680">
        <v>320</v>
      </c>
      <c r="R680">
        <v>210</v>
      </c>
      <c r="S680">
        <v>540</v>
      </c>
      <c r="T680">
        <v>144</v>
      </c>
      <c r="U680" t="s">
        <v>27</v>
      </c>
      <c r="V680">
        <f t="shared" si="60"/>
        <v>0.41365461847389556</v>
      </c>
      <c r="W680">
        <f t="shared" si="61"/>
        <v>99</v>
      </c>
      <c r="X680">
        <f t="shared" si="62"/>
        <v>207</v>
      </c>
      <c r="Y680">
        <f t="shared" si="63"/>
        <v>0.39357429718875503</v>
      </c>
      <c r="Z680" s="7" t="str">
        <f t="shared" si="64"/>
        <v>High Sales</v>
      </c>
      <c r="AA680" s="7" t="str">
        <f t="shared" si="65"/>
        <v>High Margin</v>
      </c>
    </row>
    <row r="681" spans="1:27" x14ac:dyDescent="0.25">
      <c r="A681" t="s">
        <v>195</v>
      </c>
      <c r="B681">
        <v>241</v>
      </c>
      <c r="C681">
        <v>-39</v>
      </c>
      <c r="D681" s="1">
        <v>41861</v>
      </c>
      <c r="E681">
        <v>5121</v>
      </c>
      <c r="F681">
        <v>-93</v>
      </c>
      <c r="G681" t="s">
        <v>21</v>
      </c>
      <c r="H681" t="s">
        <v>31</v>
      </c>
      <c r="I681">
        <v>74</v>
      </c>
      <c r="J681" t="s">
        <v>23</v>
      </c>
      <c r="K681" t="s">
        <v>24</v>
      </c>
      <c r="L681" t="s">
        <v>28</v>
      </c>
      <c r="M681">
        <v>-189</v>
      </c>
      <c r="N681">
        <v>148</v>
      </c>
      <c r="O681" t="s">
        <v>67</v>
      </c>
      <c r="P681">
        <v>180</v>
      </c>
      <c r="Q681">
        <v>-80</v>
      </c>
      <c r="R681">
        <v>-150</v>
      </c>
      <c r="S681">
        <v>100</v>
      </c>
      <c r="T681">
        <v>96</v>
      </c>
      <c r="U681" t="s">
        <v>27</v>
      </c>
      <c r="V681">
        <f t="shared" si="60"/>
        <v>-1.277027027027027</v>
      </c>
      <c r="W681">
        <f t="shared" si="61"/>
        <v>-39</v>
      </c>
      <c r="X681">
        <f t="shared" si="62"/>
        <v>48</v>
      </c>
      <c r="Y681">
        <f t="shared" si="63"/>
        <v>1.6283783783783783</v>
      </c>
      <c r="Z681" s="7" t="str">
        <f t="shared" si="64"/>
        <v>Low Sales</v>
      </c>
      <c r="AA681" s="7" t="str">
        <f t="shared" si="65"/>
        <v>Low Margin</v>
      </c>
    </row>
    <row r="682" spans="1:27" x14ac:dyDescent="0.25">
      <c r="A682" t="s">
        <v>195</v>
      </c>
      <c r="B682">
        <v>86</v>
      </c>
      <c r="C682">
        <v>-1</v>
      </c>
      <c r="D682" s="1">
        <v>41862</v>
      </c>
      <c r="E682">
        <v>1003</v>
      </c>
      <c r="F682">
        <v>124</v>
      </c>
      <c r="G682" t="s">
        <v>21</v>
      </c>
      <c r="H682" t="s">
        <v>31</v>
      </c>
      <c r="I682">
        <v>24</v>
      </c>
      <c r="J682" t="s">
        <v>23</v>
      </c>
      <c r="K682" t="s">
        <v>32</v>
      </c>
      <c r="L682" t="s">
        <v>33</v>
      </c>
      <c r="M682">
        <v>89</v>
      </c>
      <c r="N682">
        <v>210</v>
      </c>
      <c r="O682" t="s">
        <v>67</v>
      </c>
      <c r="P682">
        <v>90</v>
      </c>
      <c r="Q682">
        <v>120</v>
      </c>
      <c r="R682">
        <v>90</v>
      </c>
      <c r="S682">
        <v>210</v>
      </c>
      <c r="T682">
        <v>35</v>
      </c>
      <c r="U682" t="s">
        <v>35</v>
      </c>
      <c r="V682">
        <f t="shared" si="60"/>
        <v>0.4238095238095238</v>
      </c>
      <c r="W682">
        <f t="shared" si="61"/>
        <v>-1</v>
      </c>
      <c r="X682">
        <f t="shared" si="62"/>
        <v>0</v>
      </c>
      <c r="Y682">
        <f t="shared" si="63"/>
        <v>0.40952380952380951</v>
      </c>
      <c r="Z682" s="7" t="str">
        <f t="shared" si="64"/>
        <v>Low Sales</v>
      </c>
      <c r="AA682" s="7" t="str">
        <f t="shared" si="65"/>
        <v>High Margin</v>
      </c>
    </row>
    <row r="683" spans="1:27" x14ac:dyDescent="0.25">
      <c r="A683" t="s">
        <v>168</v>
      </c>
      <c r="B683">
        <v>123</v>
      </c>
      <c r="C683">
        <v>-17</v>
      </c>
      <c r="D683" s="1">
        <v>41863</v>
      </c>
      <c r="E683">
        <v>959</v>
      </c>
      <c r="F683">
        <v>179</v>
      </c>
      <c r="G683" t="s">
        <v>21</v>
      </c>
      <c r="H683" t="s">
        <v>31</v>
      </c>
      <c r="I683">
        <v>34</v>
      </c>
      <c r="J683" t="s">
        <v>23</v>
      </c>
      <c r="K683" t="s">
        <v>32</v>
      </c>
      <c r="L683" t="s">
        <v>61</v>
      </c>
      <c r="M683">
        <v>133</v>
      </c>
      <c r="N683">
        <v>302</v>
      </c>
      <c r="O683" t="s">
        <v>67</v>
      </c>
      <c r="P683">
        <v>120</v>
      </c>
      <c r="Q683">
        <v>190</v>
      </c>
      <c r="R683">
        <v>150</v>
      </c>
      <c r="S683">
        <v>310</v>
      </c>
      <c r="T683">
        <v>46</v>
      </c>
      <c r="U683" t="s">
        <v>35</v>
      </c>
      <c r="V683">
        <f t="shared" si="60"/>
        <v>0.44039735099337746</v>
      </c>
      <c r="W683">
        <f t="shared" si="61"/>
        <v>-17</v>
      </c>
      <c r="X683">
        <f t="shared" si="62"/>
        <v>-8</v>
      </c>
      <c r="Y683">
        <f t="shared" si="63"/>
        <v>0.40728476821192056</v>
      </c>
      <c r="Z683" s="7" t="str">
        <f t="shared" si="64"/>
        <v>High Sales</v>
      </c>
      <c r="AA683" s="7" t="str">
        <f t="shared" si="65"/>
        <v>High Margin</v>
      </c>
    </row>
    <row r="684" spans="1:27" x14ac:dyDescent="0.25">
      <c r="A684" t="s">
        <v>173</v>
      </c>
      <c r="B684">
        <v>91</v>
      </c>
      <c r="C684">
        <v>23</v>
      </c>
      <c r="D684" s="1">
        <v>41864</v>
      </c>
      <c r="E684">
        <v>656</v>
      </c>
      <c r="F684">
        <v>127</v>
      </c>
      <c r="G684" t="s">
        <v>21</v>
      </c>
      <c r="H684" t="s">
        <v>31</v>
      </c>
      <c r="I684">
        <v>28</v>
      </c>
      <c r="J684" t="s">
        <v>40</v>
      </c>
      <c r="K684" t="s">
        <v>45</v>
      </c>
      <c r="L684" t="s">
        <v>46</v>
      </c>
      <c r="M684">
        <v>113</v>
      </c>
      <c r="N684">
        <v>232</v>
      </c>
      <c r="O684" t="s">
        <v>34</v>
      </c>
      <c r="P684">
        <v>70</v>
      </c>
      <c r="Q684">
        <v>110</v>
      </c>
      <c r="R684">
        <v>90</v>
      </c>
      <c r="S684">
        <v>180</v>
      </c>
      <c r="T684">
        <v>51</v>
      </c>
      <c r="U684" t="s">
        <v>27</v>
      </c>
      <c r="V684">
        <f t="shared" si="60"/>
        <v>0.48706896551724138</v>
      </c>
      <c r="W684">
        <f t="shared" si="61"/>
        <v>23</v>
      </c>
      <c r="X684">
        <f t="shared" si="62"/>
        <v>52</v>
      </c>
      <c r="Y684">
        <f t="shared" si="63"/>
        <v>0.39224137931034481</v>
      </c>
      <c r="Z684" s="7" t="str">
        <f t="shared" si="64"/>
        <v>Low Sales</v>
      </c>
      <c r="AA684" s="7" t="str">
        <f t="shared" si="65"/>
        <v>High Margin</v>
      </c>
    </row>
    <row r="685" spans="1:27" x14ac:dyDescent="0.25">
      <c r="A685" t="s">
        <v>156</v>
      </c>
      <c r="B685">
        <v>86</v>
      </c>
      <c r="C685">
        <v>-1</v>
      </c>
      <c r="D685" s="1">
        <v>41865</v>
      </c>
      <c r="E685">
        <v>547</v>
      </c>
      <c r="F685">
        <v>116</v>
      </c>
      <c r="G685" t="s">
        <v>21</v>
      </c>
      <c r="H685" t="s">
        <v>31</v>
      </c>
      <c r="I685">
        <v>28</v>
      </c>
      <c r="J685" t="s">
        <v>40</v>
      </c>
      <c r="K685" t="s">
        <v>41</v>
      </c>
      <c r="L685" t="s">
        <v>42</v>
      </c>
      <c r="M685">
        <v>89</v>
      </c>
      <c r="N685">
        <v>215</v>
      </c>
      <c r="O685" t="s">
        <v>34</v>
      </c>
      <c r="P685">
        <v>70</v>
      </c>
      <c r="Q685">
        <v>110</v>
      </c>
      <c r="R685">
        <v>90</v>
      </c>
      <c r="S685">
        <v>180</v>
      </c>
      <c r="T685">
        <v>56</v>
      </c>
      <c r="U685" t="s">
        <v>27</v>
      </c>
      <c r="V685">
        <f t="shared" si="60"/>
        <v>0.413953488372093</v>
      </c>
      <c r="W685">
        <f t="shared" si="61"/>
        <v>-1</v>
      </c>
      <c r="X685">
        <f t="shared" si="62"/>
        <v>35</v>
      </c>
      <c r="Y685">
        <f t="shared" si="63"/>
        <v>0.4</v>
      </c>
      <c r="Z685" s="7" t="str">
        <f t="shared" si="64"/>
        <v>Low Sales</v>
      </c>
      <c r="AA685" s="7" t="str">
        <f t="shared" si="65"/>
        <v>High Margin</v>
      </c>
    </row>
    <row r="686" spans="1:27" x14ac:dyDescent="0.25">
      <c r="A686" t="s">
        <v>89</v>
      </c>
      <c r="B686">
        <v>82</v>
      </c>
      <c r="C686">
        <v>5</v>
      </c>
      <c r="D686" s="1">
        <v>41866</v>
      </c>
      <c r="E686">
        <v>788</v>
      </c>
      <c r="F686">
        <v>123</v>
      </c>
      <c r="G686" t="s">
        <v>21</v>
      </c>
      <c r="H686" t="s">
        <v>31</v>
      </c>
      <c r="I686">
        <v>27</v>
      </c>
      <c r="J686" t="s">
        <v>40</v>
      </c>
      <c r="K686" t="s">
        <v>45</v>
      </c>
      <c r="L686" t="s">
        <v>52</v>
      </c>
      <c r="M686">
        <v>95</v>
      </c>
      <c r="N686">
        <v>218</v>
      </c>
      <c r="O686" t="s">
        <v>34</v>
      </c>
      <c r="P686">
        <v>60</v>
      </c>
      <c r="Q686">
        <v>110</v>
      </c>
      <c r="R686">
        <v>90</v>
      </c>
      <c r="S686">
        <v>170</v>
      </c>
      <c r="T686">
        <v>59</v>
      </c>
      <c r="U686" t="s">
        <v>35</v>
      </c>
      <c r="V686">
        <f t="shared" si="60"/>
        <v>0.43577981651376146</v>
      </c>
      <c r="W686">
        <f t="shared" si="61"/>
        <v>5</v>
      </c>
      <c r="X686">
        <f t="shared" si="62"/>
        <v>48</v>
      </c>
      <c r="Y686">
        <f t="shared" si="63"/>
        <v>0.37614678899082571</v>
      </c>
      <c r="Z686" s="7" t="str">
        <f t="shared" si="64"/>
        <v>Low Sales</v>
      </c>
      <c r="AA686" s="7" t="str">
        <f t="shared" si="65"/>
        <v>High Margin</v>
      </c>
    </row>
    <row r="687" spans="1:27" x14ac:dyDescent="0.25">
      <c r="A687" t="s">
        <v>152</v>
      </c>
      <c r="B687">
        <v>72</v>
      </c>
      <c r="C687">
        <v>186</v>
      </c>
      <c r="D687" s="1">
        <v>41867</v>
      </c>
      <c r="E687">
        <v>-3004</v>
      </c>
      <c r="F687">
        <v>402</v>
      </c>
      <c r="G687" t="s">
        <v>21</v>
      </c>
      <c r="H687" t="s">
        <v>31</v>
      </c>
      <c r="I687">
        <v>23</v>
      </c>
      <c r="J687" t="s">
        <v>40</v>
      </c>
      <c r="K687" t="s">
        <v>45</v>
      </c>
      <c r="L687" t="s">
        <v>52</v>
      </c>
      <c r="M687">
        <v>516</v>
      </c>
      <c r="N687">
        <v>505</v>
      </c>
      <c r="O687" t="s">
        <v>62</v>
      </c>
      <c r="P687">
        <v>50</v>
      </c>
      <c r="Q687">
        <v>350</v>
      </c>
      <c r="R687">
        <v>330</v>
      </c>
      <c r="S687">
        <v>400</v>
      </c>
      <c r="T687">
        <v>54</v>
      </c>
      <c r="U687" t="s">
        <v>35</v>
      </c>
      <c r="V687">
        <f t="shared" si="60"/>
        <v>1.0217821782178218</v>
      </c>
      <c r="W687">
        <f t="shared" si="61"/>
        <v>186</v>
      </c>
      <c r="X687">
        <f t="shared" si="62"/>
        <v>105</v>
      </c>
      <c r="Y687">
        <f t="shared" si="63"/>
        <v>0.14257425742574256</v>
      </c>
      <c r="Z687" s="7" t="str">
        <f t="shared" si="64"/>
        <v>High Sales</v>
      </c>
      <c r="AA687" s="7" t="str">
        <f t="shared" si="65"/>
        <v>High Margin</v>
      </c>
    </row>
    <row r="688" spans="1:27" x14ac:dyDescent="0.25">
      <c r="A688" t="s">
        <v>195</v>
      </c>
      <c r="B688">
        <v>260</v>
      </c>
      <c r="C688">
        <v>137</v>
      </c>
      <c r="D688" s="1">
        <v>41868</v>
      </c>
      <c r="E688">
        <v>2548</v>
      </c>
      <c r="F688">
        <v>390</v>
      </c>
      <c r="G688" t="s">
        <v>21</v>
      </c>
      <c r="H688" t="s">
        <v>31</v>
      </c>
      <c r="I688">
        <v>91</v>
      </c>
      <c r="J688" t="s">
        <v>40</v>
      </c>
      <c r="K688" t="s">
        <v>45</v>
      </c>
      <c r="L688" t="s">
        <v>52</v>
      </c>
      <c r="M688">
        <v>367</v>
      </c>
      <c r="N688">
        <v>693</v>
      </c>
      <c r="O688" t="s">
        <v>67</v>
      </c>
      <c r="P688">
        <v>210</v>
      </c>
      <c r="Q688">
        <v>330</v>
      </c>
      <c r="R688">
        <v>230</v>
      </c>
      <c r="S688">
        <v>540</v>
      </c>
      <c r="T688">
        <v>143</v>
      </c>
      <c r="U688" t="s">
        <v>35</v>
      </c>
      <c r="V688">
        <f t="shared" si="60"/>
        <v>0.5295815295815296</v>
      </c>
      <c r="W688">
        <f t="shared" si="61"/>
        <v>137</v>
      </c>
      <c r="X688">
        <f t="shared" si="62"/>
        <v>153</v>
      </c>
      <c r="Y688">
        <f t="shared" si="63"/>
        <v>0.37518037518037517</v>
      </c>
      <c r="Z688" s="7" t="str">
        <f t="shared" si="64"/>
        <v>High Sales</v>
      </c>
      <c r="AA688" s="7" t="str">
        <f t="shared" si="65"/>
        <v>High Margin</v>
      </c>
    </row>
    <row r="689" spans="1:27" x14ac:dyDescent="0.25">
      <c r="A689" t="s">
        <v>202</v>
      </c>
      <c r="B689">
        <v>96</v>
      </c>
      <c r="C689">
        <v>-23</v>
      </c>
      <c r="D689" s="1">
        <v>41869</v>
      </c>
      <c r="E689">
        <v>683</v>
      </c>
      <c r="F689">
        <v>134</v>
      </c>
      <c r="G689" t="s">
        <v>21</v>
      </c>
      <c r="H689" t="s">
        <v>31</v>
      </c>
      <c r="I689">
        <v>87</v>
      </c>
      <c r="J689" t="s">
        <v>40</v>
      </c>
      <c r="K689" t="s">
        <v>41</v>
      </c>
      <c r="L689" t="s">
        <v>53</v>
      </c>
      <c r="M689">
        <v>27</v>
      </c>
      <c r="N689">
        <v>245</v>
      </c>
      <c r="O689" t="s">
        <v>34</v>
      </c>
      <c r="P689">
        <v>80</v>
      </c>
      <c r="Q689">
        <v>130</v>
      </c>
      <c r="R689">
        <v>50</v>
      </c>
      <c r="S689">
        <v>210</v>
      </c>
      <c r="T689">
        <v>116</v>
      </c>
      <c r="U689" t="s">
        <v>35</v>
      </c>
      <c r="V689">
        <f t="shared" si="60"/>
        <v>0.11020408163265306</v>
      </c>
      <c r="W689">
        <f t="shared" si="61"/>
        <v>-23</v>
      </c>
      <c r="X689">
        <f t="shared" si="62"/>
        <v>35</v>
      </c>
      <c r="Y689">
        <f t="shared" si="63"/>
        <v>0.39183673469387753</v>
      </c>
      <c r="Z689" s="7" t="str">
        <f t="shared" si="64"/>
        <v>Low Sales</v>
      </c>
      <c r="AA689" s="7" t="str">
        <f t="shared" si="65"/>
        <v>High Margin</v>
      </c>
    </row>
    <row r="690" spans="1:27" x14ac:dyDescent="0.25">
      <c r="A690" t="s">
        <v>174</v>
      </c>
      <c r="B690">
        <v>125</v>
      </c>
      <c r="C690">
        <v>-130</v>
      </c>
      <c r="D690" s="1">
        <v>41870</v>
      </c>
      <c r="E690">
        <v>3142</v>
      </c>
      <c r="F690">
        <v>-56</v>
      </c>
      <c r="G690" t="s">
        <v>21</v>
      </c>
      <c r="H690" t="s">
        <v>31</v>
      </c>
      <c r="I690">
        <v>113</v>
      </c>
      <c r="J690" t="s">
        <v>40</v>
      </c>
      <c r="K690" t="s">
        <v>41</v>
      </c>
      <c r="L690" t="s">
        <v>53</v>
      </c>
      <c r="M690">
        <v>-300</v>
      </c>
      <c r="N690">
        <v>74</v>
      </c>
      <c r="O690" t="s">
        <v>67</v>
      </c>
      <c r="P690">
        <v>110</v>
      </c>
      <c r="Q690">
        <v>-60</v>
      </c>
      <c r="R690">
        <v>-170</v>
      </c>
      <c r="S690">
        <v>50</v>
      </c>
      <c r="T690">
        <v>146</v>
      </c>
      <c r="U690" t="s">
        <v>35</v>
      </c>
      <c r="V690">
        <f t="shared" si="60"/>
        <v>-4.0540540540540544</v>
      </c>
      <c r="W690">
        <f t="shared" si="61"/>
        <v>-130</v>
      </c>
      <c r="X690">
        <f t="shared" si="62"/>
        <v>24</v>
      </c>
      <c r="Y690">
        <f t="shared" si="63"/>
        <v>1.6891891891891893</v>
      </c>
      <c r="Z690" s="7" t="str">
        <f t="shared" si="64"/>
        <v>Low Sales</v>
      </c>
      <c r="AA690" s="7" t="str">
        <f t="shared" si="65"/>
        <v>Low Margin</v>
      </c>
    </row>
    <row r="691" spans="1:27" x14ac:dyDescent="0.25">
      <c r="A691" t="s">
        <v>131</v>
      </c>
      <c r="B691">
        <v>161</v>
      </c>
      <c r="C691">
        <v>17</v>
      </c>
      <c r="D691" s="1">
        <v>41871</v>
      </c>
      <c r="E691">
        <v>1267</v>
      </c>
      <c r="F691">
        <v>161</v>
      </c>
      <c r="G691" t="s">
        <v>21</v>
      </c>
      <c r="H691" t="s">
        <v>31</v>
      </c>
      <c r="I691">
        <v>45</v>
      </c>
      <c r="J691" t="s">
        <v>40</v>
      </c>
      <c r="K691" t="s">
        <v>41</v>
      </c>
      <c r="L691" t="s">
        <v>66</v>
      </c>
      <c r="M691">
        <v>137</v>
      </c>
      <c r="N691">
        <v>343</v>
      </c>
      <c r="O691" t="s">
        <v>62</v>
      </c>
      <c r="P691">
        <v>140</v>
      </c>
      <c r="Q691">
        <v>160</v>
      </c>
      <c r="R691">
        <v>120</v>
      </c>
      <c r="S691">
        <v>300</v>
      </c>
      <c r="T691">
        <v>69</v>
      </c>
      <c r="U691" t="s">
        <v>35</v>
      </c>
      <c r="V691">
        <f t="shared" si="60"/>
        <v>0.39941690962099125</v>
      </c>
      <c r="W691">
        <f t="shared" si="61"/>
        <v>17</v>
      </c>
      <c r="X691">
        <f t="shared" si="62"/>
        <v>43</v>
      </c>
      <c r="Y691">
        <f t="shared" si="63"/>
        <v>0.46938775510204084</v>
      </c>
      <c r="Z691" s="7" t="str">
        <f t="shared" si="64"/>
        <v>High Sales</v>
      </c>
      <c r="AA691" s="7" t="str">
        <f t="shared" si="65"/>
        <v>High Margin</v>
      </c>
    </row>
    <row r="692" spans="1:27" x14ac:dyDescent="0.25">
      <c r="A692" t="s">
        <v>200</v>
      </c>
      <c r="B692">
        <v>239</v>
      </c>
      <c r="C692">
        <v>196</v>
      </c>
      <c r="D692" s="1">
        <v>41872</v>
      </c>
      <c r="E692">
        <v>1197</v>
      </c>
      <c r="F692">
        <v>526</v>
      </c>
      <c r="G692" t="s">
        <v>21</v>
      </c>
      <c r="H692" t="s">
        <v>31</v>
      </c>
      <c r="I692">
        <v>66</v>
      </c>
      <c r="J692" t="s">
        <v>40</v>
      </c>
      <c r="K692" t="s">
        <v>41</v>
      </c>
      <c r="L692" t="s">
        <v>66</v>
      </c>
      <c r="M692">
        <v>646</v>
      </c>
      <c r="N692">
        <v>815</v>
      </c>
      <c r="O692" t="s">
        <v>67</v>
      </c>
      <c r="P692">
        <v>210</v>
      </c>
      <c r="Q692">
        <v>510</v>
      </c>
      <c r="R692">
        <v>450</v>
      </c>
      <c r="S692">
        <v>720</v>
      </c>
      <c r="T692">
        <v>91</v>
      </c>
      <c r="U692" t="s">
        <v>35</v>
      </c>
      <c r="V692">
        <f t="shared" si="60"/>
        <v>0.79263803680981593</v>
      </c>
      <c r="W692">
        <f t="shared" si="61"/>
        <v>196</v>
      </c>
      <c r="X692">
        <f t="shared" si="62"/>
        <v>95</v>
      </c>
      <c r="Y692">
        <f t="shared" si="63"/>
        <v>0.29325153374233126</v>
      </c>
      <c r="Z692" s="7" t="str">
        <f t="shared" si="64"/>
        <v>High Sales</v>
      </c>
      <c r="AA692" s="7" t="str">
        <f t="shared" si="65"/>
        <v>High Margin</v>
      </c>
    </row>
    <row r="693" spans="1:27" x14ac:dyDescent="0.25">
      <c r="A693" t="s">
        <v>147</v>
      </c>
      <c r="B693">
        <v>22</v>
      </c>
      <c r="C693">
        <v>-5</v>
      </c>
      <c r="D693" s="1">
        <v>41873</v>
      </c>
      <c r="E693">
        <v>573</v>
      </c>
      <c r="F693">
        <v>29</v>
      </c>
      <c r="G693" t="s">
        <v>21</v>
      </c>
      <c r="H693" t="s">
        <v>31</v>
      </c>
      <c r="I693">
        <v>7</v>
      </c>
      <c r="J693" t="s">
        <v>23</v>
      </c>
      <c r="K693" t="s">
        <v>24</v>
      </c>
      <c r="L693" t="s">
        <v>57</v>
      </c>
      <c r="M693">
        <v>15</v>
      </c>
      <c r="N693">
        <v>54</v>
      </c>
      <c r="O693" t="s">
        <v>34</v>
      </c>
      <c r="P693">
        <v>0</v>
      </c>
      <c r="Q693">
        <v>20</v>
      </c>
      <c r="R693">
        <v>20</v>
      </c>
      <c r="S693">
        <v>20</v>
      </c>
      <c r="T693">
        <v>19</v>
      </c>
      <c r="U693" t="s">
        <v>27</v>
      </c>
      <c r="V693">
        <f t="shared" si="60"/>
        <v>0.27777777777777779</v>
      </c>
      <c r="W693">
        <f t="shared" si="61"/>
        <v>-5</v>
      </c>
      <c r="X693">
        <f t="shared" si="62"/>
        <v>34</v>
      </c>
      <c r="Y693">
        <f t="shared" si="63"/>
        <v>0.40740740740740738</v>
      </c>
      <c r="Z693" s="7" t="str">
        <f t="shared" si="64"/>
        <v>Low Sales</v>
      </c>
      <c r="AA693" s="7" t="str">
        <f t="shared" si="65"/>
        <v>High Margin</v>
      </c>
    </row>
    <row r="694" spans="1:27" x14ac:dyDescent="0.25">
      <c r="A694" t="s">
        <v>186</v>
      </c>
      <c r="B694">
        <v>255</v>
      </c>
      <c r="C694">
        <v>121</v>
      </c>
      <c r="D694" s="1">
        <v>41874</v>
      </c>
      <c r="E694">
        <v>1622</v>
      </c>
      <c r="F694">
        <v>258</v>
      </c>
      <c r="G694" t="s">
        <v>21</v>
      </c>
      <c r="H694" t="s">
        <v>31</v>
      </c>
      <c r="I694">
        <v>96</v>
      </c>
      <c r="J694" t="s">
        <v>23</v>
      </c>
      <c r="K694" t="s">
        <v>24</v>
      </c>
      <c r="L694" t="s">
        <v>25</v>
      </c>
      <c r="M694">
        <v>191</v>
      </c>
      <c r="N694">
        <v>547</v>
      </c>
      <c r="O694" t="s">
        <v>67</v>
      </c>
      <c r="P694">
        <v>140</v>
      </c>
      <c r="Q694">
        <v>150</v>
      </c>
      <c r="R694">
        <v>70</v>
      </c>
      <c r="S694">
        <v>290</v>
      </c>
      <c r="T694">
        <v>129</v>
      </c>
      <c r="U694" t="s">
        <v>27</v>
      </c>
      <c r="V694">
        <f t="shared" si="60"/>
        <v>0.34917733089579522</v>
      </c>
      <c r="W694">
        <f t="shared" si="61"/>
        <v>121</v>
      </c>
      <c r="X694">
        <f t="shared" si="62"/>
        <v>257</v>
      </c>
      <c r="Y694">
        <f t="shared" si="63"/>
        <v>0.46617915904936014</v>
      </c>
      <c r="Z694" s="7" t="str">
        <f t="shared" si="64"/>
        <v>High Sales</v>
      </c>
      <c r="AA694" s="7" t="str">
        <f t="shared" si="65"/>
        <v>High Margin</v>
      </c>
    </row>
    <row r="695" spans="1:27" x14ac:dyDescent="0.25">
      <c r="A695" t="s">
        <v>199</v>
      </c>
      <c r="B695">
        <v>239</v>
      </c>
      <c r="C695">
        <v>-152</v>
      </c>
      <c r="D695" s="1">
        <v>41875</v>
      </c>
      <c r="E695">
        <v>4360</v>
      </c>
      <c r="F695">
        <v>-75</v>
      </c>
      <c r="G695" t="s">
        <v>21</v>
      </c>
      <c r="H695" t="s">
        <v>31</v>
      </c>
      <c r="I695">
        <v>74</v>
      </c>
      <c r="J695" t="s">
        <v>23</v>
      </c>
      <c r="K695" t="s">
        <v>24</v>
      </c>
      <c r="L695" t="s">
        <v>28</v>
      </c>
      <c r="M695">
        <v>-252</v>
      </c>
      <c r="N695">
        <v>175</v>
      </c>
      <c r="O695" t="s">
        <v>67</v>
      </c>
      <c r="P695">
        <v>130</v>
      </c>
      <c r="Q695">
        <v>-50</v>
      </c>
      <c r="R695">
        <v>-100</v>
      </c>
      <c r="S695">
        <v>80</v>
      </c>
      <c r="T695">
        <v>95</v>
      </c>
      <c r="U695" t="s">
        <v>27</v>
      </c>
      <c r="V695">
        <f t="shared" si="60"/>
        <v>-1.44</v>
      </c>
      <c r="W695">
        <f t="shared" si="61"/>
        <v>-152</v>
      </c>
      <c r="X695">
        <f t="shared" si="62"/>
        <v>95</v>
      </c>
      <c r="Y695">
        <f t="shared" si="63"/>
        <v>1.3657142857142857</v>
      </c>
      <c r="Z695" s="7" t="str">
        <f t="shared" si="64"/>
        <v>Low Sales</v>
      </c>
      <c r="AA695" s="7" t="str">
        <f t="shared" si="65"/>
        <v>Low Margin</v>
      </c>
    </row>
    <row r="696" spans="1:27" x14ac:dyDescent="0.25">
      <c r="A696" t="s">
        <v>186</v>
      </c>
      <c r="B696">
        <v>108</v>
      </c>
      <c r="C696">
        <v>31</v>
      </c>
      <c r="D696" s="1">
        <v>41876</v>
      </c>
      <c r="E696">
        <v>971</v>
      </c>
      <c r="F696">
        <v>157</v>
      </c>
      <c r="G696" t="s">
        <v>21</v>
      </c>
      <c r="H696" t="s">
        <v>31</v>
      </c>
      <c r="I696">
        <v>30</v>
      </c>
      <c r="J696" t="s">
        <v>23</v>
      </c>
      <c r="K696" t="s">
        <v>32</v>
      </c>
      <c r="L696" t="s">
        <v>33</v>
      </c>
      <c r="M696">
        <v>171</v>
      </c>
      <c r="N696">
        <v>282</v>
      </c>
      <c r="O696" t="s">
        <v>67</v>
      </c>
      <c r="P696">
        <v>110</v>
      </c>
      <c r="Q696">
        <v>170</v>
      </c>
      <c r="R696">
        <v>140</v>
      </c>
      <c r="S696">
        <v>280</v>
      </c>
      <c r="T696">
        <v>42</v>
      </c>
      <c r="U696" t="s">
        <v>35</v>
      </c>
      <c r="V696">
        <f t="shared" si="60"/>
        <v>0.6063829787234043</v>
      </c>
      <c r="W696">
        <f t="shared" si="61"/>
        <v>31</v>
      </c>
      <c r="X696">
        <f t="shared" si="62"/>
        <v>2</v>
      </c>
      <c r="Y696">
        <f t="shared" si="63"/>
        <v>0.38297872340425532</v>
      </c>
      <c r="Z696" s="7" t="str">
        <f t="shared" si="64"/>
        <v>Low Sales</v>
      </c>
      <c r="AA696" s="7" t="str">
        <f t="shared" si="65"/>
        <v>High Margin</v>
      </c>
    </row>
    <row r="697" spans="1:27" x14ac:dyDescent="0.25">
      <c r="A697" t="s">
        <v>168</v>
      </c>
      <c r="B697">
        <v>123</v>
      </c>
      <c r="C697">
        <v>39</v>
      </c>
      <c r="D697" s="1">
        <v>41877</v>
      </c>
      <c r="E697">
        <v>915</v>
      </c>
      <c r="F697">
        <v>179</v>
      </c>
      <c r="G697" t="s">
        <v>21</v>
      </c>
      <c r="H697" t="s">
        <v>31</v>
      </c>
      <c r="I697">
        <v>34</v>
      </c>
      <c r="J697" t="s">
        <v>23</v>
      </c>
      <c r="K697" t="s">
        <v>32</v>
      </c>
      <c r="L697" t="s">
        <v>61</v>
      </c>
      <c r="M697">
        <v>199</v>
      </c>
      <c r="N697">
        <v>322</v>
      </c>
      <c r="O697" t="s">
        <v>67</v>
      </c>
      <c r="P697">
        <v>130</v>
      </c>
      <c r="Q697">
        <v>190</v>
      </c>
      <c r="R697">
        <v>160</v>
      </c>
      <c r="S697">
        <v>320</v>
      </c>
      <c r="T697">
        <v>45</v>
      </c>
      <c r="U697" t="s">
        <v>35</v>
      </c>
      <c r="V697">
        <f t="shared" si="60"/>
        <v>0.61801242236024845</v>
      </c>
      <c r="W697">
        <f t="shared" si="61"/>
        <v>39</v>
      </c>
      <c r="X697">
        <f t="shared" si="62"/>
        <v>2</v>
      </c>
      <c r="Y697">
        <f t="shared" si="63"/>
        <v>0.38198757763975155</v>
      </c>
      <c r="Z697" s="7" t="str">
        <f t="shared" si="64"/>
        <v>High Sales</v>
      </c>
      <c r="AA697" s="7" t="str">
        <f t="shared" si="65"/>
        <v>High Margin</v>
      </c>
    </row>
    <row r="698" spans="1:27" x14ac:dyDescent="0.25">
      <c r="A698" t="s">
        <v>201</v>
      </c>
      <c r="B698">
        <v>76</v>
      </c>
      <c r="C698">
        <v>16</v>
      </c>
      <c r="D698" s="1">
        <v>41878</v>
      </c>
      <c r="E698">
        <v>580</v>
      </c>
      <c r="F698">
        <v>111</v>
      </c>
      <c r="G698" t="s">
        <v>21</v>
      </c>
      <c r="H698" t="s">
        <v>31</v>
      </c>
      <c r="I698">
        <v>21</v>
      </c>
      <c r="J698" t="s">
        <v>23</v>
      </c>
      <c r="K698" t="s">
        <v>32</v>
      </c>
      <c r="L698" t="s">
        <v>37</v>
      </c>
      <c r="M698">
        <v>116</v>
      </c>
      <c r="N698">
        <v>199</v>
      </c>
      <c r="O698" t="s">
        <v>67</v>
      </c>
      <c r="P698">
        <v>80</v>
      </c>
      <c r="Q698">
        <v>120</v>
      </c>
      <c r="R698">
        <v>100</v>
      </c>
      <c r="S698">
        <v>200</v>
      </c>
      <c r="T698">
        <v>33</v>
      </c>
      <c r="U698" t="s">
        <v>35</v>
      </c>
      <c r="V698">
        <f t="shared" si="60"/>
        <v>0.58291457286432158</v>
      </c>
      <c r="W698">
        <f t="shared" si="61"/>
        <v>16</v>
      </c>
      <c r="X698">
        <f t="shared" si="62"/>
        <v>-1</v>
      </c>
      <c r="Y698">
        <f t="shared" si="63"/>
        <v>0.38190954773869346</v>
      </c>
      <c r="Z698" s="7" t="str">
        <f t="shared" si="64"/>
        <v>Low Sales</v>
      </c>
      <c r="AA698" s="7" t="str">
        <f t="shared" si="65"/>
        <v>High Margin</v>
      </c>
    </row>
    <row r="699" spans="1:27" x14ac:dyDescent="0.25">
      <c r="A699" t="s">
        <v>147</v>
      </c>
      <c r="B699">
        <v>102</v>
      </c>
      <c r="C699">
        <v>42</v>
      </c>
      <c r="D699" s="1">
        <v>41879</v>
      </c>
      <c r="E699">
        <v>666</v>
      </c>
      <c r="F699">
        <v>143</v>
      </c>
      <c r="G699" t="s">
        <v>21</v>
      </c>
      <c r="H699" t="s">
        <v>31</v>
      </c>
      <c r="I699">
        <v>31</v>
      </c>
      <c r="J699" t="s">
        <v>40</v>
      </c>
      <c r="K699" t="s">
        <v>45</v>
      </c>
      <c r="L699" t="s">
        <v>46</v>
      </c>
      <c r="M699">
        <v>132</v>
      </c>
      <c r="N699">
        <v>261</v>
      </c>
      <c r="O699" t="s">
        <v>34</v>
      </c>
      <c r="P699">
        <v>90</v>
      </c>
      <c r="Q699">
        <v>130</v>
      </c>
      <c r="R699">
        <v>90</v>
      </c>
      <c r="S699">
        <v>220</v>
      </c>
      <c r="T699">
        <v>54</v>
      </c>
      <c r="U699" t="s">
        <v>27</v>
      </c>
      <c r="V699">
        <f t="shared" si="60"/>
        <v>0.50574712643678166</v>
      </c>
      <c r="W699">
        <f t="shared" si="61"/>
        <v>42</v>
      </c>
      <c r="X699">
        <f t="shared" si="62"/>
        <v>41</v>
      </c>
      <c r="Y699">
        <f t="shared" si="63"/>
        <v>0.39080459770114945</v>
      </c>
      <c r="Z699" s="7" t="str">
        <f t="shared" si="64"/>
        <v>Low Sales</v>
      </c>
      <c r="AA699" s="7" t="str">
        <f t="shared" si="65"/>
        <v>High Margin</v>
      </c>
    </row>
    <row r="700" spans="1:27" x14ac:dyDescent="0.25">
      <c r="A700" t="s">
        <v>173</v>
      </c>
      <c r="B700">
        <v>77</v>
      </c>
      <c r="C700">
        <v>16</v>
      </c>
      <c r="D700" s="1">
        <v>41880</v>
      </c>
      <c r="E700">
        <v>557</v>
      </c>
      <c r="F700">
        <v>103</v>
      </c>
      <c r="G700" t="s">
        <v>21</v>
      </c>
      <c r="H700" t="s">
        <v>31</v>
      </c>
      <c r="I700">
        <v>25</v>
      </c>
      <c r="J700" t="s">
        <v>40</v>
      </c>
      <c r="K700" t="s">
        <v>41</v>
      </c>
      <c r="L700" t="s">
        <v>42</v>
      </c>
      <c r="M700">
        <v>76</v>
      </c>
      <c r="N700">
        <v>192</v>
      </c>
      <c r="O700" t="s">
        <v>34</v>
      </c>
      <c r="P700">
        <v>70</v>
      </c>
      <c r="Q700">
        <v>100</v>
      </c>
      <c r="R700">
        <v>60</v>
      </c>
      <c r="S700">
        <v>170</v>
      </c>
      <c r="T700">
        <v>52</v>
      </c>
      <c r="U700" t="s">
        <v>27</v>
      </c>
      <c r="V700">
        <f t="shared" si="60"/>
        <v>0.39583333333333331</v>
      </c>
      <c r="W700">
        <f t="shared" si="61"/>
        <v>16</v>
      </c>
      <c r="X700">
        <f t="shared" si="62"/>
        <v>22</v>
      </c>
      <c r="Y700">
        <f t="shared" si="63"/>
        <v>0.40104166666666669</v>
      </c>
      <c r="Z700" s="7" t="str">
        <f t="shared" si="64"/>
        <v>Low Sales</v>
      </c>
      <c r="AA700" s="7" t="str">
        <f t="shared" si="65"/>
        <v>High Margin</v>
      </c>
    </row>
    <row r="701" spans="1:27" x14ac:dyDescent="0.25">
      <c r="A701" t="s">
        <v>178</v>
      </c>
      <c r="B701">
        <v>78</v>
      </c>
      <c r="C701">
        <v>33</v>
      </c>
      <c r="D701" s="1">
        <v>41881</v>
      </c>
      <c r="E701">
        <v>798</v>
      </c>
      <c r="F701">
        <v>119</v>
      </c>
      <c r="G701" t="s">
        <v>21</v>
      </c>
      <c r="H701" t="s">
        <v>31</v>
      </c>
      <c r="I701">
        <v>25</v>
      </c>
      <c r="J701" t="s">
        <v>40</v>
      </c>
      <c r="K701" t="s">
        <v>45</v>
      </c>
      <c r="L701" t="s">
        <v>52</v>
      </c>
      <c r="M701">
        <v>93</v>
      </c>
      <c r="N701">
        <v>210</v>
      </c>
      <c r="O701" t="s">
        <v>34</v>
      </c>
      <c r="P701">
        <v>70</v>
      </c>
      <c r="Q701">
        <v>100</v>
      </c>
      <c r="R701">
        <v>60</v>
      </c>
      <c r="S701">
        <v>170</v>
      </c>
      <c r="T701">
        <v>56</v>
      </c>
      <c r="U701" t="s">
        <v>35</v>
      </c>
      <c r="V701">
        <f t="shared" si="60"/>
        <v>0.44285714285714284</v>
      </c>
      <c r="W701">
        <f t="shared" si="61"/>
        <v>33</v>
      </c>
      <c r="X701">
        <f t="shared" si="62"/>
        <v>40</v>
      </c>
      <c r="Y701">
        <f t="shared" si="63"/>
        <v>0.37142857142857144</v>
      </c>
      <c r="Z701" s="7" t="str">
        <f t="shared" si="64"/>
        <v>Low Sales</v>
      </c>
      <c r="AA701" s="7" t="str">
        <f t="shared" si="65"/>
        <v>High Margin</v>
      </c>
    </row>
    <row r="702" spans="1:27" x14ac:dyDescent="0.25">
      <c r="A702" t="s">
        <v>152</v>
      </c>
      <c r="B702">
        <v>75</v>
      </c>
      <c r="C702">
        <v>181</v>
      </c>
      <c r="D702" s="1">
        <v>41882</v>
      </c>
      <c r="E702">
        <v>-3287</v>
      </c>
      <c r="F702">
        <v>379</v>
      </c>
      <c r="G702" t="s">
        <v>21</v>
      </c>
      <c r="H702" t="s">
        <v>31</v>
      </c>
      <c r="I702">
        <v>24</v>
      </c>
      <c r="J702" t="s">
        <v>40</v>
      </c>
      <c r="K702" t="s">
        <v>45</v>
      </c>
      <c r="L702" t="s">
        <v>52</v>
      </c>
      <c r="M702">
        <v>481</v>
      </c>
      <c r="N702">
        <v>484</v>
      </c>
      <c r="O702" t="s">
        <v>62</v>
      </c>
      <c r="P702">
        <v>60</v>
      </c>
      <c r="Q702">
        <v>340</v>
      </c>
      <c r="R702">
        <v>300</v>
      </c>
      <c r="S702">
        <v>400</v>
      </c>
      <c r="T702">
        <v>55</v>
      </c>
      <c r="U702" t="s">
        <v>35</v>
      </c>
      <c r="V702">
        <f t="shared" si="60"/>
        <v>0.99380165289256195</v>
      </c>
      <c r="W702">
        <f t="shared" si="61"/>
        <v>181</v>
      </c>
      <c r="X702">
        <f t="shared" si="62"/>
        <v>84</v>
      </c>
      <c r="Y702">
        <f t="shared" si="63"/>
        <v>0.15495867768595042</v>
      </c>
      <c r="Z702" s="7" t="str">
        <f t="shared" si="64"/>
        <v>High Sales</v>
      </c>
      <c r="AA702" s="7" t="str">
        <f t="shared" si="65"/>
        <v>High Margin</v>
      </c>
    </row>
    <row r="703" spans="1:27" x14ac:dyDescent="0.25">
      <c r="A703" t="s">
        <v>201</v>
      </c>
      <c r="B703">
        <v>249</v>
      </c>
      <c r="C703">
        <v>120</v>
      </c>
      <c r="D703" s="1">
        <v>41883</v>
      </c>
      <c r="E703">
        <v>2580</v>
      </c>
      <c r="F703">
        <v>374</v>
      </c>
      <c r="G703" t="s">
        <v>21</v>
      </c>
      <c r="H703" t="s">
        <v>31</v>
      </c>
      <c r="I703">
        <v>87</v>
      </c>
      <c r="J703" t="s">
        <v>40</v>
      </c>
      <c r="K703" t="s">
        <v>45</v>
      </c>
      <c r="L703" t="s">
        <v>52</v>
      </c>
      <c r="M703">
        <v>350</v>
      </c>
      <c r="N703">
        <v>664</v>
      </c>
      <c r="O703" t="s">
        <v>67</v>
      </c>
      <c r="P703">
        <v>220</v>
      </c>
      <c r="Q703">
        <v>340</v>
      </c>
      <c r="R703">
        <v>230</v>
      </c>
      <c r="S703">
        <v>560</v>
      </c>
      <c r="T703">
        <v>138</v>
      </c>
      <c r="U703" t="s">
        <v>35</v>
      </c>
      <c r="V703">
        <f t="shared" si="60"/>
        <v>0.52710843373493976</v>
      </c>
      <c r="W703">
        <f t="shared" si="61"/>
        <v>120</v>
      </c>
      <c r="X703">
        <f t="shared" si="62"/>
        <v>104</v>
      </c>
      <c r="Y703">
        <f t="shared" si="63"/>
        <v>0.375</v>
      </c>
      <c r="Z703" s="7" t="str">
        <f t="shared" si="64"/>
        <v>High Sales</v>
      </c>
      <c r="AA703" s="7" t="str">
        <f t="shared" si="65"/>
        <v>High Margin</v>
      </c>
    </row>
    <row r="704" spans="1:27" x14ac:dyDescent="0.25">
      <c r="A704" t="s">
        <v>159</v>
      </c>
      <c r="B704">
        <v>94</v>
      </c>
      <c r="C704">
        <v>2</v>
      </c>
      <c r="D704" s="1">
        <v>41884</v>
      </c>
      <c r="E704">
        <v>694</v>
      </c>
      <c r="F704">
        <v>130</v>
      </c>
      <c r="G704" t="s">
        <v>21</v>
      </c>
      <c r="H704" t="s">
        <v>31</v>
      </c>
      <c r="I704">
        <v>85</v>
      </c>
      <c r="J704" t="s">
        <v>40</v>
      </c>
      <c r="K704" t="s">
        <v>41</v>
      </c>
      <c r="L704" t="s">
        <v>53</v>
      </c>
      <c r="M704">
        <v>22</v>
      </c>
      <c r="N704">
        <v>239</v>
      </c>
      <c r="O704" t="s">
        <v>34</v>
      </c>
      <c r="P704">
        <v>90</v>
      </c>
      <c r="Q704">
        <v>120</v>
      </c>
      <c r="R704">
        <v>20</v>
      </c>
      <c r="S704">
        <v>210</v>
      </c>
      <c r="T704">
        <v>115</v>
      </c>
      <c r="U704" t="s">
        <v>35</v>
      </c>
      <c r="V704">
        <f t="shared" si="60"/>
        <v>9.2050209205020925E-2</v>
      </c>
      <c r="W704">
        <f t="shared" si="61"/>
        <v>2</v>
      </c>
      <c r="X704">
        <f t="shared" si="62"/>
        <v>29</v>
      </c>
      <c r="Y704">
        <f t="shared" si="63"/>
        <v>0.39330543933054396</v>
      </c>
      <c r="Z704" s="7" t="str">
        <f t="shared" si="64"/>
        <v>Low Sales</v>
      </c>
      <c r="AA704" s="7" t="str">
        <f t="shared" si="65"/>
        <v>High Margin</v>
      </c>
    </row>
    <row r="705" spans="1:27" x14ac:dyDescent="0.25">
      <c r="A705" t="s">
        <v>174</v>
      </c>
      <c r="B705">
        <v>121</v>
      </c>
      <c r="C705">
        <v>-110</v>
      </c>
      <c r="D705" s="1">
        <v>41885</v>
      </c>
      <c r="E705">
        <v>3385</v>
      </c>
      <c r="F705">
        <v>-60</v>
      </c>
      <c r="G705" t="s">
        <v>21</v>
      </c>
      <c r="H705" t="s">
        <v>31</v>
      </c>
      <c r="I705">
        <v>109</v>
      </c>
      <c r="J705" t="s">
        <v>40</v>
      </c>
      <c r="K705" t="s">
        <v>41</v>
      </c>
      <c r="L705" t="s">
        <v>53</v>
      </c>
      <c r="M705">
        <v>-300</v>
      </c>
      <c r="N705">
        <v>65</v>
      </c>
      <c r="O705" t="s">
        <v>67</v>
      </c>
      <c r="P705">
        <v>110</v>
      </c>
      <c r="Q705">
        <v>-60</v>
      </c>
      <c r="R705">
        <v>-190</v>
      </c>
      <c r="S705">
        <v>50</v>
      </c>
      <c r="T705">
        <v>142</v>
      </c>
      <c r="U705" t="s">
        <v>35</v>
      </c>
      <c r="V705">
        <f t="shared" si="60"/>
        <v>-4.615384615384615</v>
      </c>
      <c r="W705">
        <f t="shared" si="61"/>
        <v>-110</v>
      </c>
      <c r="X705">
        <f t="shared" si="62"/>
        <v>15</v>
      </c>
      <c r="Y705">
        <f t="shared" si="63"/>
        <v>1.8615384615384616</v>
      </c>
      <c r="Z705" s="7" t="str">
        <f t="shared" si="64"/>
        <v>Low Sales</v>
      </c>
      <c r="AA705" s="7" t="str">
        <f t="shared" si="65"/>
        <v>Low Margin</v>
      </c>
    </row>
    <row r="706" spans="1:27" x14ac:dyDescent="0.25">
      <c r="A706" t="s">
        <v>138</v>
      </c>
      <c r="B706">
        <v>181</v>
      </c>
      <c r="C706">
        <v>40</v>
      </c>
      <c r="D706" s="1">
        <v>41886</v>
      </c>
      <c r="E706">
        <v>1283</v>
      </c>
      <c r="F706">
        <v>182</v>
      </c>
      <c r="G706" t="s">
        <v>21</v>
      </c>
      <c r="H706" t="s">
        <v>31</v>
      </c>
      <c r="I706">
        <v>50</v>
      </c>
      <c r="J706" t="s">
        <v>40</v>
      </c>
      <c r="K706" t="s">
        <v>41</v>
      </c>
      <c r="L706" t="s">
        <v>66</v>
      </c>
      <c r="M706">
        <v>160</v>
      </c>
      <c r="N706">
        <v>387</v>
      </c>
      <c r="O706" t="s">
        <v>62</v>
      </c>
      <c r="P706">
        <v>170</v>
      </c>
      <c r="Q706">
        <v>180</v>
      </c>
      <c r="R706">
        <v>120</v>
      </c>
      <c r="S706">
        <v>350</v>
      </c>
      <c r="T706">
        <v>74</v>
      </c>
      <c r="U706" t="s">
        <v>35</v>
      </c>
      <c r="V706">
        <f t="shared" ref="V706:V769" si="66">M706/N706</f>
        <v>0.41343669250645992</v>
      </c>
      <c r="W706">
        <f t="shared" ref="W706:W769" si="67">M706-R706</f>
        <v>40</v>
      </c>
      <c r="X706">
        <f t="shared" ref="X706:X769" si="68">N706-S706</f>
        <v>37</v>
      </c>
      <c r="Y706">
        <f t="shared" ref="Y706:Y769" si="69">B706/N706</f>
        <v>0.46770025839793283</v>
      </c>
      <c r="Z706" s="7" t="str">
        <f t="shared" ref="Z706:Z769" si="70">IF(N706&gt;=AVERAGE(N706:N1767),"High Sales","Low Sales")</f>
        <v>High Sales</v>
      </c>
      <c r="AA706" s="7" t="str">
        <f t="shared" ref="AA706:AA769" si="71">IF(V706&gt;=AVERAGE(V706:V1767), "High Margin", "Low Margin")</f>
        <v>High Margin</v>
      </c>
    </row>
    <row r="707" spans="1:27" x14ac:dyDescent="0.25">
      <c r="A707" t="s">
        <v>203</v>
      </c>
      <c r="B707">
        <v>211</v>
      </c>
      <c r="C707">
        <v>175</v>
      </c>
      <c r="D707" s="1">
        <v>41887</v>
      </c>
      <c r="E707">
        <v>933</v>
      </c>
      <c r="F707">
        <v>464</v>
      </c>
      <c r="G707" t="s">
        <v>21</v>
      </c>
      <c r="H707" t="s">
        <v>31</v>
      </c>
      <c r="I707">
        <v>59</v>
      </c>
      <c r="J707" t="s">
        <v>40</v>
      </c>
      <c r="K707" t="s">
        <v>41</v>
      </c>
      <c r="L707" t="s">
        <v>66</v>
      </c>
      <c r="M707">
        <v>565</v>
      </c>
      <c r="N707">
        <v>719</v>
      </c>
      <c r="O707" t="s">
        <v>67</v>
      </c>
      <c r="P707">
        <v>200</v>
      </c>
      <c r="Q707">
        <v>460</v>
      </c>
      <c r="R707">
        <v>390</v>
      </c>
      <c r="S707">
        <v>660</v>
      </c>
      <c r="T707">
        <v>83</v>
      </c>
      <c r="U707" t="s">
        <v>35</v>
      </c>
      <c r="V707">
        <f t="shared" si="66"/>
        <v>0.78581363004172466</v>
      </c>
      <c r="W707">
        <f t="shared" si="67"/>
        <v>175</v>
      </c>
      <c r="X707">
        <f t="shared" si="68"/>
        <v>59</v>
      </c>
      <c r="Y707">
        <f t="shared" si="69"/>
        <v>0.29346314325452016</v>
      </c>
      <c r="Z707" s="7" t="str">
        <f t="shared" si="70"/>
        <v>High Sales</v>
      </c>
      <c r="AA707" s="7" t="str">
        <f t="shared" si="71"/>
        <v>High Margin</v>
      </c>
    </row>
    <row r="708" spans="1:27" x14ac:dyDescent="0.25">
      <c r="A708" t="s">
        <v>202</v>
      </c>
      <c r="B708">
        <v>22</v>
      </c>
      <c r="C708">
        <v>6</v>
      </c>
      <c r="D708" s="1">
        <v>41888</v>
      </c>
      <c r="E708">
        <v>570</v>
      </c>
      <c r="F708">
        <v>30</v>
      </c>
      <c r="G708" t="s">
        <v>21</v>
      </c>
      <c r="H708" t="s">
        <v>31</v>
      </c>
      <c r="I708">
        <v>7</v>
      </c>
      <c r="J708" t="s">
        <v>23</v>
      </c>
      <c r="K708" t="s">
        <v>24</v>
      </c>
      <c r="L708" t="s">
        <v>57</v>
      </c>
      <c r="M708">
        <v>16</v>
      </c>
      <c r="N708">
        <v>55</v>
      </c>
      <c r="O708" t="s">
        <v>34</v>
      </c>
      <c r="P708">
        <v>10</v>
      </c>
      <c r="Q708">
        <v>20</v>
      </c>
      <c r="R708">
        <v>10</v>
      </c>
      <c r="S708">
        <v>30</v>
      </c>
      <c r="T708">
        <v>19</v>
      </c>
      <c r="U708" t="s">
        <v>27</v>
      </c>
      <c r="V708">
        <f t="shared" si="66"/>
        <v>0.29090909090909089</v>
      </c>
      <c r="W708">
        <f t="shared" si="67"/>
        <v>6</v>
      </c>
      <c r="X708">
        <f t="shared" si="68"/>
        <v>25</v>
      </c>
      <c r="Y708">
        <f t="shared" si="69"/>
        <v>0.4</v>
      </c>
      <c r="Z708" s="7" t="str">
        <f t="shared" si="70"/>
        <v>Low Sales</v>
      </c>
      <c r="AA708" s="7" t="str">
        <f t="shared" si="71"/>
        <v>High Margin</v>
      </c>
    </row>
    <row r="709" spans="1:27" x14ac:dyDescent="0.25">
      <c r="A709" t="s">
        <v>186</v>
      </c>
      <c r="B709">
        <v>245</v>
      </c>
      <c r="C709">
        <v>163</v>
      </c>
      <c r="D709" s="1">
        <v>41889</v>
      </c>
      <c r="E709">
        <v>1704</v>
      </c>
      <c r="F709">
        <v>331</v>
      </c>
      <c r="G709" t="s">
        <v>21</v>
      </c>
      <c r="H709" t="s">
        <v>31</v>
      </c>
      <c r="I709">
        <v>93</v>
      </c>
      <c r="J709" t="s">
        <v>23</v>
      </c>
      <c r="K709" t="s">
        <v>24</v>
      </c>
      <c r="L709" t="s">
        <v>25</v>
      </c>
      <c r="M709">
        <v>303</v>
      </c>
      <c r="N709">
        <v>614</v>
      </c>
      <c r="O709" t="s">
        <v>67</v>
      </c>
      <c r="P709">
        <v>180</v>
      </c>
      <c r="Q709">
        <v>240</v>
      </c>
      <c r="R709">
        <v>140</v>
      </c>
      <c r="S709">
        <v>420</v>
      </c>
      <c r="T709">
        <v>127</v>
      </c>
      <c r="U709" t="s">
        <v>27</v>
      </c>
      <c r="V709">
        <f t="shared" si="66"/>
        <v>0.49348534201954397</v>
      </c>
      <c r="W709">
        <f t="shared" si="67"/>
        <v>163</v>
      </c>
      <c r="X709">
        <f t="shared" si="68"/>
        <v>194</v>
      </c>
      <c r="Y709">
        <f t="shared" si="69"/>
        <v>0.39902280130293161</v>
      </c>
      <c r="Z709" s="7" t="str">
        <f t="shared" si="70"/>
        <v>High Sales</v>
      </c>
      <c r="AA709" s="7" t="str">
        <f t="shared" si="71"/>
        <v>High Margin</v>
      </c>
    </row>
    <row r="710" spans="1:27" x14ac:dyDescent="0.25">
      <c r="A710" t="s">
        <v>182</v>
      </c>
      <c r="B710">
        <v>225</v>
      </c>
      <c r="C710">
        <v>-112</v>
      </c>
      <c r="D710" s="1">
        <v>41890</v>
      </c>
      <c r="E710">
        <v>4742</v>
      </c>
      <c r="F710">
        <v>-65</v>
      </c>
      <c r="G710" t="s">
        <v>21</v>
      </c>
      <c r="H710" t="s">
        <v>31</v>
      </c>
      <c r="I710">
        <v>69</v>
      </c>
      <c r="J710" t="s">
        <v>23</v>
      </c>
      <c r="K710" t="s">
        <v>24</v>
      </c>
      <c r="L710" t="s">
        <v>28</v>
      </c>
      <c r="M710">
        <v>-232</v>
      </c>
      <c r="N710">
        <v>171</v>
      </c>
      <c r="O710" t="s">
        <v>67</v>
      </c>
      <c r="P710">
        <v>160</v>
      </c>
      <c r="Q710">
        <v>-50</v>
      </c>
      <c r="R710">
        <v>-120</v>
      </c>
      <c r="S710">
        <v>110</v>
      </c>
      <c r="T710">
        <v>91</v>
      </c>
      <c r="U710" t="s">
        <v>27</v>
      </c>
      <c r="V710">
        <f t="shared" si="66"/>
        <v>-1.3567251461988303</v>
      </c>
      <c r="W710">
        <f t="shared" si="67"/>
        <v>-112</v>
      </c>
      <c r="X710">
        <f t="shared" si="68"/>
        <v>61</v>
      </c>
      <c r="Y710">
        <f t="shared" si="69"/>
        <v>1.3157894736842106</v>
      </c>
      <c r="Z710" s="7" t="str">
        <f t="shared" si="70"/>
        <v>Low Sales</v>
      </c>
      <c r="AA710" s="7" t="str">
        <f t="shared" si="71"/>
        <v>Low Margin</v>
      </c>
    </row>
    <row r="711" spans="1:27" x14ac:dyDescent="0.25">
      <c r="A711" t="s">
        <v>194</v>
      </c>
      <c r="B711">
        <v>81</v>
      </c>
      <c r="C711">
        <v>35</v>
      </c>
      <c r="D711" s="1">
        <v>41891</v>
      </c>
      <c r="E711">
        <v>984</v>
      </c>
      <c r="F711">
        <v>117</v>
      </c>
      <c r="G711" t="s">
        <v>21</v>
      </c>
      <c r="H711" t="s">
        <v>31</v>
      </c>
      <c r="I711">
        <v>22</v>
      </c>
      <c r="J711" t="s">
        <v>23</v>
      </c>
      <c r="K711" t="s">
        <v>32</v>
      </c>
      <c r="L711" t="s">
        <v>33</v>
      </c>
      <c r="M711">
        <v>125</v>
      </c>
      <c r="N711">
        <v>211</v>
      </c>
      <c r="O711" t="s">
        <v>67</v>
      </c>
      <c r="P711">
        <v>80</v>
      </c>
      <c r="Q711">
        <v>120</v>
      </c>
      <c r="R711">
        <v>90</v>
      </c>
      <c r="S711">
        <v>200</v>
      </c>
      <c r="T711">
        <v>33</v>
      </c>
      <c r="U711" t="s">
        <v>35</v>
      </c>
      <c r="V711">
        <f t="shared" si="66"/>
        <v>0.59241706161137442</v>
      </c>
      <c r="W711">
        <f t="shared" si="67"/>
        <v>35</v>
      </c>
      <c r="X711">
        <f t="shared" si="68"/>
        <v>11</v>
      </c>
      <c r="Y711">
        <f t="shared" si="69"/>
        <v>0.38388625592417064</v>
      </c>
      <c r="Z711" s="7" t="str">
        <f t="shared" si="70"/>
        <v>Low Sales</v>
      </c>
      <c r="AA711" s="7" t="str">
        <f t="shared" si="71"/>
        <v>High Margin</v>
      </c>
    </row>
    <row r="712" spans="1:27" x14ac:dyDescent="0.25">
      <c r="A712" t="s">
        <v>174</v>
      </c>
      <c r="B712">
        <v>118</v>
      </c>
      <c r="C712">
        <v>58</v>
      </c>
      <c r="D712" s="1">
        <v>41892</v>
      </c>
      <c r="E712">
        <v>930</v>
      </c>
      <c r="F712">
        <v>172</v>
      </c>
      <c r="G712" t="s">
        <v>21</v>
      </c>
      <c r="H712" t="s">
        <v>31</v>
      </c>
      <c r="I712">
        <v>33</v>
      </c>
      <c r="J712" t="s">
        <v>23</v>
      </c>
      <c r="K712" t="s">
        <v>32</v>
      </c>
      <c r="L712" t="s">
        <v>61</v>
      </c>
      <c r="M712">
        <v>188</v>
      </c>
      <c r="N712">
        <v>309</v>
      </c>
      <c r="O712" t="s">
        <v>67</v>
      </c>
      <c r="P712">
        <v>120</v>
      </c>
      <c r="Q712">
        <v>170</v>
      </c>
      <c r="R712">
        <v>130</v>
      </c>
      <c r="S712">
        <v>290</v>
      </c>
      <c r="T712">
        <v>45</v>
      </c>
      <c r="U712" t="s">
        <v>35</v>
      </c>
      <c r="V712">
        <f t="shared" si="66"/>
        <v>0.60841423948220064</v>
      </c>
      <c r="W712">
        <f t="shared" si="67"/>
        <v>58</v>
      </c>
      <c r="X712">
        <f t="shared" si="68"/>
        <v>19</v>
      </c>
      <c r="Y712">
        <f t="shared" si="69"/>
        <v>0.3818770226537217</v>
      </c>
      <c r="Z712" s="7" t="str">
        <f t="shared" si="70"/>
        <v>High Sales</v>
      </c>
      <c r="AA712" s="7" t="str">
        <f t="shared" si="71"/>
        <v>High Margin</v>
      </c>
    </row>
    <row r="713" spans="1:27" x14ac:dyDescent="0.25">
      <c r="A713" t="s">
        <v>202</v>
      </c>
      <c r="B713">
        <v>134</v>
      </c>
      <c r="C713">
        <v>71</v>
      </c>
      <c r="D713" s="1">
        <v>41893</v>
      </c>
      <c r="E713">
        <v>690</v>
      </c>
      <c r="F713">
        <v>186</v>
      </c>
      <c r="G713" t="s">
        <v>21</v>
      </c>
      <c r="H713" t="s">
        <v>31</v>
      </c>
      <c r="I713">
        <v>41</v>
      </c>
      <c r="J713" t="s">
        <v>40</v>
      </c>
      <c r="K713" t="s">
        <v>45</v>
      </c>
      <c r="L713" t="s">
        <v>46</v>
      </c>
      <c r="M713">
        <v>181</v>
      </c>
      <c r="N713">
        <v>341</v>
      </c>
      <c r="O713" t="s">
        <v>34</v>
      </c>
      <c r="P713">
        <v>120</v>
      </c>
      <c r="Q713">
        <v>160</v>
      </c>
      <c r="R713">
        <v>110</v>
      </c>
      <c r="S713">
        <v>280</v>
      </c>
      <c r="T713">
        <v>64</v>
      </c>
      <c r="U713" t="s">
        <v>27</v>
      </c>
      <c r="V713">
        <f t="shared" si="66"/>
        <v>0.53079178885630496</v>
      </c>
      <c r="W713">
        <f t="shared" si="67"/>
        <v>71</v>
      </c>
      <c r="X713">
        <f t="shared" si="68"/>
        <v>61</v>
      </c>
      <c r="Y713">
        <f t="shared" si="69"/>
        <v>0.39296187683284456</v>
      </c>
      <c r="Z713" s="7" t="str">
        <f t="shared" si="70"/>
        <v>High Sales</v>
      </c>
      <c r="AA713" s="7" t="str">
        <f t="shared" si="71"/>
        <v>High Margin</v>
      </c>
    </row>
    <row r="714" spans="1:27" x14ac:dyDescent="0.25">
      <c r="A714" t="s">
        <v>193</v>
      </c>
      <c r="B714">
        <v>83</v>
      </c>
      <c r="C714">
        <v>16</v>
      </c>
      <c r="D714" s="1">
        <v>41894</v>
      </c>
      <c r="E714">
        <v>575</v>
      </c>
      <c r="F714">
        <v>112</v>
      </c>
      <c r="G714" t="s">
        <v>21</v>
      </c>
      <c r="H714" t="s">
        <v>31</v>
      </c>
      <c r="I714">
        <v>27</v>
      </c>
      <c r="J714" t="s">
        <v>40</v>
      </c>
      <c r="K714" t="s">
        <v>41</v>
      </c>
      <c r="L714" t="s">
        <v>42</v>
      </c>
      <c r="M714">
        <v>86</v>
      </c>
      <c r="N714">
        <v>208</v>
      </c>
      <c r="O714" t="s">
        <v>34</v>
      </c>
      <c r="P714">
        <v>80</v>
      </c>
      <c r="Q714">
        <v>110</v>
      </c>
      <c r="R714">
        <v>70</v>
      </c>
      <c r="S714">
        <v>190</v>
      </c>
      <c r="T714">
        <v>54</v>
      </c>
      <c r="U714" t="s">
        <v>27</v>
      </c>
      <c r="V714">
        <f t="shared" si="66"/>
        <v>0.41346153846153844</v>
      </c>
      <c r="W714">
        <f t="shared" si="67"/>
        <v>16</v>
      </c>
      <c r="X714">
        <f t="shared" si="68"/>
        <v>18</v>
      </c>
      <c r="Y714">
        <f t="shared" si="69"/>
        <v>0.39903846153846156</v>
      </c>
      <c r="Z714" s="7" t="str">
        <f t="shared" si="70"/>
        <v>Low Sales</v>
      </c>
      <c r="AA714" s="7" t="str">
        <f t="shared" si="71"/>
        <v>High Margin</v>
      </c>
    </row>
    <row r="715" spans="1:27" x14ac:dyDescent="0.25">
      <c r="A715" t="s">
        <v>127</v>
      </c>
      <c r="B715">
        <v>88</v>
      </c>
      <c r="C715">
        <v>28</v>
      </c>
      <c r="D715" s="1">
        <v>41895</v>
      </c>
      <c r="E715">
        <v>817</v>
      </c>
      <c r="F715">
        <v>133</v>
      </c>
      <c r="G715" t="s">
        <v>21</v>
      </c>
      <c r="H715" t="s">
        <v>31</v>
      </c>
      <c r="I715">
        <v>29</v>
      </c>
      <c r="J715" t="s">
        <v>40</v>
      </c>
      <c r="K715" t="s">
        <v>45</v>
      </c>
      <c r="L715" t="s">
        <v>52</v>
      </c>
      <c r="M715">
        <v>108</v>
      </c>
      <c r="N715">
        <v>236</v>
      </c>
      <c r="O715" t="s">
        <v>34</v>
      </c>
      <c r="P715">
        <v>70</v>
      </c>
      <c r="Q715">
        <v>120</v>
      </c>
      <c r="R715">
        <v>80</v>
      </c>
      <c r="S715">
        <v>190</v>
      </c>
      <c r="T715">
        <v>60</v>
      </c>
      <c r="U715" t="s">
        <v>35</v>
      </c>
      <c r="V715">
        <f t="shared" si="66"/>
        <v>0.4576271186440678</v>
      </c>
      <c r="W715">
        <f t="shared" si="67"/>
        <v>28</v>
      </c>
      <c r="X715">
        <f t="shared" si="68"/>
        <v>46</v>
      </c>
      <c r="Y715">
        <f t="shared" si="69"/>
        <v>0.3728813559322034</v>
      </c>
      <c r="Z715" s="7" t="str">
        <f t="shared" si="70"/>
        <v>Low Sales</v>
      </c>
      <c r="AA715" s="7" t="str">
        <f t="shared" si="71"/>
        <v>High Margin</v>
      </c>
    </row>
    <row r="716" spans="1:27" x14ac:dyDescent="0.25">
      <c r="A716" t="s">
        <v>121</v>
      </c>
      <c r="B716">
        <v>67</v>
      </c>
      <c r="C716">
        <v>219</v>
      </c>
      <c r="D716" s="1">
        <v>41896</v>
      </c>
      <c r="E716">
        <v>-3534</v>
      </c>
      <c r="F716">
        <v>443</v>
      </c>
      <c r="G716" t="s">
        <v>21</v>
      </c>
      <c r="H716" t="s">
        <v>31</v>
      </c>
      <c r="I716">
        <v>22</v>
      </c>
      <c r="J716" t="s">
        <v>40</v>
      </c>
      <c r="K716" t="s">
        <v>45</v>
      </c>
      <c r="L716" t="s">
        <v>52</v>
      </c>
      <c r="M716">
        <v>579</v>
      </c>
      <c r="N716">
        <v>543</v>
      </c>
      <c r="O716" t="s">
        <v>62</v>
      </c>
      <c r="P716">
        <v>60</v>
      </c>
      <c r="Q716">
        <v>390</v>
      </c>
      <c r="R716">
        <v>360</v>
      </c>
      <c r="S716">
        <v>450</v>
      </c>
      <c r="T716">
        <v>53</v>
      </c>
      <c r="U716" t="s">
        <v>35</v>
      </c>
      <c r="V716">
        <f t="shared" si="66"/>
        <v>1.0662983425414365</v>
      </c>
      <c r="W716">
        <f t="shared" si="67"/>
        <v>219</v>
      </c>
      <c r="X716">
        <f t="shared" si="68"/>
        <v>93</v>
      </c>
      <c r="Y716">
        <f t="shared" si="69"/>
        <v>0.12338858195211787</v>
      </c>
      <c r="Z716" s="7" t="str">
        <f t="shared" si="70"/>
        <v>High Sales</v>
      </c>
      <c r="AA716" s="7" t="str">
        <f t="shared" si="71"/>
        <v>High Margin</v>
      </c>
    </row>
    <row r="717" spans="1:27" x14ac:dyDescent="0.25">
      <c r="A717" t="s">
        <v>191</v>
      </c>
      <c r="B717">
        <v>279</v>
      </c>
      <c r="C717">
        <v>152</v>
      </c>
      <c r="D717" s="1">
        <v>41897</v>
      </c>
      <c r="E717">
        <v>2642</v>
      </c>
      <c r="F717">
        <v>420</v>
      </c>
      <c r="G717" t="s">
        <v>21</v>
      </c>
      <c r="H717" t="s">
        <v>31</v>
      </c>
      <c r="I717">
        <v>97</v>
      </c>
      <c r="J717" t="s">
        <v>40</v>
      </c>
      <c r="K717" t="s">
        <v>45</v>
      </c>
      <c r="L717" t="s">
        <v>52</v>
      </c>
      <c r="M717">
        <v>402</v>
      </c>
      <c r="N717">
        <v>745</v>
      </c>
      <c r="O717" t="s">
        <v>67</v>
      </c>
      <c r="P717">
        <v>250</v>
      </c>
      <c r="Q717">
        <v>370</v>
      </c>
      <c r="R717">
        <v>250</v>
      </c>
      <c r="S717">
        <v>620</v>
      </c>
      <c r="T717">
        <v>149</v>
      </c>
      <c r="U717" t="s">
        <v>35</v>
      </c>
      <c r="V717">
        <f t="shared" si="66"/>
        <v>0.53959731543624156</v>
      </c>
      <c r="W717">
        <f t="shared" si="67"/>
        <v>152</v>
      </c>
      <c r="X717">
        <f t="shared" si="68"/>
        <v>125</v>
      </c>
      <c r="Y717">
        <f t="shared" si="69"/>
        <v>0.37449664429530199</v>
      </c>
      <c r="Z717" s="7" t="str">
        <f t="shared" si="70"/>
        <v>High Sales</v>
      </c>
      <c r="AA717" s="7" t="str">
        <f t="shared" si="71"/>
        <v>High Margin</v>
      </c>
    </row>
    <row r="718" spans="1:27" x14ac:dyDescent="0.25">
      <c r="A718" t="s">
        <v>126</v>
      </c>
      <c r="B718">
        <v>105</v>
      </c>
      <c r="C718">
        <v>1</v>
      </c>
      <c r="D718" s="1">
        <v>41898</v>
      </c>
      <c r="E718">
        <v>716</v>
      </c>
      <c r="F718">
        <v>145</v>
      </c>
      <c r="G718" t="s">
        <v>21</v>
      </c>
      <c r="H718" t="s">
        <v>31</v>
      </c>
      <c r="I718">
        <v>95</v>
      </c>
      <c r="J718" t="s">
        <v>40</v>
      </c>
      <c r="K718" t="s">
        <v>41</v>
      </c>
      <c r="L718" t="s">
        <v>53</v>
      </c>
      <c r="M718">
        <v>31</v>
      </c>
      <c r="N718">
        <v>266</v>
      </c>
      <c r="O718" t="s">
        <v>34</v>
      </c>
      <c r="P718">
        <v>100</v>
      </c>
      <c r="Q718">
        <v>140</v>
      </c>
      <c r="R718">
        <v>30</v>
      </c>
      <c r="S718">
        <v>240</v>
      </c>
      <c r="T718">
        <v>124</v>
      </c>
      <c r="U718" t="s">
        <v>35</v>
      </c>
      <c r="V718">
        <f t="shared" si="66"/>
        <v>0.11654135338345864</v>
      </c>
      <c r="W718">
        <f t="shared" si="67"/>
        <v>1</v>
      </c>
      <c r="X718">
        <f t="shared" si="68"/>
        <v>26</v>
      </c>
      <c r="Y718">
        <f t="shared" si="69"/>
        <v>0.39473684210526316</v>
      </c>
      <c r="Z718" s="7" t="str">
        <f t="shared" si="70"/>
        <v>Low Sales</v>
      </c>
      <c r="AA718" s="7" t="str">
        <f t="shared" si="71"/>
        <v>High Margin</v>
      </c>
    </row>
    <row r="719" spans="1:27" x14ac:dyDescent="0.25">
      <c r="A719" t="s">
        <v>192</v>
      </c>
      <c r="B719">
        <v>135</v>
      </c>
      <c r="C719">
        <v>-122</v>
      </c>
      <c r="D719" s="1">
        <v>41899</v>
      </c>
      <c r="E719">
        <v>3641</v>
      </c>
      <c r="F719">
        <v>-69</v>
      </c>
      <c r="G719" t="s">
        <v>21</v>
      </c>
      <c r="H719" t="s">
        <v>31</v>
      </c>
      <c r="I719">
        <v>122</v>
      </c>
      <c r="J719" t="s">
        <v>40</v>
      </c>
      <c r="K719" t="s">
        <v>41</v>
      </c>
      <c r="L719" t="s">
        <v>53</v>
      </c>
      <c r="M719">
        <v>-332</v>
      </c>
      <c r="N719">
        <v>70</v>
      </c>
      <c r="O719" t="s">
        <v>67</v>
      </c>
      <c r="P719">
        <v>130</v>
      </c>
      <c r="Q719">
        <v>-70</v>
      </c>
      <c r="R719">
        <v>-210</v>
      </c>
      <c r="S719">
        <v>60</v>
      </c>
      <c r="T719">
        <v>155</v>
      </c>
      <c r="U719" t="s">
        <v>35</v>
      </c>
      <c r="V719">
        <f t="shared" si="66"/>
        <v>-4.7428571428571429</v>
      </c>
      <c r="W719">
        <f t="shared" si="67"/>
        <v>-122</v>
      </c>
      <c r="X719">
        <f t="shared" si="68"/>
        <v>10</v>
      </c>
      <c r="Y719">
        <f t="shared" si="69"/>
        <v>1.9285714285714286</v>
      </c>
      <c r="Z719" s="7" t="str">
        <f t="shared" si="70"/>
        <v>Low Sales</v>
      </c>
      <c r="AA719" s="7" t="str">
        <f t="shared" si="71"/>
        <v>Low Margin</v>
      </c>
    </row>
    <row r="720" spans="1:27" x14ac:dyDescent="0.25">
      <c r="A720" t="s">
        <v>152</v>
      </c>
      <c r="B720">
        <v>153</v>
      </c>
      <c r="C720">
        <v>49</v>
      </c>
      <c r="D720" s="1">
        <v>41900</v>
      </c>
      <c r="E720">
        <v>1319</v>
      </c>
      <c r="F720">
        <v>153</v>
      </c>
      <c r="G720" t="s">
        <v>21</v>
      </c>
      <c r="H720" t="s">
        <v>31</v>
      </c>
      <c r="I720">
        <v>42</v>
      </c>
      <c r="J720" t="s">
        <v>40</v>
      </c>
      <c r="K720" t="s">
        <v>41</v>
      </c>
      <c r="L720" t="s">
        <v>66</v>
      </c>
      <c r="M720">
        <v>129</v>
      </c>
      <c r="N720">
        <v>326</v>
      </c>
      <c r="O720" t="s">
        <v>62</v>
      </c>
      <c r="P720">
        <v>150</v>
      </c>
      <c r="Q720">
        <v>140</v>
      </c>
      <c r="R720">
        <v>80</v>
      </c>
      <c r="S720">
        <v>290</v>
      </c>
      <c r="T720">
        <v>66</v>
      </c>
      <c r="U720" t="s">
        <v>35</v>
      </c>
      <c r="V720">
        <f t="shared" si="66"/>
        <v>0.39570552147239263</v>
      </c>
      <c r="W720">
        <f t="shared" si="67"/>
        <v>49</v>
      </c>
      <c r="X720">
        <f t="shared" si="68"/>
        <v>36</v>
      </c>
      <c r="Y720">
        <f t="shared" si="69"/>
        <v>0.46932515337423314</v>
      </c>
      <c r="Z720" s="7" t="str">
        <f t="shared" si="70"/>
        <v>High Sales</v>
      </c>
      <c r="AA720" s="7" t="str">
        <f t="shared" si="71"/>
        <v>High Margin</v>
      </c>
    </row>
    <row r="721" spans="1:27" x14ac:dyDescent="0.25">
      <c r="A721" t="s">
        <v>182</v>
      </c>
      <c r="B721">
        <v>250</v>
      </c>
      <c r="C721">
        <v>143</v>
      </c>
      <c r="D721" s="1">
        <v>41901</v>
      </c>
      <c r="E721">
        <v>723</v>
      </c>
      <c r="F721">
        <v>407</v>
      </c>
      <c r="G721" t="s">
        <v>21</v>
      </c>
      <c r="H721" t="s">
        <v>31</v>
      </c>
      <c r="I721">
        <v>70</v>
      </c>
      <c r="J721" t="s">
        <v>40</v>
      </c>
      <c r="K721" t="s">
        <v>41</v>
      </c>
      <c r="L721" t="s">
        <v>66</v>
      </c>
      <c r="M721">
        <v>463</v>
      </c>
      <c r="N721">
        <v>700</v>
      </c>
      <c r="O721" t="s">
        <v>67</v>
      </c>
      <c r="P721">
        <v>240</v>
      </c>
      <c r="Q721">
        <v>400</v>
      </c>
      <c r="R721">
        <v>320</v>
      </c>
      <c r="S721">
        <v>640</v>
      </c>
      <c r="T721">
        <v>95</v>
      </c>
      <c r="U721" t="s">
        <v>35</v>
      </c>
      <c r="V721">
        <f t="shared" si="66"/>
        <v>0.66142857142857148</v>
      </c>
      <c r="W721">
        <f t="shared" si="67"/>
        <v>143</v>
      </c>
      <c r="X721">
        <f t="shared" si="68"/>
        <v>60</v>
      </c>
      <c r="Y721">
        <f t="shared" si="69"/>
        <v>0.35714285714285715</v>
      </c>
      <c r="Z721" s="7" t="str">
        <f t="shared" si="70"/>
        <v>High Sales</v>
      </c>
      <c r="AA721" s="7" t="str">
        <f t="shared" si="71"/>
        <v>High Margin</v>
      </c>
    </row>
    <row r="722" spans="1:27" x14ac:dyDescent="0.25">
      <c r="A722" t="s">
        <v>199</v>
      </c>
      <c r="B722">
        <v>294</v>
      </c>
      <c r="C722">
        <v>249</v>
      </c>
      <c r="D722" s="1">
        <v>41902</v>
      </c>
      <c r="E722">
        <v>1727</v>
      </c>
      <c r="F722">
        <v>453</v>
      </c>
      <c r="G722" t="s">
        <v>21</v>
      </c>
      <c r="H722" t="s">
        <v>31</v>
      </c>
      <c r="I722">
        <v>111</v>
      </c>
      <c r="J722" t="s">
        <v>23</v>
      </c>
      <c r="K722" t="s">
        <v>24</v>
      </c>
      <c r="L722" t="s">
        <v>25</v>
      </c>
      <c r="M722">
        <v>459</v>
      </c>
      <c r="N722">
        <v>796</v>
      </c>
      <c r="O722" t="s">
        <v>67</v>
      </c>
      <c r="P722">
        <v>220</v>
      </c>
      <c r="Q722">
        <v>320</v>
      </c>
      <c r="R722">
        <v>210</v>
      </c>
      <c r="S722">
        <v>540</v>
      </c>
      <c r="T722">
        <v>144</v>
      </c>
      <c r="U722" t="s">
        <v>27</v>
      </c>
      <c r="V722">
        <f t="shared" si="66"/>
        <v>0.5766331658291457</v>
      </c>
      <c r="W722">
        <f t="shared" si="67"/>
        <v>249</v>
      </c>
      <c r="X722">
        <f t="shared" si="68"/>
        <v>256</v>
      </c>
      <c r="Y722">
        <f t="shared" si="69"/>
        <v>0.3693467336683417</v>
      </c>
      <c r="Z722" s="7" t="str">
        <f t="shared" si="70"/>
        <v>High Sales</v>
      </c>
      <c r="AA722" s="7" t="str">
        <f t="shared" si="71"/>
        <v>High Margin</v>
      </c>
    </row>
    <row r="723" spans="1:27" x14ac:dyDescent="0.25">
      <c r="A723" t="s">
        <v>195</v>
      </c>
      <c r="B723">
        <v>241</v>
      </c>
      <c r="C723">
        <v>-130</v>
      </c>
      <c r="D723" s="1">
        <v>41903</v>
      </c>
      <c r="E723">
        <v>5121</v>
      </c>
      <c r="F723">
        <v>-93</v>
      </c>
      <c r="G723" t="s">
        <v>21</v>
      </c>
      <c r="H723" t="s">
        <v>31</v>
      </c>
      <c r="I723">
        <v>74</v>
      </c>
      <c r="J723" t="s">
        <v>23</v>
      </c>
      <c r="K723" t="s">
        <v>24</v>
      </c>
      <c r="L723" t="s">
        <v>28</v>
      </c>
      <c r="M723">
        <v>-280</v>
      </c>
      <c r="N723">
        <v>158</v>
      </c>
      <c r="O723" t="s">
        <v>67</v>
      </c>
      <c r="P723">
        <v>180</v>
      </c>
      <c r="Q723">
        <v>-80</v>
      </c>
      <c r="R723">
        <v>-150</v>
      </c>
      <c r="S723">
        <v>100</v>
      </c>
      <c r="T723">
        <v>96</v>
      </c>
      <c r="U723" t="s">
        <v>27</v>
      </c>
      <c r="V723">
        <f t="shared" si="66"/>
        <v>-1.7721518987341771</v>
      </c>
      <c r="W723">
        <f t="shared" si="67"/>
        <v>-130</v>
      </c>
      <c r="X723">
        <f t="shared" si="68"/>
        <v>58</v>
      </c>
      <c r="Y723">
        <f t="shared" si="69"/>
        <v>1.5253164556962024</v>
      </c>
      <c r="Z723" s="7" t="str">
        <f t="shared" si="70"/>
        <v>Low Sales</v>
      </c>
      <c r="AA723" s="7" t="str">
        <f t="shared" si="71"/>
        <v>Low Margin</v>
      </c>
    </row>
    <row r="724" spans="1:27" x14ac:dyDescent="0.25">
      <c r="A724" t="s">
        <v>168</v>
      </c>
      <c r="B724">
        <v>86</v>
      </c>
      <c r="C724">
        <v>42</v>
      </c>
      <c r="D724" s="1">
        <v>41904</v>
      </c>
      <c r="E724">
        <v>1003</v>
      </c>
      <c r="F724">
        <v>124</v>
      </c>
      <c r="G724" t="s">
        <v>21</v>
      </c>
      <c r="H724" t="s">
        <v>31</v>
      </c>
      <c r="I724">
        <v>24</v>
      </c>
      <c r="J724" t="s">
        <v>23</v>
      </c>
      <c r="K724" t="s">
        <v>32</v>
      </c>
      <c r="L724" t="s">
        <v>33</v>
      </c>
      <c r="M724">
        <v>132</v>
      </c>
      <c r="N724">
        <v>224</v>
      </c>
      <c r="O724" t="s">
        <v>67</v>
      </c>
      <c r="P724">
        <v>90</v>
      </c>
      <c r="Q724">
        <v>120</v>
      </c>
      <c r="R724">
        <v>90</v>
      </c>
      <c r="S724">
        <v>210</v>
      </c>
      <c r="T724">
        <v>35</v>
      </c>
      <c r="U724" t="s">
        <v>35</v>
      </c>
      <c r="V724">
        <f t="shared" si="66"/>
        <v>0.5892857142857143</v>
      </c>
      <c r="W724">
        <f t="shared" si="67"/>
        <v>42</v>
      </c>
      <c r="X724">
        <f t="shared" si="68"/>
        <v>14</v>
      </c>
      <c r="Y724">
        <f t="shared" si="69"/>
        <v>0.38392857142857145</v>
      </c>
      <c r="Z724" s="7" t="str">
        <f t="shared" si="70"/>
        <v>Low Sales</v>
      </c>
      <c r="AA724" s="7" t="str">
        <f t="shared" si="71"/>
        <v>High Margin</v>
      </c>
    </row>
    <row r="725" spans="1:27" x14ac:dyDescent="0.25">
      <c r="A725" t="s">
        <v>182</v>
      </c>
      <c r="B725">
        <v>123</v>
      </c>
      <c r="C725">
        <v>47</v>
      </c>
      <c r="D725" s="1">
        <v>41905</v>
      </c>
      <c r="E725">
        <v>959</v>
      </c>
      <c r="F725">
        <v>179</v>
      </c>
      <c r="G725" t="s">
        <v>21</v>
      </c>
      <c r="H725" t="s">
        <v>31</v>
      </c>
      <c r="I725">
        <v>34</v>
      </c>
      <c r="J725" t="s">
        <v>23</v>
      </c>
      <c r="K725" t="s">
        <v>32</v>
      </c>
      <c r="L725" t="s">
        <v>61</v>
      </c>
      <c r="M725">
        <v>197</v>
      </c>
      <c r="N725">
        <v>322</v>
      </c>
      <c r="O725" t="s">
        <v>67</v>
      </c>
      <c r="P725">
        <v>120</v>
      </c>
      <c r="Q725">
        <v>190</v>
      </c>
      <c r="R725">
        <v>150</v>
      </c>
      <c r="S725">
        <v>310</v>
      </c>
      <c r="T725">
        <v>46</v>
      </c>
      <c r="U725" t="s">
        <v>35</v>
      </c>
      <c r="V725">
        <f t="shared" si="66"/>
        <v>0.61180124223602483</v>
      </c>
      <c r="W725">
        <f t="shared" si="67"/>
        <v>47</v>
      </c>
      <c r="X725">
        <f t="shared" si="68"/>
        <v>12</v>
      </c>
      <c r="Y725">
        <f t="shared" si="69"/>
        <v>0.38198757763975155</v>
      </c>
      <c r="Z725" s="7" t="str">
        <f t="shared" si="70"/>
        <v>High Sales</v>
      </c>
      <c r="AA725" s="7" t="str">
        <f t="shared" si="71"/>
        <v>High Margin</v>
      </c>
    </row>
    <row r="726" spans="1:27" x14ac:dyDescent="0.25">
      <c r="A726" t="s">
        <v>91</v>
      </c>
      <c r="B726">
        <v>108</v>
      </c>
      <c r="C726">
        <v>-34</v>
      </c>
      <c r="D726" s="1">
        <v>41906</v>
      </c>
      <c r="E726">
        <v>971</v>
      </c>
      <c r="F726">
        <v>157</v>
      </c>
      <c r="G726" t="s">
        <v>21</v>
      </c>
      <c r="H726" t="s">
        <v>22</v>
      </c>
      <c r="I726">
        <v>30</v>
      </c>
      <c r="J726" t="s">
        <v>40</v>
      </c>
      <c r="K726" t="s">
        <v>45</v>
      </c>
      <c r="L726" t="s">
        <v>46</v>
      </c>
      <c r="M726">
        <v>116</v>
      </c>
      <c r="N726">
        <v>265</v>
      </c>
      <c r="O726" t="s">
        <v>26</v>
      </c>
      <c r="P726">
        <v>100</v>
      </c>
      <c r="Q726">
        <v>160</v>
      </c>
      <c r="R726">
        <v>150</v>
      </c>
      <c r="S726">
        <v>260</v>
      </c>
      <c r="T726">
        <v>41</v>
      </c>
      <c r="U726" t="s">
        <v>27</v>
      </c>
      <c r="V726">
        <f t="shared" si="66"/>
        <v>0.43773584905660379</v>
      </c>
      <c r="W726">
        <f t="shared" si="67"/>
        <v>-34</v>
      </c>
      <c r="X726">
        <f t="shared" si="68"/>
        <v>5</v>
      </c>
      <c r="Y726">
        <f t="shared" si="69"/>
        <v>0.40754716981132078</v>
      </c>
      <c r="Z726" s="7" t="str">
        <f t="shared" si="70"/>
        <v>Low Sales</v>
      </c>
      <c r="AA726" s="7" t="str">
        <f t="shared" si="71"/>
        <v>High Margin</v>
      </c>
    </row>
    <row r="727" spans="1:27" x14ac:dyDescent="0.25">
      <c r="A727" t="s">
        <v>185</v>
      </c>
      <c r="B727">
        <v>122</v>
      </c>
      <c r="C727">
        <v>-45</v>
      </c>
      <c r="D727" s="1">
        <v>41907</v>
      </c>
      <c r="E727">
        <v>789</v>
      </c>
      <c r="F727">
        <v>176</v>
      </c>
      <c r="G727" t="s">
        <v>21</v>
      </c>
      <c r="H727" t="s">
        <v>22</v>
      </c>
      <c r="I727">
        <v>39</v>
      </c>
      <c r="J727" t="s">
        <v>40</v>
      </c>
      <c r="K727" t="s">
        <v>45</v>
      </c>
      <c r="L727" t="s">
        <v>46</v>
      </c>
      <c r="M727">
        <v>115</v>
      </c>
      <c r="N727">
        <v>298</v>
      </c>
      <c r="O727" t="s">
        <v>63</v>
      </c>
      <c r="P727">
        <v>110</v>
      </c>
      <c r="Q727">
        <v>190</v>
      </c>
      <c r="R727">
        <v>160</v>
      </c>
      <c r="S727">
        <v>300</v>
      </c>
      <c r="T727">
        <v>61</v>
      </c>
      <c r="U727" t="s">
        <v>27</v>
      </c>
      <c r="V727">
        <f t="shared" si="66"/>
        <v>0.38590604026845637</v>
      </c>
      <c r="W727">
        <f t="shared" si="67"/>
        <v>-45</v>
      </c>
      <c r="X727">
        <f t="shared" si="68"/>
        <v>-2</v>
      </c>
      <c r="Y727">
        <f t="shared" si="69"/>
        <v>0.40939597315436244</v>
      </c>
      <c r="Z727" s="7" t="str">
        <f t="shared" si="70"/>
        <v>High Sales</v>
      </c>
      <c r="AA727" s="7" t="str">
        <f t="shared" si="71"/>
        <v>High Margin</v>
      </c>
    </row>
    <row r="728" spans="1:27" x14ac:dyDescent="0.25">
      <c r="A728" t="s">
        <v>68</v>
      </c>
      <c r="B728">
        <v>72</v>
      </c>
      <c r="C728">
        <v>-74</v>
      </c>
      <c r="D728" s="1">
        <v>41908</v>
      </c>
      <c r="E728">
        <v>650</v>
      </c>
      <c r="F728">
        <v>110</v>
      </c>
      <c r="G728" t="s">
        <v>21</v>
      </c>
      <c r="H728" t="s">
        <v>22</v>
      </c>
      <c r="I728">
        <v>23</v>
      </c>
      <c r="J728" t="s">
        <v>40</v>
      </c>
      <c r="K728" t="s">
        <v>41</v>
      </c>
      <c r="L728" t="s">
        <v>42</v>
      </c>
      <c r="M728">
        <v>56</v>
      </c>
      <c r="N728">
        <v>182</v>
      </c>
      <c r="O728" t="s">
        <v>26</v>
      </c>
      <c r="P728">
        <v>100</v>
      </c>
      <c r="Q728">
        <v>160</v>
      </c>
      <c r="R728">
        <v>130</v>
      </c>
      <c r="S728">
        <v>260</v>
      </c>
      <c r="T728">
        <v>54</v>
      </c>
      <c r="U728" t="s">
        <v>27</v>
      </c>
      <c r="V728">
        <f t="shared" si="66"/>
        <v>0.30769230769230771</v>
      </c>
      <c r="W728">
        <f t="shared" si="67"/>
        <v>-74</v>
      </c>
      <c r="X728">
        <f t="shared" si="68"/>
        <v>-78</v>
      </c>
      <c r="Y728">
        <f t="shared" si="69"/>
        <v>0.39560439560439559</v>
      </c>
      <c r="Z728" s="7" t="str">
        <f t="shared" si="70"/>
        <v>Low Sales</v>
      </c>
      <c r="AA728" s="7" t="str">
        <f t="shared" si="71"/>
        <v>High Margin</v>
      </c>
    </row>
    <row r="729" spans="1:27" x14ac:dyDescent="0.25">
      <c r="A729" t="s">
        <v>150</v>
      </c>
      <c r="B729">
        <v>239</v>
      </c>
      <c r="C729">
        <v>-151</v>
      </c>
      <c r="D729" s="1">
        <v>41909</v>
      </c>
      <c r="E729">
        <v>1755</v>
      </c>
      <c r="F729">
        <v>239</v>
      </c>
      <c r="G729" t="s">
        <v>21</v>
      </c>
      <c r="H729" t="s">
        <v>22</v>
      </c>
      <c r="I729">
        <v>66</v>
      </c>
      <c r="J729" t="s">
        <v>40</v>
      </c>
      <c r="K729" t="s">
        <v>41</v>
      </c>
      <c r="L729" t="s">
        <v>42</v>
      </c>
      <c r="M729">
        <v>149</v>
      </c>
      <c r="N729">
        <v>478</v>
      </c>
      <c r="O729" t="s">
        <v>63</v>
      </c>
      <c r="P729">
        <v>340</v>
      </c>
      <c r="Q729">
        <v>370</v>
      </c>
      <c r="R729">
        <v>300</v>
      </c>
      <c r="S729">
        <v>710</v>
      </c>
      <c r="T729">
        <v>90</v>
      </c>
      <c r="U729" t="s">
        <v>27</v>
      </c>
      <c r="V729">
        <f t="shared" si="66"/>
        <v>0.31171548117154813</v>
      </c>
      <c r="W729">
        <f t="shared" si="67"/>
        <v>-151</v>
      </c>
      <c r="X729">
        <f t="shared" si="68"/>
        <v>-232</v>
      </c>
      <c r="Y729">
        <f t="shared" si="69"/>
        <v>0.5</v>
      </c>
      <c r="Z729" s="7" t="str">
        <f t="shared" si="70"/>
        <v>High Sales</v>
      </c>
      <c r="AA729" s="7" t="str">
        <f t="shared" si="71"/>
        <v>High Margin</v>
      </c>
    </row>
    <row r="730" spans="1:27" x14ac:dyDescent="0.25">
      <c r="A730" t="s">
        <v>137</v>
      </c>
      <c r="B730">
        <v>54</v>
      </c>
      <c r="C730">
        <v>-58</v>
      </c>
      <c r="D730" s="1">
        <v>41910</v>
      </c>
      <c r="E730">
        <v>404</v>
      </c>
      <c r="F730">
        <v>66</v>
      </c>
      <c r="G730" t="s">
        <v>21</v>
      </c>
      <c r="H730" t="s">
        <v>22</v>
      </c>
      <c r="I730">
        <v>20</v>
      </c>
      <c r="J730" t="s">
        <v>40</v>
      </c>
      <c r="K730" t="s">
        <v>41</v>
      </c>
      <c r="L730" t="s">
        <v>42</v>
      </c>
      <c r="M730">
        <v>12</v>
      </c>
      <c r="N730">
        <v>120</v>
      </c>
      <c r="O730" t="s">
        <v>65</v>
      </c>
      <c r="P730">
        <v>70</v>
      </c>
      <c r="Q730">
        <v>100</v>
      </c>
      <c r="R730">
        <v>70</v>
      </c>
      <c r="S730">
        <v>170</v>
      </c>
      <c r="T730">
        <v>54</v>
      </c>
      <c r="U730" t="s">
        <v>27</v>
      </c>
      <c r="V730">
        <f t="shared" si="66"/>
        <v>0.1</v>
      </c>
      <c r="W730">
        <f t="shared" si="67"/>
        <v>-58</v>
      </c>
      <c r="X730">
        <f t="shared" si="68"/>
        <v>-50</v>
      </c>
      <c r="Y730">
        <f t="shared" si="69"/>
        <v>0.45</v>
      </c>
      <c r="Z730" s="7" t="str">
        <f t="shared" si="70"/>
        <v>Low Sales</v>
      </c>
      <c r="AA730" s="7" t="str">
        <f t="shared" si="71"/>
        <v>High Margin</v>
      </c>
    </row>
    <row r="731" spans="1:27" x14ac:dyDescent="0.25">
      <c r="A731" t="s">
        <v>69</v>
      </c>
      <c r="B731">
        <v>123</v>
      </c>
      <c r="C731">
        <v>-27</v>
      </c>
      <c r="D731" s="1">
        <v>41911</v>
      </c>
      <c r="E731">
        <v>915</v>
      </c>
      <c r="F731">
        <v>179</v>
      </c>
      <c r="G731" t="s">
        <v>21</v>
      </c>
      <c r="H731" t="s">
        <v>22</v>
      </c>
      <c r="I731">
        <v>34</v>
      </c>
      <c r="J731" t="s">
        <v>40</v>
      </c>
      <c r="K731" t="s">
        <v>45</v>
      </c>
      <c r="L731" t="s">
        <v>50</v>
      </c>
      <c r="M731">
        <v>133</v>
      </c>
      <c r="N731">
        <v>302</v>
      </c>
      <c r="O731" t="s">
        <v>26</v>
      </c>
      <c r="P731">
        <v>120</v>
      </c>
      <c r="Q731">
        <v>180</v>
      </c>
      <c r="R731">
        <v>160</v>
      </c>
      <c r="S731">
        <v>300</v>
      </c>
      <c r="T731">
        <v>46</v>
      </c>
      <c r="U731" t="s">
        <v>35</v>
      </c>
      <c r="V731">
        <f t="shared" si="66"/>
        <v>0.44039735099337746</v>
      </c>
      <c r="W731">
        <f t="shared" si="67"/>
        <v>-27</v>
      </c>
      <c r="X731">
        <f t="shared" si="68"/>
        <v>2</v>
      </c>
      <c r="Y731">
        <f t="shared" si="69"/>
        <v>0.40728476821192056</v>
      </c>
      <c r="Z731" s="7" t="str">
        <f t="shared" si="70"/>
        <v>High Sales</v>
      </c>
      <c r="AA731" s="7" t="str">
        <f t="shared" si="71"/>
        <v>High Margin</v>
      </c>
    </row>
    <row r="732" spans="1:27" x14ac:dyDescent="0.25">
      <c r="A732" t="s">
        <v>185</v>
      </c>
      <c r="B732">
        <v>154</v>
      </c>
      <c r="C732">
        <v>-40</v>
      </c>
      <c r="D732" s="1">
        <v>41912</v>
      </c>
      <c r="E732">
        <v>1132</v>
      </c>
      <c r="F732">
        <v>213</v>
      </c>
      <c r="G732" t="s">
        <v>21</v>
      </c>
      <c r="H732" t="s">
        <v>22</v>
      </c>
      <c r="I732">
        <v>50</v>
      </c>
      <c r="J732" t="s">
        <v>40</v>
      </c>
      <c r="K732" t="s">
        <v>45</v>
      </c>
      <c r="L732" t="s">
        <v>52</v>
      </c>
      <c r="M732">
        <v>120</v>
      </c>
      <c r="N732">
        <v>367</v>
      </c>
      <c r="O732" t="s">
        <v>63</v>
      </c>
      <c r="P732">
        <v>150</v>
      </c>
      <c r="Q732">
        <v>220</v>
      </c>
      <c r="R732">
        <v>160</v>
      </c>
      <c r="S732">
        <v>370</v>
      </c>
      <c r="T732">
        <v>93</v>
      </c>
      <c r="U732" t="s">
        <v>35</v>
      </c>
      <c r="V732">
        <f t="shared" si="66"/>
        <v>0.32697547683923706</v>
      </c>
      <c r="W732">
        <f t="shared" si="67"/>
        <v>-40</v>
      </c>
      <c r="X732">
        <f t="shared" si="68"/>
        <v>-3</v>
      </c>
      <c r="Y732">
        <f t="shared" si="69"/>
        <v>0.4196185286103542</v>
      </c>
      <c r="Z732" s="7" t="str">
        <f t="shared" si="70"/>
        <v>High Sales</v>
      </c>
      <c r="AA732" s="7" t="str">
        <f t="shared" si="71"/>
        <v>High Margin</v>
      </c>
    </row>
    <row r="733" spans="1:27" x14ac:dyDescent="0.25">
      <c r="A733" t="s">
        <v>68</v>
      </c>
      <c r="B733">
        <v>76</v>
      </c>
      <c r="C733">
        <v>-91</v>
      </c>
      <c r="D733" s="1">
        <v>41913</v>
      </c>
      <c r="E733">
        <v>580</v>
      </c>
      <c r="F733">
        <v>111</v>
      </c>
      <c r="G733" t="s">
        <v>21</v>
      </c>
      <c r="H733" t="s">
        <v>22</v>
      </c>
      <c r="I733">
        <v>21</v>
      </c>
      <c r="J733" t="s">
        <v>40</v>
      </c>
      <c r="K733" t="s">
        <v>41</v>
      </c>
      <c r="L733" t="s">
        <v>53</v>
      </c>
      <c r="M733">
        <v>79</v>
      </c>
      <c r="N733">
        <v>187</v>
      </c>
      <c r="O733" t="s">
        <v>26</v>
      </c>
      <c r="P733">
        <v>100</v>
      </c>
      <c r="Q733">
        <v>180</v>
      </c>
      <c r="R733">
        <v>170</v>
      </c>
      <c r="S733">
        <v>280</v>
      </c>
      <c r="T733">
        <v>32</v>
      </c>
      <c r="U733" t="s">
        <v>35</v>
      </c>
      <c r="V733">
        <f t="shared" si="66"/>
        <v>0.42245989304812837</v>
      </c>
      <c r="W733">
        <f t="shared" si="67"/>
        <v>-91</v>
      </c>
      <c r="X733">
        <f t="shared" si="68"/>
        <v>-93</v>
      </c>
      <c r="Y733">
        <f t="shared" si="69"/>
        <v>0.40641711229946526</v>
      </c>
      <c r="Z733" s="7" t="str">
        <f t="shared" si="70"/>
        <v>Low Sales</v>
      </c>
      <c r="AA733" s="7" t="str">
        <f t="shared" si="71"/>
        <v>High Margin</v>
      </c>
    </row>
    <row r="734" spans="1:27" x14ac:dyDescent="0.25">
      <c r="A734" t="s">
        <v>185</v>
      </c>
      <c r="B734">
        <v>257</v>
      </c>
      <c r="C734">
        <v>-196</v>
      </c>
      <c r="D734" s="1">
        <v>41914</v>
      </c>
      <c r="E734">
        <v>1662</v>
      </c>
      <c r="F734">
        <v>341</v>
      </c>
      <c r="G734" t="s">
        <v>21</v>
      </c>
      <c r="H734" t="s">
        <v>22</v>
      </c>
      <c r="I734">
        <v>84</v>
      </c>
      <c r="J734" t="s">
        <v>40</v>
      </c>
      <c r="K734" t="s">
        <v>41</v>
      </c>
      <c r="L734" t="s">
        <v>53</v>
      </c>
      <c r="M734">
        <v>224</v>
      </c>
      <c r="N734">
        <v>598</v>
      </c>
      <c r="O734" t="s">
        <v>63</v>
      </c>
      <c r="P734">
        <v>370</v>
      </c>
      <c r="Q734">
        <v>520</v>
      </c>
      <c r="R734">
        <v>420</v>
      </c>
      <c r="S734">
        <v>890</v>
      </c>
      <c r="T734">
        <v>117</v>
      </c>
      <c r="U734" t="s">
        <v>35</v>
      </c>
      <c r="V734">
        <f t="shared" si="66"/>
        <v>0.37458193979933108</v>
      </c>
      <c r="W734">
        <f t="shared" si="67"/>
        <v>-196</v>
      </c>
      <c r="X734">
        <f t="shared" si="68"/>
        <v>-292</v>
      </c>
      <c r="Y734">
        <f t="shared" si="69"/>
        <v>0.42976588628762541</v>
      </c>
      <c r="Z734" s="7" t="str">
        <f t="shared" si="70"/>
        <v>High Sales</v>
      </c>
      <c r="AA734" s="7" t="str">
        <f t="shared" si="71"/>
        <v>High Margin</v>
      </c>
    </row>
    <row r="735" spans="1:27" x14ac:dyDescent="0.25">
      <c r="A735" t="s">
        <v>166</v>
      </c>
      <c r="B735">
        <v>161</v>
      </c>
      <c r="C735">
        <v>-98</v>
      </c>
      <c r="D735" s="1">
        <v>41915</v>
      </c>
      <c r="E735">
        <v>1267</v>
      </c>
      <c r="F735">
        <v>161</v>
      </c>
      <c r="G735" t="s">
        <v>21</v>
      </c>
      <c r="H735" t="s">
        <v>22</v>
      </c>
      <c r="I735">
        <v>45</v>
      </c>
      <c r="J735" t="s">
        <v>40</v>
      </c>
      <c r="K735" t="s">
        <v>41</v>
      </c>
      <c r="L735" t="s">
        <v>53</v>
      </c>
      <c r="M735">
        <v>92</v>
      </c>
      <c r="N735">
        <v>322</v>
      </c>
      <c r="O735" t="s">
        <v>65</v>
      </c>
      <c r="P735">
        <v>230</v>
      </c>
      <c r="Q735">
        <v>240</v>
      </c>
      <c r="R735">
        <v>190</v>
      </c>
      <c r="S735">
        <v>470</v>
      </c>
      <c r="T735">
        <v>69</v>
      </c>
      <c r="U735" t="s">
        <v>35</v>
      </c>
      <c r="V735">
        <f t="shared" si="66"/>
        <v>0.2857142857142857</v>
      </c>
      <c r="W735">
        <f t="shared" si="67"/>
        <v>-98</v>
      </c>
      <c r="X735">
        <f t="shared" si="68"/>
        <v>-148</v>
      </c>
      <c r="Y735">
        <f t="shared" si="69"/>
        <v>0.5</v>
      </c>
      <c r="Z735" s="7" t="str">
        <f t="shared" si="70"/>
        <v>High Sales</v>
      </c>
      <c r="AA735" s="7" t="str">
        <f t="shared" si="71"/>
        <v>High Margin</v>
      </c>
    </row>
    <row r="736" spans="1:27" x14ac:dyDescent="0.25">
      <c r="A736" t="s">
        <v>91</v>
      </c>
      <c r="B736">
        <v>161</v>
      </c>
      <c r="C736">
        <v>-18</v>
      </c>
      <c r="D736" s="1">
        <v>41916</v>
      </c>
      <c r="E736">
        <v>1267</v>
      </c>
      <c r="F736">
        <v>161</v>
      </c>
      <c r="G736" t="s">
        <v>21</v>
      </c>
      <c r="H736" t="s">
        <v>22</v>
      </c>
      <c r="I736">
        <v>45</v>
      </c>
      <c r="J736" t="s">
        <v>23</v>
      </c>
      <c r="K736" t="s">
        <v>24</v>
      </c>
      <c r="L736" t="s">
        <v>57</v>
      </c>
      <c r="M736">
        <v>92</v>
      </c>
      <c r="N736">
        <v>322</v>
      </c>
      <c r="O736" t="s">
        <v>26</v>
      </c>
      <c r="P736">
        <v>120</v>
      </c>
      <c r="Q736">
        <v>140</v>
      </c>
      <c r="R736">
        <v>110</v>
      </c>
      <c r="S736">
        <v>260</v>
      </c>
      <c r="T736">
        <v>69</v>
      </c>
      <c r="U736" t="s">
        <v>27</v>
      </c>
      <c r="V736">
        <f t="shared" si="66"/>
        <v>0.2857142857142857</v>
      </c>
      <c r="W736">
        <f t="shared" si="67"/>
        <v>-18</v>
      </c>
      <c r="X736">
        <f t="shared" si="68"/>
        <v>62</v>
      </c>
      <c r="Y736">
        <f t="shared" si="69"/>
        <v>0.5</v>
      </c>
      <c r="Z736" s="7" t="str">
        <f t="shared" si="70"/>
        <v>High Sales</v>
      </c>
      <c r="AA736" s="7" t="str">
        <f t="shared" si="71"/>
        <v>High Margin</v>
      </c>
    </row>
    <row r="737" spans="1:27" x14ac:dyDescent="0.25">
      <c r="A737" t="s">
        <v>120</v>
      </c>
      <c r="B737">
        <v>123</v>
      </c>
      <c r="C737">
        <v>-7</v>
      </c>
      <c r="D737" s="1">
        <v>41917</v>
      </c>
      <c r="E737">
        <v>915</v>
      </c>
      <c r="F737">
        <v>179</v>
      </c>
      <c r="G737" t="s">
        <v>21</v>
      </c>
      <c r="H737" t="s">
        <v>22</v>
      </c>
      <c r="I737">
        <v>34</v>
      </c>
      <c r="J737" t="s">
        <v>23</v>
      </c>
      <c r="K737" t="s">
        <v>24</v>
      </c>
      <c r="L737" t="s">
        <v>57</v>
      </c>
      <c r="M737">
        <v>133</v>
      </c>
      <c r="N737">
        <v>302</v>
      </c>
      <c r="O737" t="s">
        <v>63</v>
      </c>
      <c r="P737">
        <v>90</v>
      </c>
      <c r="Q737">
        <v>150</v>
      </c>
      <c r="R737">
        <v>140</v>
      </c>
      <c r="S737">
        <v>240</v>
      </c>
      <c r="T737">
        <v>46</v>
      </c>
      <c r="U737" t="s">
        <v>27</v>
      </c>
      <c r="V737">
        <f t="shared" si="66"/>
        <v>0.44039735099337746</v>
      </c>
      <c r="W737">
        <f t="shared" si="67"/>
        <v>-7</v>
      </c>
      <c r="X737">
        <f t="shared" si="68"/>
        <v>62</v>
      </c>
      <c r="Y737">
        <f t="shared" si="69"/>
        <v>0.40728476821192056</v>
      </c>
      <c r="Z737" s="7" t="str">
        <f t="shared" si="70"/>
        <v>High Sales</v>
      </c>
      <c r="AA737" s="7" t="str">
        <f t="shared" si="71"/>
        <v>High Margin</v>
      </c>
    </row>
    <row r="738" spans="1:27" x14ac:dyDescent="0.25">
      <c r="A738" t="s">
        <v>185</v>
      </c>
      <c r="B738">
        <v>108</v>
      </c>
      <c r="C738">
        <v>-4</v>
      </c>
      <c r="D738" s="1">
        <v>41918</v>
      </c>
      <c r="E738">
        <v>971</v>
      </c>
      <c r="F738">
        <v>157</v>
      </c>
      <c r="G738" t="s">
        <v>21</v>
      </c>
      <c r="H738" t="s">
        <v>22</v>
      </c>
      <c r="I738">
        <v>30</v>
      </c>
      <c r="J738" t="s">
        <v>23</v>
      </c>
      <c r="K738" t="s">
        <v>24</v>
      </c>
      <c r="L738" t="s">
        <v>28</v>
      </c>
      <c r="M738">
        <v>116</v>
      </c>
      <c r="N738">
        <v>265</v>
      </c>
      <c r="O738" t="s">
        <v>63</v>
      </c>
      <c r="P738">
        <v>80</v>
      </c>
      <c r="Q738">
        <v>130</v>
      </c>
      <c r="R738">
        <v>120</v>
      </c>
      <c r="S738">
        <v>210</v>
      </c>
      <c r="T738">
        <v>41</v>
      </c>
      <c r="U738" t="s">
        <v>27</v>
      </c>
      <c r="V738">
        <f t="shared" si="66"/>
        <v>0.43773584905660379</v>
      </c>
      <c r="W738">
        <f t="shared" si="67"/>
        <v>-4</v>
      </c>
      <c r="X738">
        <f t="shared" si="68"/>
        <v>55</v>
      </c>
      <c r="Y738">
        <f t="shared" si="69"/>
        <v>0.40754716981132078</v>
      </c>
      <c r="Z738" s="7" t="str">
        <f t="shared" si="70"/>
        <v>Low Sales</v>
      </c>
      <c r="AA738" s="7" t="str">
        <f t="shared" si="71"/>
        <v>High Margin</v>
      </c>
    </row>
    <row r="739" spans="1:27" x14ac:dyDescent="0.25">
      <c r="A739" t="s">
        <v>172</v>
      </c>
      <c r="B739">
        <v>82</v>
      </c>
      <c r="C739">
        <v>5</v>
      </c>
      <c r="D739" s="1">
        <v>41919</v>
      </c>
      <c r="E739">
        <v>788</v>
      </c>
      <c r="F739">
        <v>123</v>
      </c>
      <c r="G739" t="s">
        <v>21</v>
      </c>
      <c r="H739" t="s">
        <v>22</v>
      </c>
      <c r="I739">
        <v>27</v>
      </c>
      <c r="J739" t="s">
        <v>23</v>
      </c>
      <c r="K739" t="s">
        <v>32</v>
      </c>
      <c r="L739" t="s">
        <v>33</v>
      </c>
      <c r="M739">
        <v>65</v>
      </c>
      <c r="N739">
        <v>205</v>
      </c>
      <c r="O739" t="s">
        <v>65</v>
      </c>
      <c r="P739">
        <v>50</v>
      </c>
      <c r="Q739">
        <v>90</v>
      </c>
      <c r="R739">
        <v>60</v>
      </c>
      <c r="S739">
        <v>140</v>
      </c>
      <c r="T739">
        <v>58</v>
      </c>
      <c r="U739" t="s">
        <v>35</v>
      </c>
      <c r="V739">
        <f t="shared" si="66"/>
        <v>0.31707317073170732</v>
      </c>
      <c r="W739">
        <f t="shared" si="67"/>
        <v>5</v>
      </c>
      <c r="X739">
        <f t="shared" si="68"/>
        <v>65</v>
      </c>
      <c r="Y739">
        <f t="shared" si="69"/>
        <v>0.4</v>
      </c>
      <c r="Z739" s="7" t="str">
        <f t="shared" si="70"/>
        <v>Low Sales</v>
      </c>
      <c r="AA739" s="7" t="str">
        <f t="shared" si="71"/>
        <v>High Margin</v>
      </c>
    </row>
    <row r="740" spans="1:27" x14ac:dyDescent="0.25">
      <c r="A740" t="s">
        <v>137</v>
      </c>
      <c r="B740">
        <v>91</v>
      </c>
      <c r="C740">
        <v>-4</v>
      </c>
      <c r="D740" s="1">
        <v>41920</v>
      </c>
      <c r="E740">
        <v>656</v>
      </c>
      <c r="F740">
        <v>127</v>
      </c>
      <c r="G740" t="s">
        <v>21</v>
      </c>
      <c r="H740" t="s">
        <v>22</v>
      </c>
      <c r="I740">
        <v>28</v>
      </c>
      <c r="J740" t="s">
        <v>23</v>
      </c>
      <c r="K740" t="s">
        <v>32</v>
      </c>
      <c r="L740" t="s">
        <v>61</v>
      </c>
      <c r="M740">
        <v>76</v>
      </c>
      <c r="N740">
        <v>218</v>
      </c>
      <c r="O740" t="s">
        <v>65</v>
      </c>
      <c r="P740">
        <v>50</v>
      </c>
      <c r="Q740">
        <v>100</v>
      </c>
      <c r="R740">
        <v>80</v>
      </c>
      <c r="S740">
        <v>150</v>
      </c>
      <c r="T740">
        <v>51</v>
      </c>
      <c r="U740" t="s">
        <v>35</v>
      </c>
      <c r="V740">
        <f t="shared" si="66"/>
        <v>0.34862385321100919</v>
      </c>
      <c r="W740">
        <f t="shared" si="67"/>
        <v>-4</v>
      </c>
      <c r="X740">
        <f t="shared" si="68"/>
        <v>68</v>
      </c>
      <c r="Y740">
        <f t="shared" si="69"/>
        <v>0.41743119266055045</v>
      </c>
      <c r="Z740" s="7" t="str">
        <f t="shared" si="70"/>
        <v>Low Sales</v>
      </c>
      <c r="AA740" s="7" t="str">
        <f t="shared" si="71"/>
        <v>High Margin</v>
      </c>
    </row>
    <row r="741" spans="1:27" x14ac:dyDescent="0.25">
      <c r="A741" t="s">
        <v>111</v>
      </c>
      <c r="B741">
        <v>90</v>
      </c>
      <c r="C741">
        <v>-6</v>
      </c>
      <c r="D741" s="1">
        <v>41921</v>
      </c>
      <c r="E741">
        <v>572</v>
      </c>
      <c r="F741">
        <v>115</v>
      </c>
      <c r="G741" t="s">
        <v>21</v>
      </c>
      <c r="H741" t="s">
        <v>22</v>
      </c>
      <c r="I741">
        <v>29</v>
      </c>
      <c r="J741" t="s">
        <v>23</v>
      </c>
      <c r="K741" t="s">
        <v>32</v>
      </c>
      <c r="L741" t="s">
        <v>37</v>
      </c>
      <c r="M741">
        <v>74</v>
      </c>
      <c r="N741">
        <v>205</v>
      </c>
      <c r="O741" t="s">
        <v>26</v>
      </c>
      <c r="P741">
        <v>50</v>
      </c>
      <c r="Q741">
        <v>90</v>
      </c>
      <c r="R741">
        <v>80</v>
      </c>
      <c r="S741">
        <v>140</v>
      </c>
      <c r="T741">
        <v>41</v>
      </c>
      <c r="U741" t="s">
        <v>35</v>
      </c>
      <c r="V741">
        <f t="shared" si="66"/>
        <v>0.36097560975609755</v>
      </c>
      <c r="W741">
        <f t="shared" si="67"/>
        <v>-6</v>
      </c>
      <c r="X741">
        <f t="shared" si="68"/>
        <v>65</v>
      </c>
      <c r="Y741">
        <f t="shared" si="69"/>
        <v>0.43902439024390244</v>
      </c>
      <c r="Z741" s="7" t="str">
        <f t="shared" si="70"/>
        <v>Low Sales</v>
      </c>
      <c r="AA741" s="7" t="str">
        <f t="shared" si="71"/>
        <v>High Margin</v>
      </c>
    </row>
    <row r="742" spans="1:27" x14ac:dyDescent="0.25">
      <c r="A742" t="s">
        <v>145</v>
      </c>
      <c r="B742">
        <v>10</v>
      </c>
      <c r="C742">
        <v>-12</v>
      </c>
      <c r="D742" s="1">
        <v>41922</v>
      </c>
      <c r="E742">
        <v>598</v>
      </c>
      <c r="F742">
        <v>13</v>
      </c>
      <c r="G742" t="s">
        <v>39</v>
      </c>
      <c r="H742" t="s">
        <v>22</v>
      </c>
      <c r="I742">
        <v>3</v>
      </c>
      <c r="J742" t="s">
        <v>40</v>
      </c>
      <c r="K742" t="s">
        <v>45</v>
      </c>
      <c r="L742" t="s">
        <v>46</v>
      </c>
      <c r="M742">
        <v>-2</v>
      </c>
      <c r="N742">
        <v>23</v>
      </c>
      <c r="O742" t="s">
        <v>43</v>
      </c>
      <c r="P742">
        <v>0</v>
      </c>
      <c r="Q742">
        <v>10</v>
      </c>
      <c r="R742">
        <v>10</v>
      </c>
      <c r="S742">
        <v>10</v>
      </c>
      <c r="T742">
        <v>15</v>
      </c>
      <c r="U742" t="s">
        <v>27</v>
      </c>
      <c r="V742">
        <f t="shared" si="66"/>
        <v>-8.6956521739130432E-2</v>
      </c>
      <c r="W742">
        <f t="shared" si="67"/>
        <v>-12</v>
      </c>
      <c r="X742">
        <f t="shared" si="68"/>
        <v>13</v>
      </c>
      <c r="Y742">
        <f t="shared" si="69"/>
        <v>0.43478260869565216</v>
      </c>
      <c r="Z742" s="7" t="str">
        <f t="shared" si="70"/>
        <v>Low Sales</v>
      </c>
      <c r="AA742" s="7" t="str">
        <f t="shared" si="71"/>
        <v>Low Margin</v>
      </c>
    </row>
    <row r="743" spans="1:27" x14ac:dyDescent="0.25">
      <c r="A743" t="s">
        <v>133</v>
      </c>
      <c r="B743">
        <v>86</v>
      </c>
      <c r="C743">
        <v>-39</v>
      </c>
      <c r="D743" s="1">
        <v>41923</v>
      </c>
      <c r="E743">
        <v>547</v>
      </c>
      <c r="F743">
        <v>116</v>
      </c>
      <c r="G743" t="s">
        <v>39</v>
      </c>
      <c r="H743" t="s">
        <v>22</v>
      </c>
      <c r="I743">
        <v>28</v>
      </c>
      <c r="J743" t="s">
        <v>40</v>
      </c>
      <c r="K743" t="s">
        <v>45</v>
      </c>
      <c r="L743" t="s">
        <v>46</v>
      </c>
      <c r="M743">
        <v>61</v>
      </c>
      <c r="N743">
        <v>202</v>
      </c>
      <c r="O743" t="s">
        <v>59</v>
      </c>
      <c r="P743">
        <v>80</v>
      </c>
      <c r="Q743">
        <v>120</v>
      </c>
      <c r="R743">
        <v>100</v>
      </c>
      <c r="S743">
        <v>200</v>
      </c>
      <c r="T743">
        <v>55</v>
      </c>
      <c r="U743" t="s">
        <v>27</v>
      </c>
      <c r="V743">
        <f t="shared" si="66"/>
        <v>0.30198019801980197</v>
      </c>
      <c r="W743">
        <f t="shared" si="67"/>
        <v>-39</v>
      </c>
      <c r="X743">
        <f t="shared" si="68"/>
        <v>2</v>
      </c>
      <c r="Y743">
        <f t="shared" si="69"/>
        <v>0.42574257425742573</v>
      </c>
      <c r="Z743" s="7" t="str">
        <f t="shared" si="70"/>
        <v>Low Sales</v>
      </c>
      <c r="AA743" s="7" t="str">
        <f t="shared" si="71"/>
        <v>High Margin</v>
      </c>
    </row>
    <row r="744" spans="1:27" x14ac:dyDescent="0.25">
      <c r="A744" t="s">
        <v>130</v>
      </c>
      <c r="B744">
        <v>79</v>
      </c>
      <c r="C744">
        <v>-35</v>
      </c>
      <c r="D744" s="1">
        <v>41924</v>
      </c>
      <c r="E744">
        <v>593</v>
      </c>
      <c r="F744">
        <v>98</v>
      </c>
      <c r="G744" t="s">
        <v>39</v>
      </c>
      <c r="H744" t="s">
        <v>22</v>
      </c>
      <c r="I744">
        <v>30</v>
      </c>
      <c r="J744" t="s">
        <v>40</v>
      </c>
      <c r="K744" t="s">
        <v>45</v>
      </c>
      <c r="L744" t="s">
        <v>52</v>
      </c>
      <c r="M744">
        <v>35</v>
      </c>
      <c r="N744">
        <v>177</v>
      </c>
      <c r="O744" t="s">
        <v>58</v>
      </c>
      <c r="P744">
        <v>70</v>
      </c>
      <c r="Q744">
        <v>100</v>
      </c>
      <c r="R744">
        <v>70</v>
      </c>
      <c r="S744">
        <v>170</v>
      </c>
      <c r="T744">
        <v>63</v>
      </c>
      <c r="U744" t="s">
        <v>35</v>
      </c>
      <c r="V744">
        <f t="shared" si="66"/>
        <v>0.19774011299435029</v>
      </c>
      <c r="W744">
        <f t="shared" si="67"/>
        <v>-35</v>
      </c>
      <c r="X744">
        <f t="shared" si="68"/>
        <v>7</v>
      </c>
      <c r="Y744">
        <f t="shared" si="69"/>
        <v>0.4463276836158192</v>
      </c>
      <c r="Z744" s="7" t="str">
        <f t="shared" si="70"/>
        <v>Low Sales</v>
      </c>
      <c r="AA744" s="7" t="str">
        <f t="shared" si="71"/>
        <v>High Margin</v>
      </c>
    </row>
    <row r="745" spans="1:27" x14ac:dyDescent="0.25">
      <c r="A745" t="s">
        <v>133</v>
      </c>
      <c r="B745">
        <v>96</v>
      </c>
      <c r="C745">
        <v>-42</v>
      </c>
      <c r="D745" s="1">
        <v>41925</v>
      </c>
      <c r="E745">
        <v>683</v>
      </c>
      <c r="F745">
        <v>134</v>
      </c>
      <c r="G745" t="s">
        <v>39</v>
      </c>
      <c r="H745" t="s">
        <v>22</v>
      </c>
      <c r="I745">
        <v>87</v>
      </c>
      <c r="J745" t="s">
        <v>40</v>
      </c>
      <c r="K745" t="s">
        <v>45</v>
      </c>
      <c r="L745" t="s">
        <v>52</v>
      </c>
      <c r="M745">
        <v>18</v>
      </c>
      <c r="N745">
        <v>230</v>
      </c>
      <c r="O745" t="s">
        <v>59</v>
      </c>
      <c r="P745">
        <v>90</v>
      </c>
      <c r="Q745">
        <v>140</v>
      </c>
      <c r="R745">
        <v>60</v>
      </c>
      <c r="S745">
        <v>230</v>
      </c>
      <c r="T745">
        <v>116</v>
      </c>
      <c r="U745" t="s">
        <v>35</v>
      </c>
      <c r="V745">
        <f t="shared" si="66"/>
        <v>7.8260869565217397E-2</v>
      </c>
      <c r="W745">
        <f t="shared" si="67"/>
        <v>-42</v>
      </c>
      <c r="X745">
        <f t="shared" si="68"/>
        <v>0</v>
      </c>
      <c r="Y745">
        <f t="shared" si="69"/>
        <v>0.41739130434782606</v>
      </c>
      <c r="Z745" s="7" t="str">
        <f t="shared" si="70"/>
        <v>Low Sales</v>
      </c>
      <c r="AA745" s="7" t="str">
        <f t="shared" si="71"/>
        <v>High Margin</v>
      </c>
    </row>
    <row r="746" spans="1:27" x14ac:dyDescent="0.25">
      <c r="A746" t="s">
        <v>94</v>
      </c>
      <c r="B746">
        <v>40</v>
      </c>
      <c r="C746">
        <v>-54</v>
      </c>
      <c r="D746" s="1">
        <v>41926</v>
      </c>
      <c r="E746">
        <v>881</v>
      </c>
      <c r="F746">
        <v>59</v>
      </c>
      <c r="G746" t="s">
        <v>39</v>
      </c>
      <c r="H746" t="s">
        <v>22</v>
      </c>
      <c r="I746">
        <v>11</v>
      </c>
      <c r="J746" t="s">
        <v>40</v>
      </c>
      <c r="K746" t="s">
        <v>41</v>
      </c>
      <c r="L746" t="s">
        <v>53</v>
      </c>
      <c r="M746">
        <v>36</v>
      </c>
      <c r="N746">
        <v>99</v>
      </c>
      <c r="O746" t="s">
        <v>58</v>
      </c>
      <c r="P746">
        <v>50</v>
      </c>
      <c r="Q746">
        <v>90</v>
      </c>
      <c r="R746">
        <v>90</v>
      </c>
      <c r="S746">
        <v>140</v>
      </c>
      <c r="T746">
        <v>23</v>
      </c>
      <c r="U746" t="s">
        <v>35</v>
      </c>
      <c r="V746">
        <f t="shared" si="66"/>
        <v>0.36363636363636365</v>
      </c>
      <c r="W746">
        <f t="shared" si="67"/>
        <v>-54</v>
      </c>
      <c r="X746">
        <f t="shared" si="68"/>
        <v>-41</v>
      </c>
      <c r="Y746">
        <f t="shared" si="69"/>
        <v>0.40404040404040403</v>
      </c>
      <c r="Z746" s="7" t="str">
        <f t="shared" si="70"/>
        <v>Low Sales</v>
      </c>
      <c r="AA746" s="7" t="str">
        <f t="shared" si="71"/>
        <v>High Margin</v>
      </c>
    </row>
    <row r="747" spans="1:27" x14ac:dyDescent="0.25">
      <c r="A747" t="s">
        <v>162</v>
      </c>
      <c r="B747">
        <v>80</v>
      </c>
      <c r="C747">
        <v>-72</v>
      </c>
      <c r="D747" s="1">
        <v>41927</v>
      </c>
      <c r="E747">
        <v>1055</v>
      </c>
      <c r="F747">
        <v>94</v>
      </c>
      <c r="G747" t="s">
        <v>39</v>
      </c>
      <c r="H747" t="s">
        <v>22</v>
      </c>
      <c r="I747">
        <v>24</v>
      </c>
      <c r="J747" t="s">
        <v>40</v>
      </c>
      <c r="K747" t="s">
        <v>41</v>
      </c>
      <c r="L747" t="s">
        <v>53</v>
      </c>
      <c r="M747">
        <v>48</v>
      </c>
      <c r="N747">
        <v>174</v>
      </c>
      <c r="O747" t="s">
        <v>59</v>
      </c>
      <c r="P747">
        <v>110</v>
      </c>
      <c r="Q747">
        <v>140</v>
      </c>
      <c r="R747">
        <v>120</v>
      </c>
      <c r="S747">
        <v>250</v>
      </c>
      <c r="T747">
        <v>46</v>
      </c>
      <c r="U747" t="s">
        <v>35</v>
      </c>
      <c r="V747">
        <f t="shared" si="66"/>
        <v>0.27586206896551724</v>
      </c>
      <c r="W747">
        <f t="shared" si="67"/>
        <v>-72</v>
      </c>
      <c r="X747">
        <f t="shared" si="68"/>
        <v>-76</v>
      </c>
      <c r="Y747">
        <f t="shared" si="69"/>
        <v>0.45977011494252873</v>
      </c>
      <c r="Z747" s="7" t="str">
        <f t="shared" si="70"/>
        <v>Low Sales</v>
      </c>
      <c r="AA747" s="7" t="str">
        <f t="shared" si="71"/>
        <v>High Margin</v>
      </c>
    </row>
    <row r="748" spans="1:27" x14ac:dyDescent="0.25">
      <c r="A748" t="s">
        <v>73</v>
      </c>
      <c r="B748">
        <v>257</v>
      </c>
      <c r="C748">
        <v>14</v>
      </c>
      <c r="D748" s="1">
        <v>41928</v>
      </c>
      <c r="E748">
        <v>1662</v>
      </c>
      <c r="F748">
        <v>341</v>
      </c>
      <c r="G748" t="s">
        <v>39</v>
      </c>
      <c r="H748" t="s">
        <v>22</v>
      </c>
      <c r="I748">
        <v>84</v>
      </c>
      <c r="J748" t="s">
        <v>23</v>
      </c>
      <c r="K748" t="s">
        <v>24</v>
      </c>
      <c r="L748" t="s">
        <v>57</v>
      </c>
      <c r="M748">
        <v>224</v>
      </c>
      <c r="N748">
        <v>598</v>
      </c>
      <c r="O748" t="s">
        <v>43</v>
      </c>
      <c r="P748">
        <v>200</v>
      </c>
      <c r="Q748">
        <v>280</v>
      </c>
      <c r="R748">
        <v>210</v>
      </c>
      <c r="S748">
        <v>480</v>
      </c>
      <c r="T748">
        <v>117</v>
      </c>
      <c r="U748" t="s">
        <v>27</v>
      </c>
      <c r="V748">
        <f t="shared" si="66"/>
        <v>0.37458193979933108</v>
      </c>
      <c r="W748">
        <f t="shared" si="67"/>
        <v>14</v>
      </c>
      <c r="X748">
        <f t="shared" si="68"/>
        <v>118</v>
      </c>
      <c r="Y748">
        <f t="shared" si="69"/>
        <v>0.42976588628762541</v>
      </c>
      <c r="Z748" s="7" t="str">
        <f t="shared" si="70"/>
        <v>High Sales</v>
      </c>
      <c r="AA748" s="7" t="str">
        <f t="shared" si="71"/>
        <v>High Margin</v>
      </c>
    </row>
    <row r="749" spans="1:27" x14ac:dyDescent="0.25">
      <c r="A749" t="s">
        <v>145</v>
      </c>
      <c r="B749">
        <v>122</v>
      </c>
      <c r="C749">
        <v>-16</v>
      </c>
      <c r="D749" s="1">
        <v>41929</v>
      </c>
      <c r="E749">
        <v>789</v>
      </c>
      <c r="F749">
        <v>176</v>
      </c>
      <c r="G749" t="s">
        <v>39</v>
      </c>
      <c r="H749" t="s">
        <v>22</v>
      </c>
      <c r="I749">
        <v>39</v>
      </c>
      <c r="J749" t="s">
        <v>23</v>
      </c>
      <c r="K749" t="s">
        <v>24</v>
      </c>
      <c r="L749" t="s">
        <v>25</v>
      </c>
      <c r="M749">
        <v>114</v>
      </c>
      <c r="N749">
        <v>298</v>
      </c>
      <c r="O749" t="s">
        <v>43</v>
      </c>
      <c r="P749">
        <v>90</v>
      </c>
      <c r="Q749">
        <v>150</v>
      </c>
      <c r="R749">
        <v>130</v>
      </c>
      <c r="S749">
        <v>240</v>
      </c>
      <c r="T749">
        <v>62</v>
      </c>
      <c r="U749" t="s">
        <v>27</v>
      </c>
      <c r="V749">
        <f t="shared" si="66"/>
        <v>0.3825503355704698</v>
      </c>
      <c r="W749">
        <f t="shared" si="67"/>
        <v>-16</v>
      </c>
      <c r="X749">
        <f t="shared" si="68"/>
        <v>58</v>
      </c>
      <c r="Y749">
        <f t="shared" si="69"/>
        <v>0.40939597315436244</v>
      </c>
      <c r="Z749" s="7" t="str">
        <f t="shared" si="70"/>
        <v>High Sales</v>
      </c>
      <c r="AA749" s="7" t="str">
        <f t="shared" si="71"/>
        <v>High Margin</v>
      </c>
    </row>
    <row r="750" spans="1:27" x14ac:dyDescent="0.25">
      <c r="A750" t="s">
        <v>81</v>
      </c>
      <c r="B750">
        <v>86</v>
      </c>
      <c r="C750">
        <v>-36</v>
      </c>
      <c r="D750" s="1">
        <v>41930</v>
      </c>
      <c r="E750">
        <v>1698</v>
      </c>
      <c r="F750">
        <v>23</v>
      </c>
      <c r="G750" t="s">
        <v>39</v>
      </c>
      <c r="H750" t="s">
        <v>22</v>
      </c>
      <c r="I750">
        <v>26</v>
      </c>
      <c r="J750" t="s">
        <v>23</v>
      </c>
      <c r="K750" t="s">
        <v>24</v>
      </c>
      <c r="L750" t="s">
        <v>25</v>
      </c>
      <c r="M750">
        <v>-26</v>
      </c>
      <c r="N750">
        <v>109</v>
      </c>
      <c r="O750" t="s">
        <v>58</v>
      </c>
      <c r="P750">
        <v>60</v>
      </c>
      <c r="Q750">
        <v>20</v>
      </c>
      <c r="R750">
        <v>10</v>
      </c>
      <c r="S750">
        <v>80</v>
      </c>
      <c r="T750">
        <v>49</v>
      </c>
      <c r="U750" t="s">
        <v>27</v>
      </c>
      <c r="V750">
        <f t="shared" si="66"/>
        <v>-0.23853211009174313</v>
      </c>
      <c r="W750">
        <f t="shared" si="67"/>
        <v>-36</v>
      </c>
      <c r="X750">
        <f t="shared" si="68"/>
        <v>29</v>
      </c>
      <c r="Y750">
        <f t="shared" si="69"/>
        <v>0.78899082568807344</v>
      </c>
      <c r="Z750" s="7" t="str">
        <f t="shared" si="70"/>
        <v>Low Sales</v>
      </c>
      <c r="AA750" s="7" t="str">
        <f t="shared" si="71"/>
        <v>Low Margin</v>
      </c>
    </row>
    <row r="751" spans="1:27" x14ac:dyDescent="0.25">
      <c r="A751" t="s">
        <v>114</v>
      </c>
      <c r="B751">
        <v>239</v>
      </c>
      <c r="C751">
        <v>39</v>
      </c>
      <c r="D751" s="1">
        <v>41931</v>
      </c>
      <c r="E751">
        <v>1755</v>
      </c>
      <c r="F751">
        <v>239</v>
      </c>
      <c r="G751" t="s">
        <v>39</v>
      </c>
      <c r="H751" t="s">
        <v>22</v>
      </c>
      <c r="I751">
        <v>66</v>
      </c>
      <c r="J751" t="s">
        <v>23</v>
      </c>
      <c r="K751" t="s">
        <v>32</v>
      </c>
      <c r="L751" t="s">
        <v>33</v>
      </c>
      <c r="M751">
        <v>149</v>
      </c>
      <c r="N751">
        <v>478</v>
      </c>
      <c r="O751" t="s">
        <v>43</v>
      </c>
      <c r="P751">
        <v>170</v>
      </c>
      <c r="Q751">
        <v>170</v>
      </c>
      <c r="R751">
        <v>110</v>
      </c>
      <c r="S751">
        <v>340</v>
      </c>
      <c r="T751">
        <v>90</v>
      </c>
      <c r="U751" t="s">
        <v>35</v>
      </c>
      <c r="V751">
        <f t="shared" si="66"/>
        <v>0.31171548117154813</v>
      </c>
      <c r="W751">
        <f t="shared" si="67"/>
        <v>39</v>
      </c>
      <c r="X751">
        <f t="shared" si="68"/>
        <v>138</v>
      </c>
      <c r="Y751">
        <f t="shared" si="69"/>
        <v>0.5</v>
      </c>
      <c r="Z751" s="7" t="str">
        <f t="shared" si="70"/>
        <v>High Sales</v>
      </c>
      <c r="AA751" s="7" t="str">
        <f t="shared" si="71"/>
        <v>High Margin</v>
      </c>
    </row>
    <row r="752" spans="1:27" x14ac:dyDescent="0.25">
      <c r="A752" t="s">
        <v>114</v>
      </c>
      <c r="B752">
        <v>255</v>
      </c>
      <c r="C752">
        <v>53</v>
      </c>
      <c r="D752" s="1">
        <v>41932</v>
      </c>
      <c r="E752">
        <v>1756</v>
      </c>
      <c r="F752">
        <v>312</v>
      </c>
      <c r="G752" t="s">
        <v>39</v>
      </c>
      <c r="H752" t="s">
        <v>22</v>
      </c>
      <c r="I752">
        <v>96</v>
      </c>
      <c r="J752" t="s">
        <v>23</v>
      </c>
      <c r="K752" t="s">
        <v>32</v>
      </c>
      <c r="L752" t="s">
        <v>61</v>
      </c>
      <c r="M752">
        <v>183</v>
      </c>
      <c r="N752">
        <v>567</v>
      </c>
      <c r="O752" t="s">
        <v>43</v>
      </c>
      <c r="P752">
        <v>170</v>
      </c>
      <c r="Q752">
        <v>230</v>
      </c>
      <c r="R752">
        <v>130</v>
      </c>
      <c r="S752">
        <v>400</v>
      </c>
      <c r="T752">
        <v>129</v>
      </c>
      <c r="U752" t="s">
        <v>35</v>
      </c>
      <c r="V752">
        <f t="shared" si="66"/>
        <v>0.32275132275132273</v>
      </c>
      <c r="W752">
        <f t="shared" si="67"/>
        <v>53</v>
      </c>
      <c r="X752">
        <f t="shared" si="68"/>
        <v>167</v>
      </c>
      <c r="Y752">
        <f t="shared" si="69"/>
        <v>0.44973544973544971</v>
      </c>
      <c r="Z752" s="7" t="str">
        <f t="shared" si="70"/>
        <v>High Sales</v>
      </c>
      <c r="AA752" s="7" t="str">
        <f t="shared" si="71"/>
        <v>High Margin</v>
      </c>
    </row>
    <row r="753" spans="1:27" x14ac:dyDescent="0.25">
      <c r="A753" t="s">
        <v>108</v>
      </c>
      <c r="B753">
        <v>25</v>
      </c>
      <c r="C753">
        <v>-11</v>
      </c>
      <c r="D753" s="1">
        <v>41933</v>
      </c>
      <c r="E753">
        <v>209</v>
      </c>
      <c r="F753">
        <v>31</v>
      </c>
      <c r="G753" t="s">
        <v>39</v>
      </c>
      <c r="H753" t="s">
        <v>22</v>
      </c>
      <c r="I753">
        <v>9</v>
      </c>
      <c r="J753" t="s">
        <v>23</v>
      </c>
      <c r="K753" t="s">
        <v>32</v>
      </c>
      <c r="L753" t="s">
        <v>61</v>
      </c>
      <c r="M753">
        <v>-11</v>
      </c>
      <c r="N753">
        <v>56</v>
      </c>
      <c r="O753" t="s">
        <v>58</v>
      </c>
      <c r="P753">
        <v>10</v>
      </c>
      <c r="Q753">
        <v>20</v>
      </c>
      <c r="R753">
        <v>0</v>
      </c>
      <c r="S753">
        <v>30</v>
      </c>
      <c r="T753">
        <v>42</v>
      </c>
      <c r="U753" t="s">
        <v>35</v>
      </c>
      <c r="V753">
        <f t="shared" si="66"/>
        <v>-0.19642857142857142</v>
      </c>
      <c r="W753">
        <f t="shared" si="67"/>
        <v>-11</v>
      </c>
      <c r="X753">
        <f t="shared" si="68"/>
        <v>26</v>
      </c>
      <c r="Y753">
        <f t="shared" si="69"/>
        <v>0.44642857142857145</v>
      </c>
      <c r="Z753" s="7" t="str">
        <f t="shared" si="70"/>
        <v>Low Sales</v>
      </c>
      <c r="AA753" s="7" t="str">
        <f t="shared" si="71"/>
        <v>Low Margin</v>
      </c>
    </row>
    <row r="754" spans="1:27" x14ac:dyDescent="0.25">
      <c r="A754" t="s">
        <v>69</v>
      </c>
      <c r="B754">
        <v>81</v>
      </c>
      <c r="C754">
        <v>4</v>
      </c>
      <c r="D754" s="1">
        <v>41934</v>
      </c>
      <c r="E754">
        <v>984</v>
      </c>
      <c r="F754">
        <v>117</v>
      </c>
      <c r="G754" t="s">
        <v>21</v>
      </c>
      <c r="H754" t="s">
        <v>22</v>
      </c>
      <c r="I754">
        <v>22</v>
      </c>
      <c r="J754" t="s">
        <v>40</v>
      </c>
      <c r="K754" t="s">
        <v>45</v>
      </c>
      <c r="L754" t="s">
        <v>46</v>
      </c>
      <c r="M754">
        <v>84</v>
      </c>
      <c r="N754">
        <v>198</v>
      </c>
      <c r="O754" t="s">
        <v>26</v>
      </c>
      <c r="P754">
        <v>80</v>
      </c>
      <c r="Q754">
        <v>110</v>
      </c>
      <c r="R754">
        <v>80</v>
      </c>
      <c r="S754">
        <v>190</v>
      </c>
      <c r="T754">
        <v>33</v>
      </c>
      <c r="U754" t="s">
        <v>27</v>
      </c>
      <c r="V754">
        <f t="shared" si="66"/>
        <v>0.42424242424242425</v>
      </c>
      <c r="W754">
        <f t="shared" si="67"/>
        <v>4</v>
      </c>
      <c r="X754">
        <f t="shared" si="68"/>
        <v>8</v>
      </c>
      <c r="Y754">
        <f t="shared" si="69"/>
        <v>0.40909090909090912</v>
      </c>
      <c r="Z754" s="7" t="str">
        <f t="shared" si="70"/>
        <v>Low Sales</v>
      </c>
      <c r="AA754" s="7" t="str">
        <f t="shared" si="71"/>
        <v>High Margin</v>
      </c>
    </row>
    <row r="755" spans="1:27" x14ac:dyDescent="0.25">
      <c r="A755" t="s">
        <v>185</v>
      </c>
      <c r="B755">
        <v>113</v>
      </c>
      <c r="C755">
        <v>-4</v>
      </c>
      <c r="D755" s="1">
        <v>41935</v>
      </c>
      <c r="E755">
        <v>803</v>
      </c>
      <c r="F755">
        <v>165</v>
      </c>
      <c r="G755" t="s">
        <v>21</v>
      </c>
      <c r="H755" t="s">
        <v>22</v>
      </c>
      <c r="I755">
        <v>36</v>
      </c>
      <c r="J755" t="s">
        <v>40</v>
      </c>
      <c r="K755" t="s">
        <v>45</v>
      </c>
      <c r="L755" t="s">
        <v>46</v>
      </c>
      <c r="M755">
        <v>106</v>
      </c>
      <c r="N755">
        <v>278</v>
      </c>
      <c r="O755" t="s">
        <v>63</v>
      </c>
      <c r="P755">
        <v>110</v>
      </c>
      <c r="Q755">
        <v>160</v>
      </c>
      <c r="R755">
        <v>110</v>
      </c>
      <c r="S755">
        <v>270</v>
      </c>
      <c r="T755">
        <v>59</v>
      </c>
      <c r="U755" t="s">
        <v>27</v>
      </c>
      <c r="V755">
        <f t="shared" si="66"/>
        <v>0.38129496402877699</v>
      </c>
      <c r="W755">
        <f t="shared" si="67"/>
        <v>-4</v>
      </c>
      <c r="X755">
        <f t="shared" si="68"/>
        <v>8</v>
      </c>
      <c r="Y755">
        <f t="shared" si="69"/>
        <v>0.40647482014388492</v>
      </c>
      <c r="Z755" s="7" t="str">
        <f t="shared" si="70"/>
        <v>Low Sales</v>
      </c>
      <c r="AA755" s="7" t="str">
        <f t="shared" si="71"/>
        <v>High Margin</v>
      </c>
    </row>
    <row r="756" spans="1:27" x14ac:dyDescent="0.25">
      <c r="A756" t="s">
        <v>68</v>
      </c>
      <c r="B756">
        <v>75</v>
      </c>
      <c r="C756">
        <v>-42</v>
      </c>
      <c r="D756" s="1">
        <v>41936</v>
      </c>
      <c r="E756">
        <v>659</v>
      </c>
      <c r="F756">
        <v>114</v>
      </c>
      <c r="G756" t="s">
        <v>21</v>
      </c>
      <c r="H756" t="s">
        <v>22</v>
      </c>
      <c r="I756">
        <v>24</v>
      </c>
      <c r="J756" t="s">
        <v>40</v>
      </c>
      <c r="K756" t="s">
        <v>41</v>
      </c>
      <c r="L756" t="s">
        <v>42</v>
      </c>
      <c r="M756">
        <v>58</v>
      </c>
      <c r="N756">
        <v>189</v>
      </c>
      <c r="O756" t="s">
        <v>26</v>
      </c>
      <c r="P756">
        <v>90</v>
      </c>
      <c r="Q756">
        <v>150</v>
      </c>
      <c r="R756">
        <v>100</v>
      </c>
      <c r="S756">
        <v>240</v>
      </c>
      <c r="T756">
        <v>56</v>
      </c>
      <c r="U756" t="s">
        <v>27</v>
      </c>
      <c r="V756">
        <f t="shared" si="66"/>
        <v>0.30687830687830686</v>
      </c>
      <c r="W756">
        <f t="shared" si="67"/>
        <v>-42</v>
      </c>
      <c r="X756">
        <f t="shared" si="68"/>
        <v>-51</v>
      </c>
      <c r="Y756">
        <f t="shared" si="69"/>
        <v>0.3968253968253968</v>
      </c>
      <c r="Z756" s="7" t="str">
        <f t="shared" si="70"/>
        <v>Low Sales</v>
      </c>
      <c r="AA756" s="7" t="str">
        <f t="shared" si="71"/>
        <v>High Margin</v>
      </c>
    </row>
    <row r="757" spans="1:27" x14ac:dyDescent="0.25">
      <c r="A757" t="s">
        <v>92</v>
      </c>
      <c r="B757">
        <v>211</v>
      </c>
      <c r="C757">
        <v>-71</v>
      </c>
      <c r="D757" s="1">
        <v>41937</v>
      </c>
      <c r="E757">
        <v>1778</v>
      </c>
      <c r="F757">
        <v>212</v>
      </c>
      <c r="G757" t="s">
        <v>21</v>
      </c>
      <c r="H757" t="s">
        <v>22</v>
      </c>
      <c r="I757">
        <v>59</v>
      </c>
      <c r="J757" t="s">
        <v>40</v>
      </c>
      <c r="K757" t="s">
        <v>41</v>
      </c>
      <c r="L757" t="s">
        <v>42</v>
      </c>
      <c r="M757">
        <v>129</v>
      </c>
      <c r="N757">
        <v>423</v>
      </c>
      <c r="O757" t="s">
        <v>63</v>
      </c>
      <c r="P757">
        <v>270</v>
      </c>
      <c r="Q757">
        <v>270</v>
      </c>
      <c r="R757">
        <v>200</v>
      </c>
      <c r="S757">
        <v>540</v>
      </c>
      <c r="T757">
        <v>83</v>
      </c>
      <c r="U757" t="s">
        <v>27</v>
      </c>
      <c r="V757">
        <f t="shared" si="66"/>
        <v>0.30496453900709219</v>
      </c>
      <c r="W757">
        <f t="shared" si="67"/>
        <v>-71</v>
      </c>
      <c r="X757">
        <f t="shared" si="68"/>
        <v>-117</v>
      </c>
      <c r="Y757">
        <f t="shared" si="69"/>
        <v>0.49881796690307328</v>
      </c>
      <c r="Z757" s="7" t="str">
        <f t="shared" si="70"/>
        <v>High Sales</v>
      </c>
      <c r="AA757" s="7" t="str">
        <f t="shared" si="71"/>
        <v>High Margin</v>
      </c>
    </row>
    <row r="758" spans="1:27" x14ac:dyDescent="0.25">
      <c r="A758" t="s">
        <v>69</v>
      </c>
      <c r="B758">
        <v>118</v>
      </c>
      <c r="C758">
        <v>-2</v>
      </c>
      <c r="D758" s="1">
        <v>41938</v>
      </c>
      <c r="E758">
        <v>930</v>
      </c>
      <c r="F758">
        <v>172</v>
      </c>
      <c r="G758" t="s">
        <v>21</v>
      </c>
      <c r="H758" t="s">
        <v>22</v>
      </c>
      <c r="I758">
        <v>33</v>
      </c>
      <c r="J758" t="s">
        <v>40</v>
      </c>
      <c r="K758" t="s">
        <v>45</v>
      </c>
      <c r="L758" t="s">
        <v>50</v>
      </c>
      <c r="M758">
        <v>128</v>
      </c>
      <c r="N758">
        <v>290</v>
      </c>
      <c r="O758" t="s">
        <v>26</v>
      </c>
      <c r="P758">
        <v>110</v>
      </c>
      <c r="Q758">
        <v>170</v>
      </c>
      <c r="R758">
        <v>130</v>
      </c>
      <c r="S758">
        <v>280</v>
      </c>
      <c r="T758">
        <v>44</v>
      </c>
      <c r="U758" t="s">
        <v>35</v>
      </c>
      <c r="V758">
        <f t="shared" si="66"/>
        <v>0.44137931034482758</v>
      </c>
      <c r="W758">
        <f t="shared" si="67"/>
        <v>-2</v>
      </c>
      <c r="X758">
        <f t="shared" si="68"/>
        <v>10</v>
      </c>
      <c r="Y758">
        <f t="shared" si="69"/>
        <v>0.40689655172413791</v>
      </c>
      <c r="Z758" s="7" t="str">
        <f t="shared" si="70"/>
        <v>High Sales</v>
      </c>
      <c r="AA758" s="7" t="str">
        <f t="shared" si="71"/>
        <v>High Margin</v>
      </c>
    </row>
    <row r="759" spans="1:27" x14ac:dyDescent="0.25">
      <c r="A759" t="s">
        <v>185</v>
      </c>
      <c r="B759">
        <v>173</v>
      </c>
      <c r="C759">
        <v>-1</v>
      </c>
      <c r="D759" s="1">
        <v>41939</v>
      </c>
      <c r="E759">
        <v>1150</v>
      </c>
      <c r="F759">
        <v>239</v>
      </c>
      <c r="G759" t="s">
        <v>21</v>
      </c>
      <c r="H759" t="s">
        <v>22</v>
      </c>
      <c r="I759">
        <v>57</v>
      </c>
      <c r="J759" t="s">
        <v>40</v>
      </c>
      <c r="K759" t="s">
        <v>45</v>
      </c>
      <c r="L759" t="s">
        <v>52</v>
      </c>
      <c r="M759">
        <v>139</v>
      </c>
      <c r="N759">
        <v>412</v>
      </c>
      <c r="O759" t="s">
        <v>63</v>
      </c>
      <c r="P759">
        <v>170</v>
      </c>
      <c r="Q759">
        <v>230</v>
      </c>
      <c r="R759">
        <v>140</v>
      </c>
      <c r="S759">
        <v>400</v>
      </c>
      <c r="T759">
        <v>100</v>
      </c>
      <c r="U759" t="s">
        <v>35</v>
      </c>
      <c r="V759">
        <f t="shared" si="66"/>
        <v>0.33737864077669905</v>
      </c>
      <c r="W759">
        <f t="shared" si="67"/>
        <v>-1</v>
      </c>
      <c r="X759">
        <f t="shared" si="68"/>
        <v>12</v>
      </c>
      <c r="Y759">
        <f t="shared" si="69"/>
        <v>0.4199029126213592</v>
      </c>
      <c r="Z759" s="7" t="str">
        <f t="shared" si="70"/>
        <v>High Sales</v>
      </c>
      <c r="AA759" s="7" t="str">
        <f t="shared" si="71"/>
        <v>High Margin</v>
      </c>
    </row>
    <row r="760" spans="1:27" x14ac:dyDescent="0.25">
      <c r="A760" t="s">
        <v>68</v>
      </c>
      <c r="B760">
        <v>50</v>
      </c>
      <c r="C760">
        <v>-22</v>
      </c>
      <c r="D760" s="1">
        <v>41940</v>
      </c>
      <c r="E760">
        <v>589</v>
      </c>
      <c r="F760">
        <v>73</v>
      </c>
      <c r="G760" t="s">
        <v>21</v>
      </c>
      <c r="H760" t="s">
        <v>22</v>
      </c>
      <c r="I760">
        <v>14</v>
      </c>
      <c r="J760" t="s">
        <v>40</v>
      </c>
      <c r="K760" t="s">
        <v>41</v>
      </c>
      <c r="L760" t="s">
        <v>53</v>
      </c>
      <c r="M760">
        <v>48</v>
      </c>
      <c r="N760">
        <v>123</v>
      </c>
      <c r="O760" t="s">
        <v>26</v>
      </c>
      <c r="P760">
        <v>60</v>
      </c>
      <c r="Q760">
        <v>90</v>
      </c>
      <c r="R760">
        <v>70</v>
      </c>
      <c r="S760">
        <v>150</v>
      </c>
      <c r="T760">
        <v>25</v>
      </c>
      <c r="U760" t="s">
        <v>35</v>
      </c>
      <c r="V760">
        <f t="shared" si="66"/>
        <v>0.3902439024390244</v>
      </c>
      <c r="W760">
        <f t="shared" si="67"/>
        <v>-22</v>
      </c>
      <c r="X760">
        <f t="shared" si="68"/>
        <v>-27</v>
      </c>
      <c r="Y760">
        <f t="shared" si="69"/>
        <v>0.4065040650406504</v>
      </c>
      <c r="Z760" s="7" t="str">
        <f t="shared" si="70"/>
        <v>Low Sales</v>
      </c>
      <c r="AA760" s="7" t="str">
        <f t="shared" si="71"/>
        <v>High Margin</v>
      </c>
    </row>
    <row r="761" spans="1:27" x14ac:dyDescent="0.25">
      <c r="A761" t="s">
        <v>204</v>
      </c>
      <c r="B761">
        <v>228</v>
      </c>
      <c r="C761">
        <v>-94</v>
      </c>
      <c r="D761" s="1">
        <v>41941</v>
      </c>
      <c r="E761">
        <v>1691</v>
      </c>
      <c r="F761">
        <v>304</v>
      </c>
      <c r="G761" t="s">
        <v>21</v>
      </c>
      <c r="H761" t="s">
        <v>22</v>
      </c>
      <c r="I761">
        <v>75</v>
      </c>
      <c r="J761" t="s">
        <v>40</v>
      </c>
      <c r="K761" t="s">
        <v>41</v>
      </c>
      <c r="L761" t="s">
        <v>53</v>
      </c>
      <c r="M761">
        <v>196</v>
      </c>
      <c r="N761">
        <v>532</v>
      </c>
      <c r="O761" t="s">
        <v>63</v>
      </c>
      <c r="P761">
        <v>290</v>
      </c>
      <c r="Q761">
        <v>390</v>
      </c>
      <c r="R761">
        <v>290</v>
      </c>
      <c r="S761">
        <v>680</v>
      </c>
      <c r="T761">
        <v>108</v>
      </c>
      <c r="U761" t="s">
        <v>35</v>
      </c>
      <c r="V761">
        <f t="shared" si="66"/>
        <v>0.36842105263157893</v>
      </c>
      <c r="W761">
        <f t="shared" si="67"/>
        <v>-94</v>
      </c>
      <c r="X761">
        <f t="shared" si="68"/>
        <v>-148</v>
      </c>
      <c r="Y761">
        <f t="shared" si="69"/>
        <v>0.42857142857142855</v>
      </c>
      <c r="Z761" s="7" t="str">
        <f t="shared" si="70"/>
        <v>High Sales</v>
      </c>
      <c r="AA761" s="7" t="str">
        <f t="shared" si="71"/>
        <v>High Margin</v>
      </c>
    </row>
    <row r="762" spans="1:27" x14ac:dyDescent="0.25">
      <c r="A762" t="s">
        <v>161</v>
      </c>
      <c r="B762">
        <v>181</v>
      </c>
      <c r="C762">
        <v>-63</v>
      </c>
      <c r="D762" s="1">
        <v>41942</v>
      </c>
      <c r="E762">
        <v>1283</v>
      </c>
      <c r="F762">
        <v>182</v>
      </c>
      <c r="G762" t="s">
        <v>21</v>
      </c>
      <c r="H762" t="s">
        <v>22</v>
      </c>
      <c r="I762">
        <v>50</v>
      </c>
      <c r="J762" t="s">
        <v>40</v>
      </c>
      <c r="K762" t="s">
        <v>41</v>
      </c>
      <c r="L762" t="s">
        <v>53</v>
      </c>
      <c r="M762">
        <v>107</v>
      </c>
      <c r="N762">
        <v>363</v>
      </c>
      <c r="O762" t="s">
        <v>65</v>
      </c>
      <c r="P762">
        <v>230</v>
      </c>
      <c r="Q762">
        <v>230</v>
      </c>
      <c r="R762">
        <v>170</v>
      </c>
      <c r="S762">
        <v>460</v>
      </c>
      <c r="T762">
        <v>75</v>
      </c>
      <c r="U762" t="s">
        <v>35</v>
      </c>
      <c r="V762">
        <f t="shared" si="66"/>
        <v>0.29476584022038566</v>
      </c>
      <c r="W762">
        <f t="shared" si="67"/>
        <v>-63</v>
      </c>
      <c r="X762">
        <f t="shared" si="68"/>
        <v>-97</v>
      </c>
      <c r="Y762">
        <f t="shared" si="69"/>
        <v>0.49862258953168043</v>
      </c>
      <c r="Z762" s="7" t="str">
        <f t="shared" si="70"/>
        <v>High Sales</v>
      </c>
      <c r="AA762" s="7" t="str">
        <f t="shared" si="71"/>
        <v>High Margin</v>
      </c>
    </row>
    <row r="763" spans="1:27" x14ac:dyDescent="0.25">
      <c r="A763" t="s">
        <v>69</v>
      </c>
      <c r="B763">
        <v>181</v>
      </c>
      <c r="C763">
        <v>7</v>
      </c>
      <c r="D763" s="1">
        <v>41943</v>
      </c>
      <c r="E763">
        <v>1283</v>
      </c>
      <c r="F763">
        <v>182</v>
      </c>
      <c r="G763" t="s">
        <v>21</v>
      </c>
      <c r="H763" t="s">
        <v>22</v>
      </c>
      <c r="I763">
        <v>50</v>
      </c>
      <c r="J763" t="s">
        <v>23</v>
      </c>
      <c r="K763" t="s">
        <v>24</v>
      </c>
      <c r="L763" t="s">
        <v>57</v>
      </c>
      <c r="M763">
        <v>107</v>
      </c>
      <c r="N763">
        <v>363</v>
      </c>
      <c r="O763" t="s">
        <v>26</v>
      </c>
      <c r="P763">
        <v>170</v>
      </c>
      <c r="Q763">
        <v>160</v>
      </c>
      <c r="R763">
        <v>100</v>
      </c>
      <c r="S763">
        <v>330</v>
      </c>
      <c r="T763">
        <v>75</v>
      </c>
      <c r="U763" t="s">
        <v>27</v>
      </c>
      <c r="V763">
        <f t="shared" si="66"/>
        <v>0.29476584022038566</v>
      </c>
      <c r="W763">
        <f t="shared" si="67"/>
        <v>7</v>
      </c>
      <c r="X763">
        <f t="shared" si="68"/>
        <v>33</v>
      </c>
      <c r="Y763">
        <f t="shared" si="69"/>
        <v>0.49862258953168043</v>
      </c>
      <c r="Z763" s="7" t="str">
        <f t="shared" si="70"/>
        <v>High Sales</v>
      </c>
      <c r="AA763" s="7" t="str">
        <f t="shared" si="71"/>
        <v>High Margin</v>
      </c>
    </row>
    <row r="764" spans="1:27" x14ac:dyDescent="0.25">
      <c r="A764" t="s">
        <v>150</v>
      </c>
      <c r="B764">
        <v>118</v>
      </c>
      <c r="C764">
        <v>17</v>
      </c>
      <c r="D764" s="1">
        <v>41944</v>
      </c>
      <c r="E764">
        <v>930</v>
      </c>
      <c r="F764">
        <v>172</v>
      </c>
      <c r="G764" t="s">
        <v>21</v>
      </c>
      <c r="H764" t="s">
        <v>22</v>
      </c>
      <c r="I764">
        <v>33</v>
      </c>
      <c r="J764" t="s">
        <v>23</v>
      </c>
      <c r="K764" t="s">
        <v>24</v>
      </c>
      <c r="L764" t="s">
        <v>57</v>
      </c>
      <c r="M764">
        <v>127</v>
      </c>
      <c r="N764">
        <v>290</v>
      </c>
      <c r="O764" t="s">
        <v>63</v>
      </c>
      <c r="P764">
        <v>110</v>
      </c>
      <c r="Q764">
        <v>150</v>
      </c>
      <c r="R764">
        <v>110</v>
      </c>
      <c r="S764">
        <v>260</v>
      </c>
      <c r="T764">
        <v>45</v>
      </c>
      <c r="U764" t="s">
        <v>27</v>
      </c>
      <c r="V764">
        <f t="shared" si="66"/>
        <v>0.43793103448275861</v>
      </c>
      <c r="W764">
        <f t="shared" si="67"/>
        <v>17</v>
      </c>
      <c r="X764">
        <f t="shared" si="68"/>
        <v>30</v>
      </c>
      <c r="Y764">
        <f t="shared" si="69"/>
        <v>0.40689655172413791</v>
      </c>
      <c r="Z764" s="7" t="str">
        <f t="shared" si="70"/>
        <v>High Sales</v>
      </c>
      <c r="AA764" s="7" t="str">
        <f t="shared" si="71"/>
        <v>High Margin</v>
      </c>
    </row>
    <row r="765" spans="1:27" x14ac:dyDescent="0.25">
      <c r="A765" t="s">
        <v>157</v>
      </c>
      <c r="B765">
        <v>81</v>
      </c>
      <c r="C765">
        <v>4</v>
      </c>
      <c r="D765" s="1">
        <v>41945</v>
      </c>
      <c r="E765">
        <v>984</v>
      </c>
      <c r="F765">
        <v>117</v>
      </c>
      <c r="G765" t="s">
        <v>21</v>
      </c>
      <c r="H765" t="s">
        <v>22</v>
      </c>
      <c r="I765">
        <v>22</v>
      </c>
      <c r="J765" t="s">
        <v>23</v>
      </c>
      <c r="K765" t="s">
        <v>24</v>
      </c>
      <c r="L765" t="s">
        <v>28</v>
      </c>
      <c r="M765">
        <v>84</v>
      </c>
      <c r="N765">
        <v>198</v>
      </c>
      <c r="O765" t="s">
        <v>63</v>
      </c>
      <c r="P765">
        <v>70</v>
      </c>
      <c r="Q765">
        <v>110</v>
      </c>
      <c r="R765">
        <v>80</v>
      </c>
      <c r="S765">
        <v>180</v>
      </c>
      <c r="T765">
        <v>33</v>
      </c>
      <c r="U765" t="s">
        <v>27</v>
      </c>
      <c r="V765">
        <f t="shared" si="66"/>
        <v>0.42424242424242425</v>
      </c>
      <c r="W765">
        <f t="shared" si="67"/>
        <v>4</v>
      </c>
      <c r="X765">
        <f t="shared" si="68"/>
        <v>18</v>
      </c>
      <c r="Y765">
        <f t="shared" si="69"/>
        <v>0.40909090909090912</v>
      </c>
      <c r="Z765" s="7" t="str">
        <f t="shared" si="70"/>
        <v>Low Sales</v>
      </c>
      <c r="AA765" s="7" t="str">
        <f t="shared" si="71"/>
        <v>High Margin</v>
      </c>
    </row>
    <row r="766" spans="1:27" x14ac:dyDescent="0.25">
      <c r="A766" t="s">
        <v>155</v>
      </c>
      <c r="B766">
        <v>78</v>
      </c>
      <c r="C766">
        <v>2</v>
      </c>
      <c r="D766" s="1">
        <v>41946</v>
      </c>
      <c r="E766">
        <v>798</v>
      </c>
      <c r="F766">
        <v>119</v>
      </c>
      <c r="G766" t="s">
        <v>21</v>
      </c>
      <c r="H766" t="s">
        <v>22</v>
      </c>
      <c r="I766">
        <v>25</v>
      </c>
      <c r="J766" t="s">
        <v>23</v>
      </c>
      <c r="K766" t="s">
        <v>32</v>
      </c>
      <c r="L766" t="s">
        <v>33</v>
      </c>
      <c r="M766">
        <v>62</v>
      </c>
      <c r="N766">
        <v>197</v>
      </c>
      <c r="O766" t="s">
        <v>65</v>
      </c>
      <c r="P766">
        <v>60</v>
      </c>
      <c r="Q766">
        <v>100</v>
      </c>
      <c r="R766">
        <v>60</v>
      </c>
      <c r="S766">
        <v>160</v>
      </c>
      <c r="T766">
        <v>57</v>
      </c>
      <c r="U766" t="s">
        <v>35</v>
      </c>
      <c r="V766">
        <f t="shared" si="66"/>
        <v>0.31472081218274112</v>
      </c>
      <c r="W766">
        <f t="shared" si="67"/>
        <v>2</v>
      </c>
      <c r="X766">
        <f t="shared" si="68"/>
        <v>37</v>
      </c>
      <c r="Y766">
        <f t="shared" si="69"/>
        <v>0.39593908629441626</v>
      </c>
      <c r="Z766" s="7" t="str">
        <f t="shared" si="70"/>
        <v>Low Sales</v>
      </c>
      <c r="AA766" s="7" t="str">
        <f t="shared" si="71"/>
        <v>High Margin</v>
      </c>
    </row>
    <row r="767" spans="1:27" x14ac:dyDescent="0.25">
      <c r="A767" t="s">
        <v>157</v>
      </c>
      <c r="B767">
        <v>75</v>
      </c>
      <c r="C767">
        <v>9</v>
      </c>
      <c r="D767" s="1">
        <v>41947</v>
      </c>
      <c r="E767">
        <v>659</v>
      </c>
      <c r="F767">
        <v>114</v>
      </c>
      <c r="G767" t="s">
        <v>21</v>
      </c>
      <c r="H767" t="s">
        <v>22</v>
      </c>
      <c r="I767">
        <v>24</v>
      </c>
      <c r="J767" t="s">
        <v>23</v>
      </c>
      <c r="K767" t="s">
        <v>32</v>
      </c>
      <c r="L767" t="s">
        <v>61</v>
      </c>
      <c r="M767">
        <v>59</v>
      </c>
      <c r="N767">
        <v>189</v>
      </c>
      <c r="O767" t="s">
        <v>63</v>
      </c>
      <c r="P767">
        <v>60</v>
      </c>
      <c r="Q767">
        <v>90</v>
      </c>
      <c r="R767">
        <v>50</v>
      </c>
      <c r="S767">
        <v>150</v>
      </c>
      <c r="T767">
        <v>55</v>
      </c>
      <c r="U767" t="s">
        <v>35</v>
      </c>
      <c r="V767">
        <f t="shared" si="66"/>
        <v>0.31216931216931215</v>
      </c>
      <c r="W767">
        <f t="shared" si="67"/>
        <v>9</v>
      </c>
      <c r="X767">
        <f t="shared" si="68"/>
        <v>39</v>
      </c>
      <c r="Y767">
        <f t="shared" si="69"/>
        <v>0.3968253968253968</v>
      </c>
      <c r="Z767" s="7" t="str">
        <f t="shared" si="70"/>
        <v>Low Sales</v>
      </c>
      <c r="AA767" s="7" t="str">
        <f t="shared" si="71"/>
        <v>High Margin</v>
      </c>
    </row>
    <row r="768" spans="1:27" x14ac:dyDescent="0.25">
      <c r="A768" t="s">
        <v>151</v>
      </c>
      <c r="B768">
        <v>102</v>
      </c>
      <c r="C768">
        <v>19</v>
      </c>
      <c r="D768" s="1">
        <v>41948</v>
      </c>
      <c r="E768">
        <v>666</v>
      </c>
      <c r="F768">
        <v>143</v>
      </c>
      <c r="G768" t="s">
        <v>21</v>
      </c>
      <c r="H768" t="s">
        <v>22</v>
      </c>
      <c r="I768">
        <v>31</v>
      </c>
      <c r="J768" t="s">
        <v>23</v>
      </c>
      <c r="K768" t="s">
        <v>32</v>
      </c>
      <c r="L768" t="s">
        <v>61</v>
      </c>
      <c r="M768">
        <v>89</v>
      </c>
      <c r="N768">
        <v>245</v>
      </c>
      <c r="O768" t="s">
        <v>65</v>
      </c>
      <c r="P768">
        <v>80</v>
      </c>
      <c r="Q768">
        <v>120</v>
      </c>
      <c r="R768">
        <v>70</v>
      </c>
      <c r="S768">
        <v>200</v>
      </c>
      <c r="T768">
        <v>54</v>
      </c>
      <c r="U768" t="s">
        <v>35</v>
      </c>
      <c r="V768">
        <f t="shared" si="66"/>
        <v>0.36326530612244901</v>
      </c>
      <c r="W768">
        <f t="shared" si="67"/>
        <v>19</v>
      </c>
      <c r="X768">
        <f t="shared" si="68"/>
        <v>45</v>
      </c>
      <c r="Y768">
        <f t="shared" si="69"/>
        <v>0.41632653061224489</v>
      </c>
      <c r="Z768" s="7" t="str">
        <f t="shared" si="70"/>
        <v>Low Sales</v>
      </c>
      <c r="AA768" s="7" t="str">
        <f t="shared" si="71"/>
        <v>High Margin</v>
      </c>
    </row>
    <row r="769" spans="1:27" x14ac:dyDescent="0.25">
      <c r="A769" t="s">
        <v>91</v>
      </c>
      <c r="B769">
        <v>88</v>
      </c>
      <c r="C769">
        <v>10</v>
      </c>
      <c r="D769" s="1">
        <v>41949</v>
      </c>
      <c r="E769">
        <v>561</v>
      </c>
      <c r="F769">
        <v>112</v>
      </c>
      <c r="G769" t="s">
        <v>21</v>
      </c>
      <c r="H769" t="s">
        <v>22</v>
      </c>
      <c r="I769">
        <v>29</v>
      </c>
      <c r="J769" t="s">
        <v>23</v>
      </c>
      <c r="K769" t="s">
        <v>32</v>
      </c>
      <c r="L769" t="s">
        <v>37</v>
      </c>
      <c r="M769">
        <v>70</v>
      </c>
      <c r="N769">
        <v>200</v>
      </c>
      <c r="O769" t="s">
        <v>26</v>
      </c>
      <c r="P769">
        <v>70</v>
      </c>
      <c r="Q769">
        <v>90</v>
      </c>
      <c r="R769">
        <v>60</v>
      </c>
      <c r="S769">
        <v>160</v>
      </c>
      <c r="T769">
        <v>42</v>
      </c>
      <c r="U769" t="s">
        <v>35</v>
      </c>
      <c r="V769">
        <f t="shared" si="66"/>
        <v>0.35</v>
      </c>
      <c r="W769">
        <f t="shared" si="67"/>
        <v>10</v>
      </c>
      <c r="X769">
        <f t="shared" si="68"/>
        <v>40</v>
      </c>
      <c r="Y769">
        <f t="shared" si="69"/>
        <v>0.44</v>
      </c>
      <c r="Z769" s="7" t="str">
        <f t="shared" si="70"/>
        <v>Low Sales</v>
      </c>
      <c r="AA769" s="7" t="str">
        <f t="shared" si="71"/>
        <v>High Margin</v>
      </c>
    </row>
    <row r="770" spans="1:27" x14ac:dyDescent="0.25">
      <c r="A770" t="s">
        <v>145</v>
      </c>
      <c r="B770">
        <v>10</v>
      </c>
      <c r="C770">
        <v>-13</v>
      </c>
      <c r="D770" s="1">
        <v>41950</v>
      </c>
      <c r="E770">
        <v>596</v>
      </c>
      <c r="F770">
        <v>13</v>
      </c>
      <c r="G770" t="s">
        <v>39</v>
      </c>
      <c r="H770" t="s">
        <v>22</v>
      </c>
      <c r="I770">
        <v>3</v>
      </c>
      <c r="J770" t="s">
        <v>40</v>
      </c>
      <c r="K770" t="s">
        <v>45</v>
      </c>
      <c r="L770" t="s">
        <v>46</v>
      </c>
      <c r="M770">
        <v>-3</v>
      </c>
      <c r="N770">
        <v>23</v>
      </c>
      <c r="O770" t="s">
        <v>43</v>
      </c>
      <c r="P770">
        <v>0</v>
      </c>
      <c r="Q770">
        <v>20</v>
      </c>
      <c r="R770">
        <v>10</v>
      </c>
      <c r="S770">
        <v>20</v>
      </c>
      <c r="T770">
        <v>16</v>
      </c>
      <c r="U770" t="s">
        <v>27</v>
      </c>
      <c r="V770">
        <f t="shared" ref="V770:V833" si="72">M770/N770</f>
        <v>-0.13043478260869565</v>
      </c>
      <c r="W770">
        <f t="shared" ref="W770:W833" si="73">M770-R770</f>
        <v>-13</v>
      </c>
      <c r="X770">
        <f t="shared" ref="X770:X833" si="74">N770-S770</f>
        <v>3</v>
      </c>
      <c r="Y770">
        <f t="shared" ref="Y770:Y833" si="75">B770/N770</f>
        <v>0.43478260869565216</v>
      </c>
      <c r="Z770" s="7" t="str">
        <f t="shared" ref="Z770:Z833" si="76">IF(N770&gt;=AVERAGE(N770:N1831),"High Sales","Low Sales")</f>
        <v>Low Sales</v>
      </c>
      <c r="AA770" s="7" t="str">
        <f t="shared" ref="AA770:AA833" si="77">IF(V770&gt;=AVERAGE(V770:V1831), "High Margin", "Low Margin")</f>
        <v>Low Margin</v>
      </c>
    </row>
    <row r="771" spans="1:27" x14ac:dyDescent="0.25">
      <c r="A771" t="s">
        <v>82</v>
      </c>
      <c r="B771">
        <v>77</v>
      </c>
      <c r="C771">
        <v>-9</v>
      </c>
      <c r="D771" s="1">
        <v>41951</v>
      </c>
      <c r="E771">
        <v>557</v>
      </c>
      <c r="F771">
        <v>103</v>
      </c>
      <c r="G771" t="s">
        <v>39</v>
      </c>
      <c r="H771" t="s">
        <v>22</v>
      </c>
      <c r="I771">
        <v>25</v>
      </c>
      <c r="J771" t="s">
        <v>40</v>
      </c>
      <c r="K771" t="s">
        <v>45</v>
      </c>
      <c r="L771" t="s">
        <v>46</v>
      </c>
      <c r="M771">
        <v>51</v>
      </c>
      <c r="N771">
        <v>180</v>
      </c>
      <c r="O771" t="s">
        <v>59</v>
      </c>
      <c r="P771">
        <v>70</v>
      </c>
      <c r="Q771">
        <v>100</v>
      </c>
      <c r="R771">
        <v>60</v>
      </c>
      <c r="S771">
        <v>170</v>
      </c>
      <c r="T771">
        <v>52</v>
      </c>
      <c r="U771" t="s">
        <v>27</v>
      </c>
      <c r="V771">
        <f t="shared" si="72"/>
        <v>0.28333333333333333</v>
      </c>
      <c r="W771">
        <f t="shared" si="73"/>
        <v>-9</v>
      </c>
      <c r="X771">
        <f t="shared" si="74"/>
        <v>10</v>
      </c>
      <c r="Y771">
        <f t="shared" si="75"/>
        <v>0.42777777777777776</v>
      </c>
      <c r="Z771" s="7" t="str">
        <f t="shared" si="76"/>
        <v>Low Sales</v>
      </c>
      <c r="AA771" s="7" t="str">
        <f t="shared" si="77"/>
        <v>High Margin</v>
      </c>
    </row>
    <row r="772" spans="1:27" x14ac:dyDescent="0.25">
      <c r="A772" t="s">
        <v>114</v>
      </c>
      <c r="B772">
        <v>15</v>
      </c>
      <c r="C772">
        <v>-2</v>
      </c>
      <c r="D772" s="1">
        <v>41952</v>
      </c>
      <c r="E772">
        <v>848</v>
      </c>
      <c r="F772">
        <v>24</v>
      </c>
      <c r="G772" t="s">
        <v>39</v>
      </c>
      <c r="H772" t="s">
        <v>22</v>
      </c>
      <c r="I772">
        <v>4</v>
      </c>
      <c r="J772" t="s">
        <v>40</v>
      </c>
      <c r="K772" t="s">
        <v>45</v>
      </c>
      <c r="L772" t="s">
        <v>50</v>
      </c>
      <c r="M772">
        <v>8</v>
      </c>
      <c r="N772">
        <v>39</v>
      </c>
      <c r="O772" t="s">
        <v>43</v>
      </c>
      <c r="P772">
        <v>10</v>
      </c>
      <c r="Q772">
        <v>20</v>
      </c>
      <c r="R772">
        <v>10</v>
      </c>
      <c r="S772">
        <v>30</v>
      </c>
      <c r="T772">
        <v>16</v>
      </c>
      <c r="U772" t="s">
        <v>35</v>
      </c>
      <c r="V772">
        <f t="shared" si="72"/>
        <v>0.20512820512820512</v>
      </c>
      <c r="W772">
        <f t="shared" si="73"/>
        <v>-2</v>
      </c>
      <c r="X772">
        <f t="shared" si="74"/>
        <v>9</v>
      </c>
      <c r="Y772">
        <f t="shared" si="75"/>
        <v>0.38461538461538464</v>
      </c>
      <c r="Z772" s="7" t="str">
        <f t="shared" si="76"/>
        <v>Low Sales</v>
      </c>
      <c r="AA772" s="7" t="str">
        <f t="shared" si="77"/>
        <v>High Margin</v>
      </c>
    </row>
    <row r="773" spans="1:27" x14ac:dyDescent="0.25">
      <c r="A773" t="s">
        <v>81</v>
      </c>
      <c r="B773">
        <v>82</v>
      </c>
      <c r="C773">
        <v>-2</v>
      </c>
      <c r="D773" s="1">
        <v>41953</v>
      </c>
      <c r="E773">
        <v>601</v>
      </c>
      <c r="F773">
        <v>102</v>
      </c>
      <c r="G773" t="s">
        <v>39</v>
      </c>
      <c r="H773" t="s">
        <v>22</v>
      </c>
      <c r="I773">
        <v>31</v>
      </c>
      <c r="J773" t="s">
        <v>40</v>
      </c>
      <c r="K773" t="s">
        <v>45</v>
      </c>
      <c r="L773" t="s">
        <v>52</v>
      </c>
      <c r="M773">
        <v>38</v>
      </c>
      <c r="N773">
        <v>184</v>
      </c>
      <c r="O773" t="s">
        <v>58</v>
      </c>
      <c r="P773">
        <v>80</v>
      </c>
      <c r="Q773">
        <v>100</v>
      </c>
      <c r="R773">
        <v>40</v>
      </c>
      <c r="S773">
        <v>180</v>
      </c>
      <c r="T773">
        <v>64</v>
      </c>
      <c r="U773" t="s">
        <v>35</v>
      </c>
      <c r="V773">
        <f t="shared" si="72"/>
        <v>0.20652173913043478</v>
      </c>
      <c r="W773">
        <f t="shared" si="73"/>
        <v>-2</v>
      </c>
      <c r="X773">
        <f t="shared" si="74"/>
        <v>4</v>
      </c>
      <c r="Y773">
        <f t="shared" si="75"/>
        <v>0.44565217391304346</v>
      </c>
      <c r="Z773" s="7" t="str">
        <f t="shared" si="76"/>
        <v>Low Sales</v>
      </c>
      <c r="AA773" s="7" t="str">
        <f t="shared" si="77"/>
        <v>High Margin</v>
      </c>
    </row>
    <row r="774" spans="1:27" x14ac:dyDescent="0.25">
      <c r="A774" t="s">
        <v>82</v>
      </c>
      <c r="B774">
        <v>94</v>
      </c>
      <c r="C774">
        <v>-14</v>
      </c>
      <c r="D774" s="1">
        <v>41954</v>
      </c>
      <c r="E774">
        <v>694</v>
      </c>
      <c r="F774">
        <v>130</v>
      </c>
      <c r="G774" t="s">
        <v>39</v>
      </c>
      <c r="H774" t="s">
        <v>22</v>
      </c>
      <c r="I774">
        <v>85</v>
      </c>
      <c r="J774" t="s">
        <v>40</v>
      </c>
      <c r="K774" t="s">
        <v>45</v>
      </c>
      <c r="L774" t="s">
        <v>52</v>
      </c>
      <c r="M774">
        <v>16</v>
      </c>
      <c r="N774">
        <v>224</v>
      </c>
      <c r="O774" t="s">
        <v>59</v>
      </c>
      <c r="P774">
        <v>90</v>
      </c>
      <c r="Q774">
        <v>130</v>
      </c>
      <c r="R774">
        <v>30</v>
      </c>
      <c r="S774">
        <v>220</v>
      </c>
      <c r="T774">
        <v>114</v>
      </c>
      <c r="U774" t="s">
        <v>35</v>
      </c>
      <c r="V774">
        <f t="shared" si="72"/>
        <v>7.1428571428571425E-2</v>
      </c>
      <c r="W774">
        <f t="shared" si="73"/>
        <v>-14</v>
      </c>
      <c r="X774">
        <f t="shared" si="74"/>
        <v>4</v>
      </c>
      <c r="Y774">
        <f t="shared" si="75"/>
        <v>0.41964285714285715</v>
      </c>
      <c r="Z774" s="7" t="str">
        <f t="shared" si="76"/>
        <v>Low Sales</v>
      </c>
      <c r="AA774" s="7" t="str">
        <f t="shared" si="77"/>
        <v>High Margin</v>
      </c>
    </row>
    <row r="775" spans="1:27" x14ac:dyDescent="0.25">
      <c r="A775" t="s">
        <v>94</v>
      </c>
      <c r="B775">
        <v>54</v>
      </c>
      <c r="C775">
        <v>-29</v>
      </c>
      <c r="D775" s="1">
        <v>41955</v>
      </c>
      <c r="E775">
        <v>885</v>
      </c>
      <c r="F775">
        <v>78</v>
      </c>
      <c r="G775" t="s">
        <v>39</v>
      </c>
      <c r="H775" t="s">
        <v>22</v>
      </c>
      <c r="I775">
        <v>15</v>
      </c>
      <c r="J775" t="s">
        <v>40</v>
      </c>
      <c r="K775" t="s">
        <v>41</v>
      </c>
      <c r="L775" t="s">
        <v>53</v>
      </c>
      <c r="M775">
        <v>51</v>
      </c>
      <c r="N775">
        <v>132</v>
      </c>
      <c r="O775" t="s">
        <v>58</v>
      </c>
      <c r="P775">
        <v>60</v>
      </c>
      <c r="Q775">
        <v>100</v>
      </c>
      <c r="R775">
        <v>80</v>
      </c>
      <c r="S775">
        <v>160</v>
      </c>
      <c r="T775">
        <v>27</v>
      </c>
      <c r="U775" t="s">
        <v>35</v>
      </c>
      <c r="V775">
        <f t="shared" si="72"/>
        <v>0.38636363636363635</v>
      </c>
      <c r="W775">
        <f t="shared" si="73"/>
        <v>-29</v>
      </c>
      <c r="X775">
        <f t="shared" si="74"/>
        <v>-28</v>
      </c>
      <c r="Y775">
        <f t="shared" si="75"/>
        <v>0.40909090909090912</v>
      </c>
      <c r="Z775" s="7" t="str">
        <f t="shared" si="76"/>
        <v>Low Sales</v>
      </c>
      <c r="AA775" s="7" t="str">
        <f t="shared" si="77"/>
        <v>High Margin</v>
      </c>
    </row>
    <row r="776" spans="1:27" x14ac:dyDescent="0.25">
      <c r="A776" t="s">
        <v>109</v>
      </c>
      <c r="B776">
        <v>75</v>
      </c>
      <c r="C776">
        <v>-25</v>
      </c>
      <c r="D776" s="1">
        <v>41956</v>
      </c>
      <c r="E776">
        <v>1063</v>
      </c>
      <c r="F776">
        <v>89</v>
      </c>
      <c r="G776" t="s">
        <v>39</v>
      </c>
      <c r="H776" t="s">
        <v>22</v>
      </c>
      <c r="I776">
        <v>23</v>
      </c>
      <c r="J776" t="s">
        <v>40</v>
      </c>
      <c r="K776" t="s">
        <v>41</v>
      </c>
      <c r="L776" t="s">
        <v>53</v>
      </c>
      <c r="M776">
        <v>45</v>
      </c>
      <c r="N776">
        <v>164</v>
      </c>
      <c r="O776" t="s">
        <v>59</v>
      </c>
      <c r="P776">
        <v>90</v>
      </c>
      <c r="Q776">
        <v>110</v>
      </c>
      <c r="R776">
        <v>70</v>
      </c>
      <c r="S776">
        <v>200</v>
      </c>
      <c r="T776">
        <v>44</v>
      </c>
      <c r="U776" t="s">
        <v>35</v>
      </c>
      <c r="V776">
        <f t="shared" si="72"/>
        <v>0.27439024390243905</v>
      </c>
      <c r="W776">
        <f t="shared" si="73"/>
        <v>-25</v>
      </c>
      <c r="X776">
        <f t="shared" si="74"/>
        <v>-36</v>
      </c>
      <c r="Y776">
        <f t="shared" si="75"/>
        <v>0.45731707317073172</v>
      </c>
      <c r="Z776" s="7" t="str">
        <f t="shared" si="76"/>
        <v>Low Sales</v>
      </c>
      <c r="AA776" s="7" t="str">
        <f t="shared" si="77"/>
        <v>High Margin</v>
      </c>
    </row>
    <row r="777" spans="1:27" x14ac:dyDescent="0.25">
      <c r="A777" t="s">
        <v>73</v>
      </c>
      <c r="B777">
        <v>228</v>
      </c>
      <c r="C777">
        <v>16</v>
      </c>
      <c r="D777" s="1">
        <v>41957</v>
      </c>
      <c r="E777">
        <v>1691</v>
      </c>
      <c r="F777">
        <v>304</v>
      </c>
      <c r="G777" t="s">
        <v>39</v>
      </c>
      <c r="H777" t="s">
        <v>22</v>
      </c>
      <c r="I777">
        <v>75</v>
      </c>
      <c r="J777" t="s">
        <v>23</v>
      </c>
      <c r="K777" t="s">
        <v>24</v>
      </c>
      <c r="L777" t="s">
        <v>57</v>
      </c>
      <c r="M777">
        <v>196</v>
      </c>
      <c r="N777">
        <v>532</v>
      </c>
      <c r="O777" t="s">
        <v>43</v>
      </c>
      <c r="P777">
        <v>210</v>
      </c>
      <c r="Q777">
        <v>280</v>
      </c>
      <c r="R777">
        <v>180</v>
      </c>
      <c r="S777">
        <v>490</v>
      </c>
      <c r="T777">
        <v>108</v>
      </c>
      <c r="U777" t="s">
        <v>27</v>
      </c>
      <c r="V777">
        <f t="shared" si="72"/>
        <v>0.36842105263157893</v>
      </c>
      <c r="W777">
        <f t="shared" si="73"/>
        <v>16</v>
      </c>
      <c r="X777">
        <f t="shared" si="74"/>
        <v>42</v>
      </c>
      <c r="Y777">
        <f t="shared" si="75"/>
        <v>0.42857142857142855</v>
      </c>
      <c r="Z777" s="7" t="str">
        <f t="shared" si="76"/>
        <v>High Sales</v>
      </c>
      <c r="AA777" s="7" t="str">
        <f t="shared" si="77"/>
        <v>High Margin</v>
      </c>
    </row>
    <row r="778" spans="1:27" x14ac:dyDescent="0.25">
      <c r="A778" t="s">
        <v>73</v>
      </c>
      <c r="B778">
        <v>113</v>
      </c>
      <c r="C778">
        <v>7</v>
      </c>
      <c r="D778" s="1">
        <v>41958</v>
      </c>
      <c r="E778">
        <v>803</v>
      </c>
      <c r="F778">
        <v>165</v>
      </c>
      <c r="G778" t="s">
        <v>39</v>
      </c>
      <c r="H778" t="s">
        <v>22</v>
      </c>
      <c r="I778">
        <v>36</v>
      </c>
      <c r="J778" t="s">
        <v>23</v>
      </c>
      <c r="K778" t="s">
        <v>24</v>
      </c>
      <c r="L778" t="s">
        <v>25</v>
      </c>
      <c r="M778">
        <v>107</v>
      </c>
      <c r="N778">
        <v>278</v>
      </c>
      <c r="O778" t="s">
        <v>43</v>
      </c>
      <c r="P778">
        <v>100</v>
      </c>
      <c r="Q778">
        <v>150</v>
      </c>
      <c r="R778">
        <v>100</v>
      </c>
      <c r="S778">
        <v>250</v>
      </c>
      <c r="T778">
        <v>58</v>
      </c>
      <c r="U778" t="s">
        <v>27</v>
      </c>
      <c r="V778">
        <f t="shared" si="72"/>
        <v>0.38489208633093525</v>
      </c>
      <c r="W778">
        <f t="shared" si="73"/>
        <v>7</v>
      </c>
      <c r="X778">
        <f t="shared" si="74"/>
        <v>28</v>
      </c>
      <c r="Y778">
        <f t="shared" si="75"/>
        <v>0.40647482014388492</v>
      </c>
      <c r="Z778" s="7" t="str">
        <f t="shared" si="76"/>
        <v>Low Sales</v>
      </c>
      <c r="AA778" s="7" t="str">
        <f t="shared" si="77"/>
        <v>High Margin</v>
      </c>
    </row>
    <row r="779" spans="1:27" x14ac:dyDescent="0.25">
      <c r="A779" t="s">
        <v>73</v>
      </c>
      <c r="B779">
        <v>211</v>
      </c>
      <c r="C779">
        <v>19</v>
      </c>
      <c r="D779" s="1">
        <v>41959</v>
      </c>
      <c r="E779">
        <v>1778</v>
      </c>
      <c r="F779">
        <v>212</v>
      </c>
      <c r="G779" t="s">
        <v>39</v>
      </c>
      <c r="H779" t="s">
        <v>22</v>
      </c>
      <c r="I779">
        <v>59</v>
      </c>
      <c r="J779" t="s">
        <v>23</v>
      </c>
      <c r="K779" t="s">
        <v>32</v>
      </c>
      <c r="L779" t="s">
        <v>33</v>
      </c>
      <c r="M779">
        <v>129</v>
      </c>
      <c r="N779">
        <v>423</v>
      </c>
      <c r="O779" t="s">
        <v>43</v>
      </c>
      <c r="P779">
        <v>170</v>
      </c>
      <c r="Q779">
        <v>180</v>
      </c>
      <c r="R779">
        <v>110</v>
      </c>
      <c r="S779">
        <v>350</v>
      </c>
      <c r="T779">
        <v>83</v>
      </c>
      <c r="U779" t="s">
        <v>35</v>
      </c>
      <c r="V779">
        <f t="shared" si="72"/>
        <v>0.30496453900709219</v>
      </c>
      <c r="W779">
        <f t="shared" si="73"/>
        <v>19</v>
      </c>
      <c r="X779">
        <f t="shared" si="74"/>
        <v>73</v>
      </c>
      <c r="Y779">
        <f t="shared" si="75"/>
        <v>0.49881796690307328</v>
      </c>
      <c r="Z779" s="7" t="str">
        <f t="shared" si="76"/>
        <v>High Sales</v>
      </c>
      <c r="AA779" s="7" t="str">
        <f t="shared" si="77"/>
        <v>High Margin</v>
      </c>
    </row>
    <row r="780" spans="1:27" x14ac:dyDescent="0.25">
      <c r="A780" t="s">
        <v>134</v>
      </c>
      <c r="B780">
        <v>245</v>
      </c>
      <c r="C780">
        <v>43</v>
      </c>
      <c r="D780" s="1">
        <v>41960</v>
      </c>
      <c r="E780">
        <v>1784</v>
      </c>
      <c r="F780">
        <v>300</v>
      </c>
      <c r="G780" t="s">
        <v>39</v>
      </c>
      <c r="H780" t="s">
        <v>22</v>
      </c>
      <c r="I780">
        <v>93</v>
      </c>
      <c r="J780" t="s">
        <v>23</v>
      </c>
      <c r="K780" t="s">
        <v>32</v>
      </c>
      <c r="L780" t="s">
        <v>61</v>
      </c>
      <c r="M780">
        <v>173</v>
      </c>
      <c r="N780">
        <v>545</v>
      </c>
      <c r="O780" t="s">
        <v>43</v>
      </c>
      <c r="P780">
        <v>200</v>
      </c>
      <c r="Q780">
        <v>250</v>
      </c>
      <c r="R780">
        <v>130</v>
      </c>
      <c r="S780">
        <v>450</v>
      </c>
      <c r="T780">
        <v>127</v>
      </c>
      <c r="U780" t="s">
        <v>35</v>
      </c>
      <c r="V780">
        <f t="shared" si="72"/>
        <v>0.31743119266055048</v>
      </c>
      <c r="W780">
        <f t="shared" si="73"/>
        <v>43</v>
      </c>
      <c r="X780">
        <f t="shared" si="74"/>
        <v>95</v>
      </c>
      <c r="Y780">
        <f t="shared" si="75"/>
        <v>0.44954128440366975</v>
      </c>
      <c r="Z780" s="7" t="str">
        <f t="shared" si="76"/>
        <v>High Sales</v>
      </c>
      <c r="AA780" s="7" t="str">
        <f t="shared" si="77"/>
        <v>High Margin</v>
      </c>
    </row>
    <row r="781" spans="1:27" x14ac:dyDescent="0.25">
      <c r="A781" t="s">
        <v>111</v>
      </c>
      <c r="B781">
        <v>86</v>
      </c>
      <c r="C781">
        <v>-2</v>
      </c>
      <c r="D781" s="1">
        <v>41961</v>
      </c>
      <c r="E781">
        <v>1003</v>
      </c>
      <c r="F781">
        <v>124</v>
      </c>
      <c r="G781" t="s">
        <v>21</v>
      </c>
      <c r="H781" t="s">
        <v>22</v>
      </c>
      <c r="I781">
        <v>24</v>
      </c>
      <c r="J781" t="s">
        <v>40</v>
      </c>
      <c r="K781" t="s">
        <v>45</v>
      </c>
      <c r="L781" t="s">
        <v>46</v>
      </c>
      <c r="M781">
        <v>88</v>
      </c>
      <c r="N781">
        <v>210</v>
      </c>
      <c r="O781" t="s">
        <v>26</v>
      </c>
      <c r="P781">
        <v>80</v>
      </c>
      <c r="Q781">
        <v>120</v>
      </c>
      <c r="R781">
        <v>90</v>
      </c>
      <c r="S781">
        <v>200</v>
      </c>
      <c r="T781">
        <v>36</v>
      </c>
      <c r="U781" t="s">
        <v>27</v>
      </c>
      <c r="V781">
        <f t="shared" si="72"/>
        <v>0.41904761904761906</v>
      </c>
      <c r="W781">
        <f t="shared" si="73"/>
        <v>-2</v>
      </c>
      <c r="X781">
        <f t="shared" si="74"/>
        <v>10</v>
      </c>
      <c r="Y781">
        <f t="shared" si="75"/>
        <v>0.40952380952380951</v>
      </c>
      <c r="Z781" s="7" t="str">
        <f t="shared" si="76"/>
        <v>Low Sales</v>
      </c>
      <c r="AA781" s="7" t="str">
        <f t="shared" si="77"/>
        <v>High Margin</v>
      </c>
    </row>
    <row r="782" spans="1:27" x14ac:dyDescent="0.25">
      <c r="A782" t="s">
        <v>157</v>
      </c>
      <c r="B782">
        <v>127</v>
      </c>
      <c r="C782">
        <v>-8</v>
      </c>
      <c r="D782" s="1">
        <v>41962</v>
      </c>
      <c r="E782">
        <v>830</v>
      </c>
      <c r="F782">
        <v>185</v>
      </c>
      <c r="G782" t="s">
        <v>21</v>
      </c>
      <c r="H782" t="s">
        <v>22</v>
      </c>
      <c r="I782">
        <v>40</v>
      </c>
      <c r="J782" t="s">
        <v>40</v>
      </c>
      <c r="K782" t="s">
        <v>45</v>
      </c>
      <c r="L782" t="s">
        <v>46</v>
      </c>
      <c r="M782">
        <v>122</v>
      </c>
      <c r="N782">
        <v>312</v>
      </c>
      <c r="O782" t="s">
        <v>63</v>
      </c>
      <c r="P782">
        <v>120</v>
      </c>
      <c r="Q782">
        <v>180</v>
      </c>
      <c r="R782">
        <v>130</v>
      </c>
      <c r="S782">
        <v>300</v>
      </c>
      <c r="T782">
        <v>63</v>
      </c>
      <c r="U782" t="s">
        <v>27</v>
      </c>
      <c r="V782">
        <f t="shared" si="72"/>
        <v>0.39102564102564102</v>
      </c>
      <c r="W782">
        <f t="shared" si="73"/>
        <v>-8</v>
      </c>
      <c r="X782">
        <f t="shared" si="74"/>
        <v>12</v>
      </c>
      <c r="Y782">
        <f t="shared" si="75"/>
        <v>0.40705128205128205</v>
      </c>
      <c r="Z782" s="7" t="str">
        <f t="shared" si="76"/>
        <v>High Sales</v>
      </c>
      <c r="AA782" s="7" t="str">
        <f t="shared" si="77"/>
        <v>High Margin</v>
      </c>
    </row>
    <row r="783" spans="1:27" x14ac:dyDescent="0.25">
      <c r="A783" t="s">
        <v>69</v>
      </c>
      <c r="B783">
        <v>67</v>
      </c>
      <c r="C783">
        <v>-33</v>
      </c>
      <c r="D783" s="1">
        <v>41963</v>
      </c>
      <c r="E783">
        <v>677</v>
      </c>
      <c r="F783">
        <v>101</v>
      </c>
      <c r="G783" t="s">
        <v>21</v>
      </c>
      <c r="H783" t="s">
        <v>22</v>
      </c>
      <c r="I783">
        <v>22</v>
      </c>
      <c r="J783" t="s">
        <v>40</v>
      </c>
      <c r="K783" t="s">
        <v>41</v>
      </c>
      <c r="L783" t="s">
        <v>42</v>
      </c>
      <c r="M783">
        <v>47</v>
      </c>
      <c r="N783">
        <v>168</v>
      </c>
      <c r="O783" t="s">
        <v>26</v>
      </c>
      <c r="P783">
        <v>80</v>
      </c>
      <c r="Q783">
        <v>130</v>
      </c>
      <c r="R783">
        <v>80</v>
      </c>
      <c r="S783">
        <v>210</v>
      </c>
      <c r="T783">
        <v>54</v>
      </c>
      <c r="U783" t="s">
        <v>27</v>
      </c>
      <c r="V783">
        <f t="shared" si="72"/>
        <v>0.27976190476190477</v>
      </c>
      <c r="W783">
        <f t="shared" si="73"/>
        <v>-33</v>
      </c>
      <c r="X783">
        <f t="shared" si="74"/>
        <v>-42</v>
      </c>
      <c r="Y783">
        <f t="shared" si="75"/>
        <v>0.39880952380952384</v>
      </c>
      <c r="Z783" s="7" t="str">
        <f t="shared" si="76"/>
        <v>Low Sales</v>
      </c>
      <c r="AA783" s="7" t="str">
        <f t="shared" si="77"/>
        <v>High Margin</v>
      </c>
    </row>
    <row r="784" spans="1:27" x14ac:dyDescent="0.25">
      <c r="A784" t="s">
        <v>157</v>
      </c>
      <c r="B784">
        <v>250</v>
      </c>
      <c r="C784">
        <v>-83</v>
      </c>
      <c r="D784" s="1">
        <v>41964</v>
      </c>
      <c r="E784">
        <v>1820</v>
      </c>
      <c r="F784">
        <v>251</v>
      </c>
      <c r="G784" t="s">
        <v>21</v>
      </c>
      <c r="H784" t="s">
        <v>22</v>
      </c>
      <c r="I784">
        <v>70</v>
      </c>
      <c r="J784" t="s">
        <v>40</v>
      </c>
      <c r="K784" t="s">
        <v>41</v>
      </c>
      <c r="L784" t="s">
        <v>42</v>
      </c>
      <c r="M784">
        <v>157</v>
      </c>
      <c r="N784">
        <v>501</v>
      </c>
      <c r="O784" t="s">
        <v>63</v>
      </c>
      <c r="P784">
        <v>320</v>
      </c>
      <c r="Q784">
        <v>320</v>
      </c>
      <c r="R784">
        <v>240</v>
      </c>
      <c r="S784">
        <v>640</v>
      </c>
      <c r="T784">
        <v>94</v>
      </c>
      <c r="U784" t="s">
        <v>27</v>
      </c>
      <c r="V784">
        <f t="shared" si="72"/>
        <v>0.31337325349301398</v>
      </c>
      <c r="W784">
        <f t="shared" si="73"/>
        <v>-83</v>
      </c>
      <c r="X784">
        <f t="shared" si="74"/>
        <v>-139</v>
      </c>
      <c r="Y784">
        <f t="shared" si="75"/>
        <v>0.49900199600798401</v>
      </c>
      <c r="Z784" s="7" t="str">
        <f t="shared" si="76"/>
        <v>High Sales</v>
      </c>
      <c r="AA784" s="7" t="str">
        <f t="shared" si="77"/>
        <v>High Margin</v>
      </c>
    </row>
    <row r="785" spans="1:27" x14ac:dyDescent="0.25">
      <c r="A785" t="s">
        <v>91</v>
      </c>
      <c r="B785">
        <v>123</v>
      </c>
      <c r="C785">
        <v>4</v>
      </c>
      <c r="D785" s="1">
        <v>41965</v>
      </c>
      <c r="E785">
        <v>959</v>
      </c>
      <c r="F785">
        <v>179</v>
      </c>
      <c r="G785" t="s">
        <v>21</v>
      </c>
      <c r="H785" t="s">
        <v>22</v>
      </c>
      <c r="I785">
        <v>34</v>
      </c>
      <c r="J785" t="s">
        <v>40</v>
      </c>
      <c r="K785" t="s">
        <v>45</v>
      </c>
      <c r="L785" t="s">
        <v>50</v>
      </c>
      <c r="M785">
        <v>134</v>
      </c>
      <c r="N785">
        <v>302</v>
      </c>
      <c r="O785" t="s">
        <v>26</v>
      </c>
      <c r="P785">
        <v>120</v>
      </c>
      <c r="Q785">
        <v>170</v>
      </c>
      <c r="R785">
        <v>130</v>
      </c>
      <c r="S785">
        <v>290</v>
      </c>
      <c r="T785">
        <v>45</v>
      </c>
      <c r="U785" t="s">
        <v>35</v>
      </c>
      <c r="V785">
        <f t="shared" si="72"/>
        <v>0.44370860927152317</v>
      </c>
      <c r="W785">
        <f t="shared" si="73"/>
        <v>4</v>
      </c>
      <c r="X785">
        <f t="shared" si="74"/>
        <v>12</v>
      </c>
      <c r="Y785">
        <f t="shared" si="75"/>
        <v>0.40728476821192056</v>
      </c>
      <c r="Z785" s="7" t="str">
        <f t="shared" si="76"/>
        <v>High Sales</v>
      </c>
      <c r="AA785" s="7" t="str">
        <f t="shared" si="77"/>
        <v>High Margin</v>
      </c>
    </row>
    <row r="786" spans="1:27" x14ac:dyDescent="0.25">
      <c r="A786" t="s">
        <v>92</v>
      </c>
      <c r="B786">
        <v>224</v>
      </c>
      <c r="C786">
        <v>4</v>
      </c>
      <c r="D786" s="1">
        <v>41966</v>
      </c>
      <c r="E786">
        <v>1191</v>
      </c>
      <c r="F786">
        <v>310</v>
      </c>
      <c r="G786" t="s">
        <v>21</v>
      </c>
      <c r="H786" t="s">
        <v>22</v>
      </c>
      <c r="I786">
        <v>73</v>
      </c>
      <c r="J786" t="s">
        <v>40</v>
      </c>
      <c r="K786" t="s">
        <v>45</v>
      </c>
      <c r="L786" t="s">
        <v>52</v>
      </c>
      <c r="M786">
        <v>194</v>
      </c>
      <c r="N786">
        <v>534</v>
      </c>
      <c r="O786" t="s">
        <v>63</v>
      </c>
      <c r="P786">
        <v>220</v>
      </c>
      <c r="Q786">
        <v>300</v>
      </c>
      <c r="R786">
        <v>190</v>
      </c>
      <c r="S786">
        <v>520</v>
      </c>
      <c r="T786">
        <v>116</v>
      </c>
      <c r="U786" t="s">
        <v>35</v>
      </c>
      <c r="V786">
        <f t="shared" si="72"/>
        <v>0.36329588014981273</v>
      </c>
      <c r="W786">
        <f t="shared" si="73"/>
        <v>4</v>
      </c>
      <c r="X786">
        <f t="shared" si="74"/>
        <v>14</v>
      </c>
      <c r="Y786">
        <f t="shared" si="75"/>
        <v>0.41947565543071164</v>
      </c>
      <c r="Z786" s="7" t="str">
        <f t="shared" si="76"/>
        <v>High Sales</v>
      </c>
      <c r="AA786" s="7" t="str">
        <f t="shared" si="77"/>
        <v>High Margin</v>
      </c>
    </row>
    <row r="787" spans="1:27" x14ac:dyDescent="0.25">
      <c r="A787" t="s">
        <v>69</v>
      </c>
      <c r="B787">
        <v>54</v>
      </c>
      <c r="C787">
        <v>-37</v>
      </c>
      <c r="D787" s="1">
        <v>41967</v>
      </c>
      <c r="E787">
        <v>601</v>
      </c>
      <c r="F787">
        <v>79</v>
      </c>
      <c r="G787" t="s">
        <v>21</v>
      </c>
      <c r="H787" t="s">
        <v>22</v>
      </c>
      <c r="I787">
        <v>15</v>
      </c>
      <c r="J787" t="s">
        <v>40</v>
      </c>
      <c r="K787" t="s">
        <v>41</v>
      </c>
      <c r="L787" t="s">
        <v>53</v>
      </c>
      <c r="M787">
        <v>53</v>
      </c>
      <c r="N787">
        <v>133</v>
      </c>
      <c r="O787" t="s">
        <v>26</v>
      </c>
      <c r="P787">
        <v>60</v>
      </c>
      <c r="Q787">
        <v>110</v>
      </c>
      <c r="R787">
        <v>90</v>
      </c>
      <c r="S787">
        <v>170</v>
      </c>
      <c r="T787">
        <v>26</v>
      </c>
      <c r="U787" t="s">
        <v>35</v>
      </c>
      <c r="V787">
        <f t="shared" si="72"/>
        <v>0.39849624060150374</v>
      </c>
      <c r="W787">
        <f t="shared" si="73"/>
        <v>-37</v>
      </c>
      <c r="X787">
        <f t="shared" si="74"/>
        <v>-37</v>
      </c>
      <c r="Y787">
        <f t="shared" si="75"/>
        <v>0.40601503759398494</v>
      </c>
      <c r="Z787" s="7" t="str">
        <f t="shared" si="76"/>
        <v>Low Sales</v>
      </c>
      <c r="AA787" s="7" t="str">
        <f t="shared" si="77"/>
        <v>High Margin</v>
      </c>
    </row>
    <row r="788" spans="1:27" x14ac:dyDescent="0.25">
      <c r="A788" t="s">
        <v>185</v>
      </c>
      <c r="B788">
        <v>247</v>
      </c>
      <c r="C788">
        <v>-104</v>
      </c>
      <c r="D788" s="1">
        <v>41968</v>
      </c>
      <c r="E788">
        <v>1744</v>
      </c>
      <c r="F788">
        <v>329</v>
      </c>
      <c r="G788" t="s">
        <v>21</v>
      </c>
      <c r="H788" t="s">
        <v>22</v>
      </c>
      <c r="I788">
        <v>81</v>
      </c>
      <c r="J788" t="s">
        <v>40</v>
      </c>
      <c r="K788" t="s">
        <v>41</v>
      </c>
      <c r="L788" t="s">
        <v>53</v>
      </c>
      <c r="M788">
        <v>216</v>
      </c>
      <c r="N788">
        <v>576</v>
      </c>
      <c r="O788" t="s">
        <v>63</v>
      </c>
      <c r="P788">
        <v>310</v>
      </c>
      <c r="Q788">
        <v>420</v>
      </c>
      <c r="R788">
        <v>320</v>
      </c>
      <c r="S788">
        <v>730</v>
      </c>
      <c r="T788">
        <v>113</v>
      </c>
      <c r="U788" t="s">
        <v>35</v>
      </c>
      <c r="V788">
        <f t="shared" si="72"/>
        <v>0.375</v>
      </c>
      <c r="W788">
        <f t="shared" si="73"/>
        <v>-104</v>
      </c>
      <c r="X788">
        <f t="shared" si="74"/>
        <v>-154</v>
      </c>
      <c r="Y788">
        <f t="shared" si="75"/>
        <v>0.42881944444444442</v>
      </c>
      <c r="Z788" s="7" t="str">
        <f t="shared" si="76"/>
        <v>High Sales</v>
      </c>
      <c r="AA788" s="7" t="str">
        <f t="shared" si="77"/>
        <v>High Margin</v>
      </c>
    </row>
    <row r="789" spans="1:27" x14ac:dyDescent="0.25">
      <c r="A789" t="s">
        <v>181</v>
      </c>
      <c r="B789">
        <v>153</v>
      </c>
      <c r="C789">
        <v>-53</v>
      </c>
      <c r="D789" s="1">
        <v>41969</v>
      </c>
      <c r="E789">
        <v>1319</v>
      </c>
      <c r="F789">
        <v>153</v>
      </c>
      <c r="G789" t="s">
        <v>21</v>
      </c>
      <c r="H789" t="s">
        <v>22</v>
      </c>
      <c r="I789">
        <v>42</v>
      </c>
      <c r="J789" t="s">
        <v>40</v>
      </c>
      <c r="K789" t="s">
        <v>41</v>
      </c>
      <c r="L789" t="s">
        <v>53</v>
      </c>
      <c r="M789">
        <v>87</v>
      </c>
      <c r="N789">
        <v>306</v>
      </c>
      <c r="O789" t="s">
        <v>65</v>
      </c>
      <c r="P789">
        <v>190</v>
      </c>
      <c r="Q789">
        <v>200</v>
      </c>
      <c r="R789">
        <v>140</v>
      </c>
      <c r="S789">
        <v>390</v>
      </c>
      <c r="T789">
        <v>66</v>
      </c>
      <c r="U789" t="s">
        <v>35</v>
      </c>
      <c r="V789">
        <f t="shared" si="72"/>
        <v>0.28431372549019607</v>
      </c>
      <c r="W789">
        <f t="shared" si="73"/>
        <v>-53</v>
      </c>
      <c r="X789">
        <f t="shared" si="74"/>
        <v>-84</v>
      </c>
      <c r="Y789">
        <f t="shared" si="75"/>
        <v>0.5</v>
      </c>
      <c r="Z789" s="7" t="str">
        <f t="shared" si="76"/>
        <v>High Sales</v>
      </c>
      <c r="AA789" s="7" t="str">
        <f t="shared" si="77"/>
        <v>High Margin</v>
      </c>
    </row>
    <row r="790" spans="1:27" x14ac:dyDescent="0.25">
      <c r="A790" t="s">
        <v>68</v>
      </c>
      <c r="B790">
        <v>153</v>
      </c>
      <c r="C790">
        <v>7</v>
      </c>
      <c r="D790" s="1">
        <v>41970</v>
      </c>
      <c r="E790">
        <v>1319</v>
      </c>
      <c r="F790">
        <v>153</v>
      </c>
      <c r="G790" t="s">
        <v>21</v>
      </c>
      <c r="H790" t="s">
        <v>22</v>
      </c>
      <c r="I790">
        <v>42</v>
      </c>
      <c r="J790" t="s">
        <v>23</v>
      </c>
      <c r="K790" t="s">
        <v>24</v>
      </c>
      <c r="L790" t="s">
        <v>57</v>
      </c>
      <c r="M790">
        <v>87</v>
      </c>
      <c r="N790">
        <v>306</v>
      </c>
      <c r="O790" t="s">
        <v>26</v>
      </c>
      <c r="P790">
        <v>140</v>
      </c>
      <c r="Q790">
        <v>140</v>
      </c>
      <c r="R790">
        <v>80</v>
      </c>
      <c r="S790">
        <v>280</v>
      </c>
      <c r="T790">
        <v>66</v>
      </c>
      <c r="U790" t="s">
        <v>27</v>
      </c>
      <c r="V790">
        <f t="shared" si="72"/>
        <v>0.28431372549019607</v>
      </c>
      <c r="W790">
        <f t="shared" si="73"/>
        <v>7</v>
      </c>
      <c r="X790">
        <f t="shared" si="74"/>
        <v>26</v>
      </c>
      <c r="Y790">
        <f t="shared" si="75"/>
        <v>0.5</v>
      </c>
      <c r="Z790" s="7" t="str">
        <f t="shared" si="76"/>
        <v>High Sales</v>
      </c>
      <c r="AA790" s="7" t="str">
        <f t="shared" si="77"/>
        <v>High Margin</v>
      </c>
    </row>
    <row r="791" spans="1:27" x14ac:dyDescent="0.25">
      <c r="A791" t="s">
        <v>171</v>
      </c>
      <c r="B791">
        <v>123</v>
      </c>
      <c r="C791">
        <v>3</v>
      </c>
      <c r="D791" s="1">
        <v>41971</v>
      </c>
      <c r="E791">
        <v>959</v>
      </c>
      <c r="F791">
        <v>179</v>
      </c>
      <c r="G791" t="s">
        <v>21</v>
      </c>
      <c r="H791" t="s">
        <v>22</v>
      </c>
      <c r="I791">
        <v>34</v>
      </c>
      <c r="J791" t="s">
        <v>23</v>
      </c>
      <c r="K791" t="s">
        <v>24</v>
      </c>
      <c r="L791" t="s">
        <v>57</v>
      </c>
      <c r="M791">
        <v>133</v>
      </c>
      <c r="N791">
        <v>302</v>
      </c>
      <c r="O791" t="s">
        <v>63</v>
      </c>
      <c r="P791">
        <v>110</v>
      </c>
      <c r="Q791">
        <v>170</v>
      </c>
      <c r="R791">
        <v>130</v>
      </c>
      <c r="S791">
        <v>280</v>
      </c>
      <c r="T791">
        <v>46</v>
      </c>
      <c r="U791" t="s">
        <v>27</v>
      </c>
      <c r="V791">
        <f t="shared" si="72"/>
        <v>0.44039735099337746</v>
      </c>
      <c r="W791">
        <f t="shared" si="73"/>
        <v>3</v>
      </c>
      <c r="X791">
        <f t="shared" si="74"/>
        <v>22</v>
      </c>
      <c r="Y791">
        <f t="shared" si="75"/>
        <v>0.40728476821192056</v>
      </c>
      <c r="Z791" s="7" t="str">
        <f t="shared" si="76"/>
        <v>High Sales</v>
      </c>
      <c r="AA791" s="7" t="str">
        <f t="shared" si="77"/>
        <v>High Margin</v>
      </c>
    </row>
    <row r="792" spans="1:27" x14ac:dyDescent="0.25">
      <c r="A792" t="s">
        <v>157</v>
      </c>
      <c r="B792">
        <v>86</v>
      </c>
      <c r="C792">
        <v>8</v>
      </c>
      <c r="D792" s="1">
        <v>41972</v>
      </c>
      <c r="E792">
        <v>1003</v>
      </c>
      <c r="F792">
        <v>124</v>
      </c>
      <c r="G792" t="s">
        <v>21</v>
      </c>
      <c r="H792" t="s">
        <v>22</v>
      </c>
      <c r="I792">
        <v>24</v>
      </c>
      <c r="J792" t="s">
        <v>23</v>
      </c>
      <c r="K792" t="s">
        <v>24</v>
      </c>
      <c r="L792" t="s">
        <v>28</v>
      </c>
      <c r="M792">
        <v>88</v>
      </c>
      <c r="N792">
        <v>210</v>
      </c>
      <c r="O792" t="s">
        <v>63</v>
      </c>
      <c r="P792">
        <v>80</v>
      </c>
      <c r="Q792">
        <v>110</v>
      </c>
      <c r="R792">
        <v>80</v>
      </c>
      <c r="S792">
        <v>190</v>
      </c>
      <c r="T792">
        <v>36</v>
      </c>
      <c r="U792" t="s">
        <v>27</v>
      </c>
      <c r="V792">
        <f t="shared" si="72"/>
        <v>0.41904761904761906</v>
      </c>
      <c r="W792">
        <f t="shared" si="73"/>
        <v>8</v>
      </c>
      <c r="X792">
        <f t="shared" si="74"/>
        <v>20</v>
      </c>
      <c r="Y792">
        <f t="shared" si="75"/>
        <v>0.40952380952380951</v>
      </c>
      <c r="Z792" s="7" t="str">
        <f t="shared" si="76"/>
        <v>Low Sales</v>
      </c>
      <c r="AA792" s="7" t="str">
        <f t="shared" si="77"/>
        <v>High Margin</v>
      </c>
    </row>
    <row r="793" spans="1:27" x14ac:dyDescent="0.25">
      <c r="A793" t="s">
        <v>169</v>
      </c>
      <c r="B793">
        <v>88</v>
      </c>
      <c r="C793">
        <v>2</v>
      </c>
      <c r="D793" s="1">
        <v>41973</v>
      </c>
      <c r="E793">
        <v>817</v>
      </c>
      <c r="F793">
        <v>133</v>
      </c>
      <c r="G793" t="s">
        <v>21</v>
      </c>
      <c r="H793" t="s">
        <v>22</v>
      </c>
      <c r="I793">
        <v>29</v>
      </c>
      <c r="J793" t="s">
        <v>23</v>
      </c>
      <c r="K793" t="s">
        <v>32</v>
      </c>
      <c r="L793" t="s">
        <v>33</v>
      </c>
      <c r="M793">
        <v>72</v>
      </c>
      <c r="N793">
        <v>221</v>
      </c>
      <c r="O793" t="s">
        <v>65</v>
      </c>
      <c r="P793">
        <v>70</v>
      </c>
      <c r="Q793">
        <v>110</v>
      </c>
      <c r="R793">
        <v>70</v>
      </c>
      <c r="S793">
        <v>180</v>
      </c>
      <c r="T793">
        <v>61</v>
      </c>
      <c r="U793" t="s">
        <v>35</v>
      </c>
      <c r="V793">
        <f t="shared" si="72"/>
        <v>0.32579185520361992</v>
      </c>
      <c r="W793">
        <f t="shared" si="73"/>
        <v>2</v>
      </c>
      <c r="X793">
        <f t="shared" si="74"/>
        <v>41</v>
      </c>
      <c r="Y793">
        <f t="shared" si="75"/>
        <v>0.39819004524886875</v>
      </c>
      <c r="Z793" s="7" t="str">
        <f t="shared" si="76"/>
        <v>Low Sales</v>
      </c>
      <c r="AA793" s="7" t="str">
        <f t="shared" si="77"/>
        <v>High Margin</v>
      </c>
    </row>
    <row r="794" spans="1:27" x14ac:dyDescent="0.25">
      <c r="A794" t="s">
        <v>181</v>
      </c>
      <c r="B794">
        <v>134</v>
      </c>
      <c r="C794">
        <v>31</v>
      </c>
      <c r="D794" s="1">
        <v>41974</v>
      </c>
      <c r="E794">
        <v>690</v>
      </c>
      <c r="F794">
        <v>186</v>
      </c>
      <c r="G794" t="s">
        <v>21</v>
      </c>
      <c r="H794" t="s">
        <v>22</v>
      </c>
      <c r="I794">
        <v>41</v>
      </c>
      <c r="J794" t="s">
        <v>23</v>
      </c>
      <c r="K794" t="s">
        <v>32</v>
      </c>
      <c r="L794" t="s">
        <v>61</v>
      </c>
      <c r="M794">
        <v>121</v>
      </c>
      <c r="N794">
        <v>320</v>
      </c>
      <c r="O794" t="s">
        <v>65</v>
      </c>
      <c r="P794">
        <v>110</v>
      </c>
      <c r="Q794">
        <v>150</v>
      </c>
      <c r="R794">
        <v>90</v>
      </c>
      <c r="S794">
        <v>260</v>
      </c>
      <c r="T794">
        <v>65</v>
      </c>
      <c r="U794" t="s">
        <v>35</v>
      </c>
      <c r="V794">
        <f t="shared" si="72"/>
        <v>0.37812499999999999</v>
      </c>
      <c r="W794">
        <f t="shared" si="73"/>
        <v>31</v>
      </c>
      <c r="X794">
        <f t="shared" si="74"/>
        <v>60</v>
      </c>
      <c r="Y794">
        <f t="shared" si="75"/>
        <v>0.41875000000000001</v>
      </c>
      <c r="Z794" s="7" t="str">
        <f t="shared" si="76"/>
        <v>High Sales</v>
      </c>
      <c r="AA794" s="7" t="str">
        <f t="shared" si="77"/>
        <v>High Margin</v>
      </c>
    </row>
    <row r="795" spans="1:27" x14ac:dyDescent="0.25">
      <c r="A795" t="s">
        <v>91</v>
      </c>
      <c r="B795">
        <v>81</v>
      </c>
      <c r="C795">
        <v>6</v>
      </c>
      <c r="D795" s="1">
        <v>41975</v>
      </c>
      <c r="E795">
        <v>551</v>
      </c>
      <c r="F795">
        <v>104</v>
      </c>
      <c r="G795" t="s">
        <v>21</v>
      </c>
      <c r="H795" t="s">
        <v>22</v>
      </c>
      <c r="I795">
        <v>26</v>
      </c>
      <c r="J795" t="s">
        <v>23</v>
      </c>
      <c r="K795" t="s">
        <v>32</v>
      </c>
      <c r="L795" t="s">
        <v>37</v>
      </c>
      <c r="M795">
        <v>66</v>
      </c>
      <c r="N795">
        <v>185</v>
      </c>
      <c r="O795" t="s">
        <v>26</v>
      </c>
      <c r="P795">
        <v>60</v>
      </c>
      <c r="Q795">
        <v>90</v>
      </c>
      <c r="R795">
        <v>60</v>
      </c>
      <c r="S795">
        <v>150</v>
      </c>
      <c r="T795">
        <v>38</v>
      </c>
      <c r="U795" t="s">
        <v>35</v>
      </c>
      <c r="V795">
        <f t="shared" si="72"/>
        <v>0.35675675675675678</v>
      </c>
      <c r="W795">
        <f t="shared" si="73"/>
        <v>6</v>
      </c>
      <c r="X795">
        <f t="shared" si="74"/>
        <v>35</v>
      </c>
      <c r="Y795">
        <f t="shared" si="75"/>
        <v>0.43783783783783786</v>
      </c>
      <c r="Z795" s="7" t="str">
        <f t="shared" si="76"/>
        <v>Low Sales</v>
      </c>
      <c r="AA795" s="7" t="str">
        <f t="shared" si="77"/>
        <v>High Margin</v>
      </c>
    </row>
    <row r="796" spans="1:27" x14ac:dyDescent="0.25">
      <c r="A796" t="s">
        <v>134</v>
      </c>
      <c r="B796">
        <v>10</v>
      </c>
      <c r="C796">
        <v>-11</v>
      </c>
      <c r="D796" s="1">
        <v>41976</v>
      </c>
      <c r="E796">
        <v>594</v>
      </c>
      <c r="F796">
        <v>14</v>
      </c>
      <c r="G796" t="s">
        <v>39</v>
      </c>
      <c r="H796" t="s">
        <v>22</v>
      </c>
      <c r="I796">
        <v>3</v>
      </c>
      <c r="J796" t="s">
        <v>40</v>
      </c>
      <c r="K796" t="s">
        <v>45</v>
      </c>
      <c r="L796" t="s">
        <v>46</v>
      </c>
      <c r="M796">
        <v>-1</v>
      </c>
      <c r="N796">
        <v>24</v>
      </c>
      <c r="O796" t="s">
        <v>43</v>
      </c>
      <c r="P796">
        <v>0</v>
      </c>
      <c r="Q796">
        <v>20</v>
      </c>
      <c r="R796">
        <v>10</v>
      </c>
      <c r="S796">
        <v>20</v>
      </c>
      <c r="T796">
        <v>15</v>
      </c>
      <c r="U796" t="s">
        <v>27</v>
      </c>
      <c r="V796">
        <f t="shared" si="72"/>
        <v>-4.1666666666666664E-2</v>
      </c>
      <c r="W796">
        <f t="shared" si="73"/>
        <v>-11</v>
      </c>
      <c r="X796">
        <f t="shared" si="74"/>
        <v>4</v>
      </c>
      <c r="Y796">
        <f t="shared" si="75"/>
        <v>0.41666666666666669</v>
      </c>
      <c r="Z796" s="7" t="str">
        <f t="shared" si="76"/>
        <v>Low Sales</v>
      </c>
      <c r="AA796" s="7" t="str">
        <f t="shared" si="77"/>
        <v>High Margin</v>
      </c>
    </row>
    <row r="797" spans="1:27" x14ac:dyDescent="0.25">
      <c r="A797" t="s">
        <v>133</v>
      </c>
      <c r="B797">
        <v>83</v>
      </c>
      <c r="C797">
        <v>-13</v>
      </c>
      <c r="D797" s="1">
        <v>41977</v>
      </c>
      <c r="E797">
        <v>575</v>
      </c>
      <c r="F797">
        <v>112</v>
      </c>
      <c r="G797" t="s">
        <v>39</v>
      </c>
      <c r="H797" t="s">
        <v>22</v>
      </c>
      <c r="I797">
        <v>27</v>
      </c>
      <c r="J797" t="s">
        <v>40</v>
      </c>
      <c r="K797" t="s">
        <v>45</v>
      </c>
      <c r="L797" t="s">
        <v>46</v>
      </c>
      <c r="M797">
        <v>57</v>
      </c>
      <c r="N797">
        <v>195</v>
      </c>
      <c r="O797" t="s">
        <v>59</v>
      </c>
      <c r="P797">
        <v>80</v>
      </c>
      <c r="Q797">
        <v>110</v>
      </c>
      <c r="R797">
        <v>70</v>
      </c>
      <c r="S797">
        <v>190</v>
      </c>
      <c r="T797">
        <v>55</v>
      </c>
      <c r="U797" t="s">
        <v>27</v>
      </c>
      <c r="V797">
        <f t="shared" si="72"/>
        <v>0.29230769230769232</v>
      </c>
      <c r="W797">
        <f t="shared" si="73"/>
        <v>-13</v>
      </c>
      <c r="X797">
        <f t="shared" si="74"/>
        <v>5</v>
      </c>
      <c r="Y797">
        <f t="shared" si="75"/>
        <v>0.42564102564102563</v>
      </c>
      <c r="Z797" s="7" t="str">
        <f t="shared" si="76"/>
        <v>Low Sales</v>
      </c>
      <c r="AA797" s="7" t="str">
        <f t="shared" si="77"/>
        <v>High Margin</v>
      </c>
    </row>
    <row r="798" spans="1:27" x14ac:dyDescent="0.25">
      <c r="A798" t="s">
        <v>81</v>
      </c>
      <c r="B798">
        <v>68</v>
      </c>
      <c r="C798">
        <v>-14</v>
      </c>
      <c r="D798" s="1">
        <v>41978</v>
      </c>
      <c r="E798">
        <v>619</v>
      </c>
      <c r="F798">
        <v>85</v>
      </c>
      <c r="G798" t="s">
        <v>39</v>
      </c>
      <c r="H798" t="s">
        <v>22</v>
      </c>
      <c r="I798">
        <v>25</v>
      </c>
      <c r="J798" t="s">
        <v>40</v>
      </c>
      <c r="K798" t="s">
        <v>45</v>
      </c>
      <c r="L798" t="s">
        <v>52</v>
      </c>
      <c r="M798">
        <v>26</v>
      </c>
      <c r="N798">
        <v>153</v>
      </c>
      <c r="O798" t="s">
        <v>58</v>
      </c>
      <c r="P798">
        <v>60</v>
      </c>
      <c r="Q798">
        <v>90</v>
      </c>
      <c r="R798">
        <v>40</v>
      </c>
      <c r="S798">
        <v>150</v>
      </c>
      <c r="T798">
        <v>59</v>
      </c>
      <c r="U798" t="s">
        <v>35</v>
      </c>
      <c r="V798">
        <f t="shared" si="72"/>
        <v>0.16993464052287582</v>
      </c>
      <c r="W798">
        <f t="shared" si="73"/>
        <v>-14</v>
      </c>
      <c r="X798">
        <f t="shared" si="74"/>
        <v>3</v>
      </c>
      <c r="Y798">
        <f t="shared" si="75"/>
        <v>0.44444444444444442</v>
      </c>
      <c r="Z798" s="7" t="str">
        <f t="shared" si="76"/>
        <v>Low Sales</v>
      </c>
      <c r="AA798" s="7" t="str">
        <f t="shared" si="77"/>
        <v>High Margin</v>
      </c>
    </row>
    <row r="799" spans="1:27" x14ac:dyDescent="0.25">
      <c r="A799" t="s">
        <v>133</v>
      </c>
      <c r="B799">
        <v>105</v>
      </c>
      <c r="C799">
        <v>-10</v>
      </c>
      <c r="D799" s="1">
        <v>41979</v>
      </c>
      <c r="E799">
        <v>716</v>
      </c>
      <c r="F799">
        <v>145</v>
      </c>
      <c r="G799" t="s">
        <v>39</v>
      </c>
      <c r="H799" t="s">
        <v>22</v>
      </c>
      <c r="I799">
        <v>95</v>
      </c>
      <c r="J799" t="s">
        <v>40</v>
      </c>
      <c r="K799" t="s">
        <v>45</v>
      </c>
      <c r="L799" t="s">
        <v>52</v>
      </c>
      <c r="M799">
        <v>20</v>
      </c>
      <c r="N799">
        <v>250</v>
      </c>
      <c r="O799" t="s">
        <v>59</v>
      </c>
      <c r="P799">
        <v>100</v>
      </c>
      <c r="Q799">
        <v>140</v>
      </c>
      <c r="R799">
        <v>30</v>
      </c>
      <c r="S799">
        <v>240</v>
      </c>
      <c r="T799">
        <v>125</v>
      </c>
      <c r="U799" t="s">
        <v>35</v>
      </c>
      <c r="V799">
        <f t="shared" si="72"/>
        <v>0.08</v>
      </c>
      <c r="W799">
        <f t="shared" si="73"/>
        <v>-10</v>
      </c>
      <c r="X799">
        <f t="shared" si="74"/>
        <v>10</v>
      </c>
      <c r="Y799">
        <f t="shared" si="75"/>
        <v>0.42</v>
      </c>
      <c r="Z799" s="7" t="str">
        <f t="shared" si="76"/>
        <v>Low Sales</v>
      </c>
      <c r="AA799" s="7" t="str">
        <f t="shared" si="77"/>
        <v>High Margin</v>
      </c>
    </row>
    <row r="800" spans="1:27" x14ac:dyDescent="0.25">
      <c r="A800" t="s">
        <v>94</v>
      </c>
      <c r="B800">
        <v>50</v>
      </c>
      <c r="C800">
        <v>-22</v>
      </c>
      <c r="D800" s="1">
        <v>41980</v>
      </c>
      <c r="E800">
        <v>898</v>
      </c>
      <c r="F800">
        <v>73</v>
      </c>
      <c r="G800" t="s">
        <v>39</v>
      </c>
      <c r="H800" t="s">
        <v>22</v>
      </c>
      <c r="I800">
        <v>14</v>
      </c>
      <c r="J800" t="s">
        <v>40</v>
      </c>
      <c r="K800" t="s">
        <v>41</v>
      </c>
      <c r="L800" t="s">
        <v>53</v>
      </c>
      <c r="M800">
        <v>48</v>
      </c>
      <c r="N800">
        <v>123</v>
      </c>
      <c r="O800" t="s">
        <v>58</v>
      </c>
      <c r="P800">
        <v>60</v>
      </c>
      <c r="Q800">
        <v>90</v>
      </c>
      <c r="R800">
        <v>70</v>
      </c>
      <c r="S800">
        <v>150</v>
      </c>
      <c r="T800">
        <v>25</v>
      </c>
      <c r="U800" t="s">
        <v>35</v>
      </c>
      <c r="V800">
        <f t="shared" si="72"/>
        <v>0.3902439024390244</v>
      </c>
      <c r="W800">
        <f t="shared" si="73"/>
        <v>-22</v>
      </c>
      <c r="X800">
        <f t="shared" si="74"/>
        <v>-27</v>
      </c>
      <c r="Y800">
        <f t="shared" si="75"/>
        <v>0.4065040650406504</v>
      </c>
      <c r="Z800" s="7" t="str">
        <f t="shared" si="76"/>
        <v>Low Sales</v>
      </c>
      <c r="AA800" s="7" t="str">
        <f t="shared" si="77"/>
        <v>High Margin</v>
      </c>
    </row>
    <row r="801" spans="1:27" x14ac:dyDescent="0.25">
      <c r="A801" t="s">
        <v>133</v>
      </c>
      <c r="B801">
        <v>80</v>
      </c>
      <c r="C801">
        <v>-30</v>
      </c>
      <c r="D801" s="1">
        <v>41981</v>
      </c>
      <c r="E801">
        <v>1079</v>
      </c>
      <c r="F801">
        <v>96</v>
      </c>
      <c r="G801" t="s">
        <v>39</v>
      </c>
      <c r="H801" t="s">
        <v>22</v>
      </c>
      <c r="I801">
        <v>24</v>
      </c>
      <c r="J801" t="s">
        <v>40</v>
      </c>
      <c r="K801" t="s">
        <v>41</v>
      </c>
      <c r="L801" t="s">
        <v>53</v>
      </c>
      <c r="M801">
        <v>50</v>
      </c>
      <c r="N801">
        <v>176</v>
      </c>
      <c r="O801" t="s">
        <v>59</v>
      </c>
      <c r="P801">
        <v>100</v>
      </c>
      <c r="Q801">
        <v>120</v>
      </c>
      <c r="R801">
        <v>80</v>
      </c>
      <c r="S801">
        <v>220</v>
      </c>
      <c r="T801">
        <v>46</v>
      </c>
      <c r="U801" t="s">
        <v>35</v>
      </c>
      <c r="V801">
        <f t="shared" si="72"/>
        <v>0.28409090909090912</v>
      </c>
      <c r="W801">
        <f t="shared" si="73"/>
        <v>-30</v>
      </c>
      <c r="X801">
        <f t="shared" si="74"/>
        <v>-44</v>
      </c>
      <c r="Y801">
        <f t="shared" si="75"/>
        <v>0.45454545454545453</v>
      </c>
      <c r="Z801" s="7" t="str">
        <f t="shared" si="76"/>
        <v>Low Sales</v>
      </c>
      <c r="AA801" s="7" t="str">
        <f t="shared" si="77"/>
        <v>High Margin</v>
      </c>
    </row>
    <row r="802" spans="1:27" x14ac:dyDescent="0.25">
      <c r="A802" t="s">
        <v>145</v>
      </c>
      <c r="B802">
        <v>247</v>
      </c>
      <c r="C802">
        <v>16</v>
      </c>
      <c r="D802" s="1">
        <v>41982</v>
      </c>
      <c r="E802">
        <v>1744</v>
      </c>
      <c r="F802">
        <v>329</v>
      </c>
      <c r="G802" t="s">
        <v>39</v>
      </c>
      <c r="H802" t="s">
        <v>22</v>
      </c>
      <c r="I802">
        <v>81</v>
      </c>
      <c r="J802" t="s">
        <v>23</v>
      </c>
      <c r="K802" t="s">
        <v>24</v>
      </c>
      <c r="L802" t="s">
        <v>57</v>
      </c>
      <c r="M802">
        <v>216</v>
      </c>
      <c r="N802">
        <v>576</v>
      </c>
      <c r="O802" t="s">
        <v>43</v>
      </c>
      <c r="P802">
        <v>230</v>
      </c>
      <c r="Q802">
        <v>300</v>
      </c>
      <c r="R802">
        <v>200</v>
      </c>
      <c r="S802">
        <v>530</v>
      </c>
      <c r="T802">
        <v>113</v>
      </c>
      <c r="U802" t="s">
        <v>27</v>
      </c>
      <c r="V802">
        <f t="shared" si="72"/>
        <v>0.375</v>
      </c>
      <c r="W802">
        <f t="shared" si="73"/>
        <v>16</v>
      </c>
      <c r="X802">
        <f t="shared" si="74"/>
        <v>46</v>
      </c>
      <c r="Y802">
        <f t="shared" si="75"/>
        <v>0.42881944444444442</v>
      </c>
      <c r="Z802" s="7" t="str">
        <f t="shared" si="76"/>
        <v>High Sales</v>
      </c>
      <c r="AA802" s="7" t="str">
        <f t="shared" si="77"/>
        <v>High Margin</v>
      </c>
    </row>
    <row r="803" spans="1:27" x14ac:dyDescent="0.25">
      <c r="A803" t="s">
        <v>134</v>
      </c>
      <c r="B803">
        <v>127</v>
      </c>
      <c r="C803">
        <v>3</v>
      </c>
      <c r="D803" s="1">
        <v>41983</v>
      </c>
      <c r="E803">
        <v>830</v>
      </c>
      <c r="F803">
        <v>185</v>
      </c>
      <c r="G803" t="s">
        <v>39</v>
      </c>
      <c r="H803" t="s">
        <v>22</v>
      </c>
      <c r="I803">
        <v>40</v>
      </c>
      <c r="J803" t="s">
        <v>23</v>
      </c>
      <c r="K803" t="s">
        <v>24</v>
      </c>
      <c r="L803" t="s">
        <v>25</v>
      </c>
      <c r="M803">
        <v>123</v>
      </c>
      <c r="N803">
        <v>312</v>
      </c>
      <c r="O803" t="s">
        <v>43</v>
      </c>
      <c r="P803">
        <v>120</v>
      </c>
      <c r="Q803">
        <v>170</v>
      </c>
      <c r="R803">
        <v>120</v>
      </c>
      <c r="S803">
        <v>290</v>
      </c>
      <c r="T803">
        <v>62</v>
      </c>
      <c r="U803" t="s">
        <v>27</v>
      </c>
      <c r="V803">
        <f t="shared" si="72"/>
        <v>0.39423076923076922</v>
      </c>
      <c r="W803">
        <f t="shared" si="73"/>
        <v>3</v>
      </c>
      <c r="X803">
        <f t="shared" si="74"/>
        <v>22</v>
      </c>
      <c r="Y803">
        <f t="shared" si="75"/>
        <v>0.40705128205128205</v>
      </c>
      <c r="Z803" s="7" t="str">
        <f t="shared" si="76"/>
        <v>High Sales</v>
      </c>
      <c r="AA803" s="7" t="str">
        <f t="shared" si="77"/>
        <v>High Margin</v>
      </c>
    </row>
    <row r="804" spans="1:27" x14ac:dyDescent="0.25">
      <c r="A804" t="s">
        <v>145</v>
      </c>
      <c r="B804">
        <v>250</v>
      </c>
      <c r="C804">
        <v>36</v>
      </c>
      <c r="D804" s="1">
        <v>41984</v>
      </c>
      <c r="E804">
        <v>1820</v>
      </c>
      <c r="F804">
        <v>251</v>
      </c>
      <c r="G804" t="s">
        <v>39</v>
      </c>
      <c r="H804" t="s">
        <v>22</v>
      </c>
      <c r="I804">
        <v>70</v>
      </c>
      <c r="J804" t="s">
        <v>23</v>
      </c>
      <c r="K804" t="s">
        <v>32</v>
      </c>
      <c r="L804" t="s">
        <v>33</v>
      </c>
      <c r="M804">
        <v>156</v>
      </c>
      <c r="N804">
        <v>501</v>
      </c>
      <c r="O804" t="s">
        <v>43</v>
      </c>
      <c r="P804">
        <v>210</v>
      </c>
      <c r="Q804">
        <v>200</v>
      </c>
      <c r="R804">
        <v>120</v>
      </c>
      <c r="S804">
        <v>410</v>
      </c>
      <c r="T804">
        <v>95</v>
      </c>
      <c r="U804" t="s">
        <v>35</v>
      </c>
      <c r="V804">
        <f t="shared" si="72"/>
        <v>0.31137724550898205</v>
      </c>
      <c r="W804">
        <f t="shared" si="73"/>
        <v>36</v>
      </c>
      <c r="X804">
        <f t="shared" si="74"/>
        <v>91</v>
      </c>
      <c r="Y804">
        <f t="shared" si="75"/>
        <v>0.49900199600798401</v>
      </c>
      <c r="Z804" s="7" t="str">
        <f t="shared" si="76"/>
        <v>High Sales</v>
      </c>
      <c r="AA804" s="7" t="str">
        <f t="shared" si="77"/>
        <v>High Margin</v>
      </c>
    </row>
    <row r="805" spans="1:27" x14ac:dyDescent="0.25">
      <c r="A805" t="s">
        <v>145</v>
      </c>
      <c r="B805">
        <v>294</v>
      </c>
      <c r="C805">
        <v>46</v>
      </c>
      <c r="D805" s="1">
        <v>41985</v>
      </c>
      <c r="E805">
        <v>1838</v>
      </c>
      <c r="F805">
        <v>360</v>
      </c>
      <c r="G805" t="s">
        <v>39</v>
      </c>
      <c r="H805" t="s">
        <v>22</v>
      </c>
      <c r="I805">
        <v>111</v>
      </c>
      <c r="J805" t="s">
        <v>23</v>
      </c>
      <c r="K805" t="s">
        <v>32</v>
      </c>
      <c r="L805" t="s">
        <v>61</v>
      </c>
      <c r="M805">
        <v>216</v>
      </c>
      <c r="N805">
        <v>654</v>
      </c>
      <c r="O805" t="s">
        <v>43</v>
      </c>
      <c r="P805">
        <v>240</v>
      </c>
      <c r="Q805">
        <v>300</v>
      </c>
      <c r="R805">
        <v>170</v>
      </c>
      <c r="S805">
        <v>540</v>
      </c>
      <c r="T805">
        <v>144</v>
      </c>
      <c r="U805" t="s">
        <v>35</v>
      </c>
      <c r="V805">
        <f t="shared" si="72"/>
        <v>0.33027522935779818</v>
      </c>
      <c r="W805">
        <f t="shared" si="73"/>
        <v>46</v>
      </c>
      <c r="X805">
        <f t="shared" si="74"/>
        <v>114</v>
      </c>
      <c r="Y805">
        <f t="shared" si="75"/>
        <v>0.44954128440366975</v>
      </c>
      <c r="Z805" s="7" t="str">
        <f t="shared" si="76"/>
        <v>High Sales</v>
      </c>
      <c r="AA805" s="7" t="str">
        <f t="shared" si="77"/>
        <v>High Margin</v>
      </c>
    </row>
    <row r="806" spans="1:27" x14ac:dyDescent="0.25">
      <c r="A806" t="s">
        <v>81</v>
      </c>
      <c r="B806">
        <v>20</v>
      </c>
      <c r="C806">
        <v>-6</v>
      </c>
      <c r="D806" s="1">
        <v>41986</v>
      </c>
      <c r="E806">
        <v>218</v>
      </c>
      <c r="F806">
        <v>25</v>
      </c>
      <c r="G806" t="s">
        <v>39</v>
      </c>
      <c r="H806" t="s">
        <v>22</v>
      </c>
      <c r="I806">
        <v>7</v>
      </c>
      <c r="J806" t="s">
        <v>23</v>
      </c>
      <c r="K806" t="s">
        <v>32</v>
      </c>
      <c r="L806" t="s">
        <v>61</v>
      </c>
      <c r="M806">
        <v>-16</v>
      </c>
      <c r="N806">
        <v>45</v>
      </c>
      <c r="O806" t="s">
        <v>58</v>
      </c>
      <c r="P806">
        <v>10</v>
      </c>
      <c r="Q806">
        <v>20</v>
      </c>
      <c r="R806">
        <v>-10</v>
      </c>
      <c r="S806">
        <v>30</v>
      </c>
      <c r="T806">
        <v>41</v>
      </c>
      <c r="U806" t="s">
        <v>35</v>
      </c>
      <c r="V806">
        <f t="shared" si="72"/>
        <v>-0.35555555555555557</v>
      </c>
      <c r="W806">
        <f t="shared" si="73"/>
        <v>-6</v>
      </c>
      <c r="X806">
        <f t="shared" si="74"/>
        <v>15</v>
      </c>
      <c r="Y806">
        <f t="shared" si="75"/>
        <v>0.44444444444444442</v>
      </c>
      <c r="Z806" s="7" t="str">
        <f t="shared" si="76"/>
        <v>Low Sales</v>
      </c>
      <c r="AA806" s="7" t="str">
        <f t="shared" si="77"/>
        <v>Low Margin</v>
      </c>
    </row>
    <row r="807" spans="1:27" x14ac:dyDescent="0.25">
      <c r="A807" t="s">
        <v>91</v>
      </c>
      <c r="B807">
        <v>108</v>
      </c>
      <c r="C807">
        <v>22</v>
      </c>
      <c r="D807" s="1">
        <v>41987</v>
      </c>
      <c r="E807">
        <v>971</v>
      </c>
      <c r="F807">
        <v>157</v>
      </c>
      <c r="G807" t="s">
        <v>21</v>
      </c>
      <c r="H807" t="s">
        <v>22</v>
      </c>
      <c r="I807">
        <v>30</v>
      </c>
      <c r="J807" t="s">
        <v>40</v>
      </c>
      <c r="K807" t="s">
        <v>45</v>
      </c>
      <c r="L807" t="s">
        <v>46</v>
      </c>
      <c r="M807">
        <v>172</v>
      </c>
      <c r="N807">
        <v>282</v>
      </c>
      <c r="O807" t="s">
        <v>26</v>
      </c>
      <c r="P807">
        <v>100</v>
      </c>
      <c r="Q807">
        <v>160</v>
      </c>
      <c r="R807">
        <v>150</v>
      </c>
      <c r="S807">
        <v>260</v>
      </c>
      <c r="T807">
        <v>41</v>
      </c>
      <c r="U807" t="s">
        <v>27</v>
      </c>
      <c r="V807">
        <f t="shared" si="72"/>
        <v>0.60992907801418439</v>
      </c>
      <c r="W807">
        <f t="shared" si="73"/>
        <v>22</v>
      </c>
      <c r="X807">
        <f t="shared" si="74"/>
        <v>22</v>
      </c>
      <c r="Y807">
        <f t="shared" si="75"/>
        <v>0.38297872340425532</v>
      </c>
      <c r="Z807" s="7" t="str">
        <f t="shared" si="76"/>
        <v>Low Sales</v>
      </c>
      <c r="AA807" s="7" t="str">
        <f t="shared" si="77"/>
        <v>High Margin</v>
      </c>
    </row>
    <row r="808" spans="1:27" x14ac:dyDescent="0.25">
      <c r="A808" t="s">
        <v>185</v>
      </c>
      <c r="B808">
        <v>122</v>
      </c>
      <c r="C808">
        <v>11</v>
      </c>
      <c r="D808" s="1">
        <v>41988</v>
      </c>
      <c r="E808">
        <v>789</v>
      </c>
      <c r="F808">
        <v>176</v>
      </c>
      <c r="G808" t="s">
        <v>21</v>
      </c>
      <c r="H808" t="s">
        <v>22</v>
      </c>
      <c r="I808">
        <v>39</v>
      </c>
      <c r="J808" t="s">
        <v>40</v>
      </c>
      <c r="K808" t="s">
        <v>45</v>
      </c>
      <c r="L808" t="s">
        <v>46</v>
      </c>
      <c r="M808">
        <v>171</v>
      </c>
      <c r="N808">
        <v>318</v>
      </c>
      <c r="O808" t="s">
        <v>63</v>
      </c>
      <c r="P808">
        <v>110</v>
      </c>
      <c r="Q808">
        <v>190</v>
      </c>
      <c r="R808">
        <v>160</v>
      </c>
      <c r="S808">
        <v>300</v>
      </c>
      <c r="T808">
        <v>61</v>
      </c>
      <c r="U808" t="s">
        <v>27</v>
      </c>
      <c r="V808">
        <f t="shared" si="72"/>
        <v>0.53773584905660377</v>
      </c>
      <c r="W808">
        <f t="shared" si="73"/>
        <v>11</v>
      </c>
      <c r="X808">
        <f t="shared" si="74"/>
        <v>18</v>
      </c>
      <c r="Y808">
        <f t="shared" si="75"/>
        <v>0.38364779874213839</v>
      </c>
      <c r="Z808" s="7" t="str">
        <f t="shared" si="76"/>
        <v>High Sales</v>
      </c>
      <c r="AA808" s="7" t="str">
        <f t="shared" si="77"/>
        <v>High Margin</v>
      </c>
    </row>
    <row r="809" spans="1:27" x14ac:dyDescent="0.25">
      <c r="A809" t="s">
        <v>69</v>
      </c>
      <c r="B809">
        <v>72</v>
      </c>
      <c r="C809">
        <v>-47</v>
      </c>
      <c r="D809" s="1">
        <v>41989</v>
      </c>
      <c r="E809">
        <v>650</v>
      </c>
      <c r="F809">
        <v>110</v>
      </c>
      <c r="G809" t="s">
        <v>21</v>
      </c>
      <c r="H809" t="s">
        <v>22</v>
      </c>
      <c r="I809">
        <v>23</v>
      </c>
      <c r="J809" t="s">
        <v>40</v>
      </c>
      <c r="K809" t="s">
        <v>41</v>
      </c>
      <c r="L809" t="s">
        <v>42</v>
      </c>
      <c r="M809">
        <v>83</v>
      </c>
      <c r="N809">
        <v>194</v>
      </c>
      <c r="O809" t="s">
        <v>26</v>
      </c>
      <c r="P809">
        <v>100</v>
      </c>
      <c r="Q809">
        <v>160</v>
      </c>
      <c r="R809">
        <v>130</v>
      </c>
      <c r="S809">
        <v>260</v>
      </c>
      <c r="T809">
        <v>54</v>
      </c>
      <c r="U809" t="s">
        <v>27</v>
      </c>
      <c r="V809">
        <f t="shared" si="72"/>
        <v>0.42783505154639173</v>
      </c>
      <c r="W809">
        <f t="shared" si="73"/>
        <v>-47</v>
      </c>
      <c r="X809">
        <f t="shared" si="74"/>
        <v>-66</v>
      </c>
      <c r="Y809">
        <f t="shared" si="75"/>
        <v>0.37113402061855671</v>
      </c>
      <c r="Z809" s="7" t="str">
        <f t="shared" si="76"/>
        <v>Low Sales</v>
      </c>
      <c r="AA809" s="7" t="str">
        <f t="shared" si="77"/>
        <v>High Margin</v>
      </c>
    </row>
    <row r="810" spans="1:27" x14ac:dyDescent="0.25">
      <c r="A810" t="s">
        <v>136</v>
      </c>
      <c r="B810">
        <v>239</v>
      </c>
      <c r="C810">
        <v>-79</v>
      </c>
      <c r="D810" s="1">
        <v>41990</v>
      </c>
      <c r="E810">
        <v>1755</v>
      </c>
      <c r="F810">
        <v>239</v>
      </c>
      <c r="G810" t="s">
        <v>21</v>
      </c>
      <c r="H810" t="s">
        <v>22</v>
      </c>
      <c r="I810">
        <v>66</v>
      </c>
      <c r="J810" t="s">
        <v>40</v>
      </c>
      <c r="K810" t="s">
        <v>41</v>
      </c>
      <c r="L810" t="s">
        <v>42</v>
      </c>
      <c r="M810">
        <v>221</v>
      </c>
      <c r="N810">
        <v>509</v>
      </c>
      <c r="O810" t="s">
        <v>63</v>
      </c>
      <c r="P810">
        <v>340</v>
      </c>
      <c r="Q810">
        <v>370</v>
      </c>
      <c r="R810">
        <v>300</v>
      </c>
      <c r="S810">
        <v>710</v>
      </c>
      <c r="T810">
        <v>90</v>
      </c>
      <c r="U810" t="s">
        <v>27</v>
      </c>
      <c r="V810">
        <f t="shared" si="72"/>
        <v>0.43418467583497056</v>
      </c>
      <c r="W810">
        <f t="shared" si="73"/>
        <v>-79</v>
      </c>
      <c r="X810">
        <f t="shared" si="74"/>
        <v>-201</v>
      </c>
      <c r="Y810">
        <f t="shared" si="75"/>
        <v>0.46954813359528486</v>
      </c>
      <c r="Z810" s="7" t="str">
        <f t="shared" si="76"/>
        <v>High Sales</v>
      </c>
      <c r="AA810" s="7" t="str">
        <f t="shared" si="77"/>
        <v>High Margin</v>
      </c>
    </row>
    <row r="811" spans="1:27" x14ac:dyDescent="0.25">
      <c r="A811" t="s">
        <v>151</v>
      </c>
      <c r="B811">
        <v>54</v>
      </c>
      <c r="C811">
        <v>-52</v>
      </c>
      <c r="D811" s="1">
        <v>41991</v>
      </c>
      <c r="E811">
        <v>404</v>
      </c>
      <c r="F811">
        <v>66</v>
      </c>
      <c r="G811" t="s">
        <v>21</v>
      </c>
      <c r="H811" t="s">
        <v>22</v>
      </c>
      <c r="I811">
        <v>20</v>
      </c>
      <c r="J811" t="s">
        <v>40</v>
      </c>
      <c r="K811" t="s">
        <v>41</v>
      </c>
      <c r="L811" t="s">
        <v>42</v>
      </c>
      <c r="M811">
        <v>18</v>
      </c>
      <c r="N811">
        <v>128</v>
      </c>
      <c r="O811" t="s">
        <v>65</v>
      </c>
      <c r="P811">
        <v>70</v>
      </c>
      <c r="Q811">
        <v>100</v>
      </c>
      <c r="R811">
        <v>70</v>
      </c>
      <c r="S811">
        <v>170</v>
      </c>
      <c r="T811">
        <v>54</v>
      </c>
      <c r="U811" t="s">
        <v>27</v>
      </c>
      <c r="V811">
        <f t="shared" si="72"/>
        <v>0.140625</v>
      </c>
      <c r="W811">
        <f t="shared" si="73"/>
        <v>-52</v>
      </c>
      <c r="X811">
        <f t="shared" si="74"/>
        <v>-42</v>
      </c>
      <c r="Y811">
        <f t="shared" si="75"/>
        <v>0.421875</v>
      </c>
      <c r="Z811" s="7" t="str">
        <f t="shared" si="76"/>
        <v>Low Sales</v>
      </c>
      <c r="AA811" s="7" t="str">
        <f t="shared" si="77"/>
        <v>High Margin</v>
      </c>
    </row>
    <row r="812" spans="1:27" x14ac:dyDescent="0.25">
      <c r="A812" t="s">
        <v>91</v>
      </c>
      <c r="B812">
        <v>123</v>
      </c>
      <c r="C812">
        <v>37</v>
      </c>
      <c r="D812" s="1">
        <v>41992</v>
      </c>
      <c r="E812">
        <v>915</v>
      </c>
      <c r="F812">
        <v>179</v>
      </c>
      <c r="G812" t="s">
        <v>21</v>
      </c>
      <c r="H812" t="s">
        <v>22</v>
      </c>
      <c r="I812">
        <v>34</v>
      </c>
      <c r="J812" t="s">
        <v>40</v>
      </c>
      <c r="K812" t="s">
        <v>45</v>
      </c>
      <c r="L812" t="s">
        <v>50</v>
      </c>
      <c r="M812">
        <v>197</v>
      </c>
      <c r="N812">
        <v>322</v>
      </c>
      <c r="O812" t="s">
        <v>26</v>
      </c>
      <c r="P812">
        <v>120</v>
      </c>
      <c r="Q812">
        <v>180</v>
      </c>
      <c r="R812">
        <v>160</v>
      </c>
      <c r="S812">
        <v>300</v>
      </c>
      <c r="T812">
        <v>46</v>
      </c>
      <c r="U812" t="s">
        <v>35</v>
      </c>
      <c r="V812">
        <f t="shared" si="72"/>
        <v>0.61180124223602483</v>
      </c>
      <c r="W812">
        <f t="shared" si="73"/>
        <v>37</v>
      </c>
      <c r="X812">
        <f t="shared" si="74"/>
        <v>22</v>
      </c>
      <c r="Y812">
        <f t="shared" si="75"/>
        <v>0.38198757763975155</v>
      </c>
      <c r="Z812" s="7" t="str">
        <f t="shared" si="76"/>
        <v>High Sales</v>
      </c>
      <c r="AA812" s="7" t="str">
        <f t="shared" si="77"/>
        <v>High Margin</v>
      </c>
    </row>
    <row r="813" spans="1:27" x14ac:dyDescent="0.25">
      <c r="A813" t="s">
        <v>185</v>
      </c>
      <c r="B813">
        <v>154</v>
      </c>
      <c r="C813">
        <v>18</v>
      </c>
      <c r="D813" s="1">
        <v>41993</v>
      </c>
      <c r="E813">
        <v>1132</v>
      </c>
      <c r="F813">
        <v>213</v>
      </c>
      <c r="G813" t="s">
        <v>21</v>
      </c>
      <c r="H813" t="s">
        <v>22</v>
      </c>
      <c r="I813">
        <v>50</v>
      </c>
      <c r="J813" t="s">
        <v>40</v>
      </c>
      <c r="K813" t="s">
        <v>45</v>
      </c>
      <c r="L813" t="s">
        <v>52</v>
      </c>
      <c r="M813">
        <v>178</v>
      </c>
      <c r="N813">
        <v>391</v>
      </c>
      <c r="O813" t="s">
        <v>63</v>
      </c>
      <c r="P813">
        <v>150</v>
      </c>
      <c r="Q813">
        <v>220</v>
      </c>
      <c r="R813">
        <v>160</v>
      </c>
      <c r="S813">
        <v>370</v>
      </c>
      <c r="T813">
        <v>93</v>
      </c>
      <c r="U813" t="s">
        <v>35</v>
      </c>
      <c r="V813">
        <f t="shared" si="72"/>
        <v>0.45524296675191817</v>
      </c>
      <c r="W813">
        <f t="shared" si="73"/>
        <v>18</v>
      </c>
      <c r="X813">
        <f t="shared" si="74"/>
        <v>21</v>
      </c>
      <c r="Y813">
        <f t="shared" si="75"/>
        <v>0.39386189258312021</v>
      </c>
      <c r="Z813" s="7" t="str">
        <f t="shared" si="76"/>
        <v>High Sales</v>
      </c>
      <c r="AA813" s="7" t="str">
        <f t="shared" si="77"/>
        <v>High Margin</v>
      </c>
    </row>
    <row r="814" spans="1:27" x14ac:dyDescent="0.25">
      <c r="A814" t="s">
        <v>69</v>
      </c>
      <c r="B814">
        <v>76</v>
      </c>
      <c r="C814">
        <v>-53</v>
      </c>
      <c r="D814" s="1">
        <v>41994</v>
      </c>
      <c r="E814">
        <v>580</v>
      </c>
      <c r="F814">
        <v>111</v>
      </c>
      <c r="G814" t="s">
        <v>21</v>
      </c>
      <c r="H814" t="s">
        <v>22</v>
      </c>
      <c r="I814">
        <v>21</v>
      </c>
      <c r="J814" t="s">
        <v>40</v>
      </c>
      <c r="K814" t="s">
        <v>41</v>
      </c>
      <c r="L814" t="s">
        <v>53</v>
      </c>
      <c r="M814">
        <v>117</v>
      </c>
      <c r="N814">
        <v>199</v>
      </c>
      <c r="O814" t="s">
        <v>26</v>
      </c>
      <c r="P814">
        <v>100</v>
      </c>
      <c r="Q814">
        <v>180</v>
      </c>
      <c r="R814">
        <v>170</v>
      </c>
      <c r="S814">
        <v>280</v>
      </c>
      <c r="T814">
        <v>32</v>
      </c>
      <c r="U814" t="s">
        <v>35</v>
      </c>
      <c r="V814">
        <f t="shared" si="72"/>
        <v>0.5879396984924623</v>
      </c>
      <c r="W814">
        <f t="shared" si="73"/>
        <v>-53</v>
      </c>
      <c r="X814">
        <f t="shared" si="74"/>
        <v>-81</v>
      </c>
      <c r="Y814">
        <f t="shared" si="75"/>
        <v>0.38190954773869346</v>
      </c>
      <c r="Z814" s="7" t="str">
        <f t="shared" si="76"/>
        <v>Low Sales</v>
      </c>
      <c r="AA814" s="7" t="str">
        <f t="shared" si="77"/>
        <v>High Margin</v>
      </c>
    </row>
    <row r="815" spans="1:27" x14ac:dyDescent="0.25">
      <c r="A815" t="s">
        <v>150</v>
      </c>
      <c r="B815">
        <v>257</v>
      </c>
      <c r="C815">
        <v>-88</v>
      </c>
      <c r="D815" s="1">
        <v>41995</v>
      </c>
      <c r="E815">
        <v>1662</v>
      </c>
      <c r="F815">
        <v>341</v>
      </c>
      <c r="G815" t="s">
        <v>21</v>
      </c>
      <c r="H815" t="s">
        <v>22</v>
      </c>
      <c r="I815">
        <v>84</v>
      </c>
      <c r="J815" t="s">
        <v>40</v>
      </c>
      <c r="K815" t="s">
        <v>41</v>
      </c>
      <c r="L815" t="s">
        <v>53</v>
      </c>
      <c r="M815">
        <v>332</v>
      </c>
      <c r="N815">
        <v>637</v>
      </c>
      <c r="O815" t="s">
        <v>63</v>
      </c>
      <c r="P815">
        <v>370</v>
      </c>
      <c r="Q815">
        <v>520</v>
      </c>
      <c r="R815">
        <v>420</v>
      </c>
      <c r="S815">
        <v>890</v>
      </c>
      <c r="T815">
        <v>117</v>
      </c>
      <c r="U815" t="s">
        <v>35</v>
      </c>
      <c r="V815">
        <f t="shared" si="72"/>
        <v>0.52119309262166402</v>
      </c>
      <c r="W815">
        <f t="shared" si="73"/>
        <v>-88</v>
      </c>
      <c r="X815">
        <f t="shared" si="74"/>
        <v>-253</v>
      </c>
      <c r="Y815">
        <f t="shared" si="75"/>
        <v>0.40345368916797486</v>
      </c>
      <c r="Z815" s="7" t="str">
        <f t="shared" si="76"/>
        <v>High Sales</v>
      </c>
      <c r="AA815" s="7" t="str">
        <f t="shared" si="77"/>
        <v>High Margin</v>
      </c>
    </row>
    <row r="816" spans="1:27" x14ac:dyDescent="0.25">
      <c r="A816" t="s">
        <v>169</v>
      </c>
      <c r="B816">
        <v>161</v>
      </c>
      <c r="C816">
        <v>-53</v>
      </c>
      <c r="D816" s="1">
        <v>41996</v>
      </c>
      <c r="E816">
        <v>1267</v>
      </c>
      <c r="F816">
        <v>161</v>
      </c>
      <c r="G816" t="s">
        <v>21</v>
      </c>
      <c r="H816" t="s">
        <v>22</v>
      </c>
      <c r="I816">
        <v>45</v>
      </c>
      <c r="J816" t="s">
        <v>40</v>
      </c>
      <c r="K816" t="s">
        <v>41</v>
      </c>
      <c r="L816" t="s">
        <v>53</v>
      </c>
      <c r="M816">
        <v>137</v>
      </c>
      <c r="N816">
        <v>343</v>
      </c>
      <c r="O816" t="s">
        <v>65</v>
      </c>
      <c r="P816">
        <v>230</v>
      </c>
      <c r="Q816">
        <v>240</v>
      </c>
      <c r="R816">
        <v>190</v>
      </c>
      <c r="S816">
        <v>470</v>
      </c>
      <c r="T816">
        <v>69</v>
      </c>
      <c r="U816" t="s">
        <v>35</v>
      </c>
      <c r="V816">
        <f t="shared" si="72"/>
        <v>0.39941690962099125</v>
      </c>
      <c r="W816">
        <f t="shared" si="73"/>
        <v>-53</v>
      </c>
      <c r="X816">
        <f t="shared" si="74"/>
        <v>-127</v>
      </c>
      <c r="Y816">
        <f t="shared" si="75"/>
        <v>0.46938775510204084</v>
      </c>
      <c r="Z816" s="7" t="str">
        <f t="shared" si="76"/>
        <v>High Sales</v>
      </c>
      <c r="AA816" s="7" t="str">
        <f t="shared" si="77"/>
        <v>High Margin</v>
      </c>
    </row>
    <row r="817" spans="1:27" x14ac:dyDescent="0.25">
      <c r="A817" t="s">
        <v>111</v>
      </c>
      <c r="B817">
        <v>161</v>
      </c>
      <c r="C817">
        <v>27</v>
      </c>
      <c r="D817" s="1">
        <v>41997</v>
      </c>
      <c r="E817">
        <v>1267</v>
      </c>
      <c r="F817">
        <v>161</v>
      </c>
      <c r="G817" t="s">
        <v>21</v>
      </c>
      <c r="H817" t="s">
        <v>22</v>
      </c>
      <c r="I817">
        <v>45</v>
      </c>
      <c r="J817" t="s">
        <v>23</v>
      </c>
      <c r="K817" t="s">
        <v>24</v>
      </c>
      <c r="L817" t="s">
        <v>57</v>
      </c>
      <c r="M817">
        <v>137</v>
      </c>
      <c r="N817">
        <v>343</v>
      </c>
      <c r="O817" t="s">
        <v>26</v>
      </c>
      <c r="P817">
        <v>120</v>
      </c>
      <c r="Q817">
        <v>140</v>
      </c>
      <c r="R817">
        <v>110</v>
      </c>
      <c r="S817">
        <v>260</v>
      </c>
      <c r="T817">
        <v>69</v>
      </c>
      <c r="U817" t="s">
        <v>27</v>
      </c>
      <c r="V817">
        <f t="shared" si="72"/>
        <v>0.39941690962099125</v>
      </c>
      <c r="W817">
        <f t="shared" si="73"/>
        <v>27</v>
      </c>
      <c r="X817">
        <f t="shared" si="74"/>
        <v>83</v>
      </c>
      <c r="Y817">
        <f t="shared" si="75"/>
        <v>0.46938775510204084</v>
      </c>
      <c r="Z817" s="7" t="str">
        <f t="shared" si="76"/>
        <v>High Sales</v>
      </c>
      <c r="AA817" s="7" t="str">
        <f t="shared" si="77"/>
        <v>High Margin</v>
      </c>
    </row>
    <row r="818" spans="1:27" x14ac:dyDescent="0.25">
      <c r="A818" t="s">
        <v>120</v>
      </c>
      <c r="B818">
        <v>123</v>
      </c>
      <c r="C818">
        <v>57</v>
      </c>
      <c r="D818" s="1">
        <v>41998</v>
      </c>
      <c r="E818">
        <v>915</v>
      </c>
      <c r="F818">
        <v>179</v>
      </c>
      <c r="G818" t="s">
        <v>21</v>
      </c>
      <c r="H818" t="s">
        <v>22</v>
      </c>
      <c r="I818">
        <v>34</v>
      </c>
      <c r="J818" t="s">
        <v>23</v>
      </c>
      <c r="K818" t="s">
        <v>24</v>
      </c>
      <c r="L818" t="s">
        <v>57</v>
      </c>
      <c r="M818">
        <v>197</v>
      </c>
      <c r="N818">
        <v>322</v>
      </c>
      <c r="O818" t="s">
        <v>63</v>
      </c>
      <c r="P818">
        <v>90</v>
      </c>
      <c r="Q818">
        <v>150</v>
      </c>
      <c r="R818">
        <v>140</v>
      </c>
      <c r="S818">
        <v>240</v>
      </c>
      <c r="T818">
        <v>46</v>
      </c>
      <c r="U818" t="s">
        <v>27</v>
      </c>
      <c r="V818">
        <f t="shared" si="72"/>
        <v>0.61180124223602483</v>
      </c>
      <c r="W818">
        <f t="shared" si="73"/>
        <v>57</v>
      </c>
      <c r="X818">
        <f t="shared" si="74"/>
        <v>82</v>
      </c>
      <c r="Y818">
        <f t="shared" si="75"/>
        <v>0.38198757763975155</v>
      </c>
      <c r="Z818" s="7" t="str">
        <f t="shared" si="76"/>
        <v>High Sales</v>
      </c>
      <c r="AA818" s="7" t="str">
        <f t="shared" si="77"/>
        <v>High Margin</v>
      </c>
    </row>
    <row r="819" spans="1:27" x14ac:dyDescent="0.25">
      <c r="A819" t="s">
        <v>185</v>
      </c>
      <c r="B819">
        <v>108</v>
      </c>
      <c r="C819">
        <v>52</v>
      </c>
      <c r="D819" s="1">
        <v>41999</v>
      </c>
      <c r="E819">
        <v>971</v>
      </c>
      <c r="F819">
        <v>157</v>
      </c>
      <c r="G819" t="s">
        <v>21</v>
      </c>
      <c r="H819" t="s">
        <v>22</v>
      </c>
      <c r="I819">
        <v>30</v>
      </c>
      <c r="J819" t="s">
        <v>23</v>
      </c>
      <c r="K819" t="s">
        <v>24</v>
      </c>
      <c r="L819" t="s">
        <v>28</v>
      </c>
      <c r="M819">
        <v>172</v>
      </c>
      <c r="N819">
        <v>282</v>
      </c>
      <c r="O819" t="s">
        <v>63</v>
      </c>
      <c r="P819">
        <v>80</v>
      </c>
      <c r="Q819">
        <v>130</v>
      </c>
      <c r="R819">
        <v>120</v>
      </c>
      <c r="S819">
        <v>210</v>
      </c>
      <c r="T819">
        <v>41</v>
      </c>
      <c r="U819" t="s">
        <v>27</v>
      </c>
      <c r="V819">
        <f t="shared" si="72"/>
        <v>0.60992907801418439</v>
      </c>
      <c r="W819">
        <f t="shared" si="73"/>
        <v>52</v>
      </c>
      <c r="X819">
        <f t="shared" si="74"/>
        <v>72</v>
      </c>
      <c r="Y819">
        <f t="shared" si="75"/>
        <v>0.38297872340425532</v>
      </c>
      <c r="Z819" s="7" t="str">
        <f t="shared" si="76"/>
        <v>Low Sales</v>
      </c>
      <c r="AA819" s="7" t="str">
        <f t="shared" si="77"/>
        <v>High Margin</v>
      </c>
    </row>
    <row r="820" spans="1:27" x14ac:dyDescent="0.25">
      <c r="A820" t="s">
        <v>151</v>
      </c>
      <c r="B820">
        <v>82</v>
      </c>
      <c r="C820">
        <v>36</v>
      </c>
      <c r="D820" s="1">
        <v>42000</v>
      </c>
      <c r="E820">
        <v>788</v>
      </c>
      <c r="F820">
        <v>123</v>
      </c>
      <c r="G820" t="s">
        <v>21</v>
      </c>
      <c r="H820" t="s">
        <v>22</v>
      </c>
      <c r="I820">
        <v>27</v>
      </c>
      <c r="J820" t="s">
        <v>23</v>
      </c>
      <c r="K820" t="s">
        <v>32</v>
      </c>
      <c r="L820" t="s">
        <v>33</v>
      </c>
      <c r="M820">
        <v>96</v>
      </c>
      <c r="N820">
        <v>218</v>
      </c>
      <c r="O820" t="s">
        <v>65</v>
      </c>
      <c r="P820">
        <v>50</v>
      </c>
      <c r="Q820">
        <v>90</v>
      </c>
      <c r="R820">
        <v>60</v>
      </c>
      <c r="S820">
        <v>140</v>
      </c>
      <c r="T820">
        <v>58</v>
      </c>
      <c r="U820" t="s">
        <v>35</v>
      </c>
      <c r="V820">
        <f t="shared" si="72"/>
        <v>0.44036697247706424</v>
      </c>
      <c r="W820">
        <f t="shared" si="73"/>
        <v>36</v>
      </c>
      <c r="X820">
        <f t="shared" si="74"/>
        <v>78</v>
      </c>
      <c r="Y820">
        <f t="shared" si="75"/>
        <v>0.37614678899082571</v>
      </c>
      <c r="Z820" s="7" t="str">
        <f t="shared" si="76"/>
        <v>Low Sales</v>
      </c>
      <c r="AA820" s="7" t="str">
        <f t="shared" si="77"/>
        <v>High Margin</v>
      </c>
    </row>
    <row r="821" spans="1:27" x14ac:dyDescent="0.25">
      <c r="A821" t="s">
        <v>151</v>
      </c>
      <c r="B821">
        <v>91</v>
      </c>
      <c r="C821">
        <v>33</v>
      </c>
      <c r="D821" s="1">
        <v>42001</v>
      </c>
      <c r="E821">
        <v>656</v>
      </c>
      <c r="F821">
        <v>127</v>
      </c>
      <c r="G821" t="s">
        <v>21</v>
      </c>
      <c r="H821" t="s">
        <v>22</v>
      </c>
      <c r="I821">
        <v>28</v>
      </c>
      <c r="J821" t="s">
        <v>23</v>
      </c>
      <c r="K821" t="s">
        <v>32</v>
      </c>
      <c r="L821" t="s">
        <v>61</v>
      </c>
      <c r="M821">
        <v>113</v>
      </c>
      <c r="N821">
        <v>232</v>
      </c>
      <c r="O821" t="s">
        <v>65</v>
      </c>
      <c r="P821">
        <v>50</v>
      </c>
      <c r="Q821">
        <v>100</v>
      </c>
      <c r="R821">
        <v>80</v>
      </c>
      <c r="S821">
        <v>150</v>
      </c>
      <c r="T821">
        <v>51</v>
      </c>
      <c r="U821" t="s">
        <v>35</v>
      </c>
      <c r="V821">
        <f t="shared" si="72"/>
        <v>0.48706896551724138</v>
      </c>
      <c r="W821">
        <f t="shared" si="73"/>
        <v>33</v>
      </c>
      <c r="X821">
        <f t="shared" si="74"/>
        <v>82</v>
      </c>
      <c r="Y821">
        <f t="shared" si="75"/>
        <v>0.39224137931034481</v>
      </c>
      <c r="Z821" s="7" t="str">
        <f t="shared" si="76"/>
        <v>Low Sales</v>
      </c>
      <c r="AA821" s="7" t="str">
        <f t="shared" si="77"/>
        <v>High Margin</v>
      </c>
    </row>
    <row r="822" spans="1:27" x14ac:dyDescent="0.25">
      <c r="A822" t="s">
        <v>69</v>
      </c>
      <c r="B822">
        <v>90</v>
      </c>
      <c r="C822">
        <v>30</v>
      </c>
      <c r="D822" s="1">
        <v>42002</v>
      </c>
      <c r="E822">
        <v>572</v>
      </c>
      <c r="F822">
        <v>115</v>
      </c>
      <c r="G822" t="s">
        <v>21</v>
      </c>
      <c r="H822" t="s">
        <v>22</v>
      </c>
      <c r="I822">
        <v>29</v>
      </c>
      <c r="J822" t="s">
        <v>23</v>
      </c>
      <c r="K822" t="s">
        <v>32</v>
      </c>
      <c r="L822" t="s">
        <v>37</v>
      </c>
      <c r="M822">
        <v>110</v>
      </c>
      <c r="N822">
        <v>218</v>
      </c>
      <c r="O822" t="s">
        <v>26</v>
      </c>
      <c r="P822">
        <v>50</v>
      </c>
      <c r="Q822">
        <v>90</v>
      </c>
      <c r="R822">
        <v>80</v>
      </c>
      <c r="S822">
        <v>140</v>
      </c>
      <c r="T822">
        <v>41</v>
      </c>
      <c r="U822" t="s">
        <v>35</v>
      </c>
      <c r="V822">
        <f t="shared" si="72"/>
        <v>0.50458715596330272</v>
      </c>
      <c r="W822">
        <f t="shared" si="73"/>
        <v>30</v>
      </c>
      <c r="X822">
        <f t="shared" si="74"/>
        <v>78</v>
      </c>
      <c r="Y822">
        <f t="shared" si="75"/>
        <v>0.41284403669724773</v>
      </c>
      <c r="Z822" s="7" t="str">
        <f t="shared" si="76"/>
        <v>Low Sales</v>
      </c>
      <c r="AA822" s="7" t="str">
        <f t="shared" si="77"/>
        <v>High Margin</v>
      </c>
    </row>
    <row r="823" spans="1:27" x14ac:dyDescent="0.25">
      <c r="A823" t="s">
        <v>145</v>
      </c>
      <c r="B823">
        <v>10</v>
      </c>
      <c r="C823">
        <v>-13</v>
      </c>
      <c r="D823" s="1">
        <v>42003</v>
      </c>
      <c r="E823">
        <v>598</v>
      </c>
      <c r="F823">
        <v>13</v>
      </c>
      <c r="G823" t="s">
        <v>39</v>
      </c>
      <c r="H823" t="s">
        <v>22</v>
      </c>
      <c r="I823">
        <v>3</v>
      </c>
      <c r="J823" t="s">
        <v>40</v>
      </c>
      <c r="K823" t="s">
        <v>45</v>
      </c>
      <c r="L823" t="s">
        <v>46</v>
      </c>
      <c r="M823">
        <v>-3</v>
      </c>
      <c r="N823">
        <v>25</v>
      </c>
      <c r="O823" t="s">
        <v>43</v>
      </c>
      <c r="P823">
        <v>0</v>
      </c>
      <c r="Q823">
        <v>10</v>
      </c>
      <c r="R823">
        <v>10</v>
      </c>
      <c r="S823">
        <v>10</v>
      </c>
      <c r="T823">
        <v>15</v>
      </c>
      <c r="U823" t="s">
        <v>27</v>
      </c>
      <c r="V823">
        <f t="shared" si="72"/>
        <v>-0.12</v>
      </c>
      <c r="W823">
        <f t="shared" si="73"/>
        <v>-13</v>
      </c>
      <c r="X823">
        <f t="shared" si="74"/>
        <v>15</v>
      </c>
      <c r="Y823">
        <f t="shared" si="75"/>
        <v>0.4</v>
      </c>
      <c r="Z823" s="7" t="str">
        <f t="shared" si="76"/>
        <v>Low Sales</v>
      </c>
      <c r="AA823" s="7" t="str">
        <f t="shared" si="77"/>
        <v>High Margin</v>
      </c>
    </row>
    <row r="824" spans="1:27" x14ac:dyDescent="0.25">
      <c r="A824" t="s">
        <v>109</v>
      </c>
      <c r="B824">
        <v>86</v>
      </c>
      <c r="C824">
        <v>-9</v>
      </c>
      <c r="D824" s="1">
        <v>42004</v>
      </c>
      <c r="E824">
        <v>547</v>
      </c>
      <c r="F824">
        <v>116</v>
      </c>
      <c r="G824" t="s">
        <v>39</v>
      </c>
      <c r="H824" t="s">
        <v>22</v>
      </c>
      <c r="I824">
        <v>28</v>
      </c>
      <c r="J824" t="s">
        <v>40</v>
      </c>
      <c r="K824" t="s">
        <v>45</v>
      </c>
      <c r="L824" t="s">
        <v>46</v>
      </c>
      <c r="M824">
        <v>91</v>
      </c>
      <c r="N824">
        <v>215</v>
      </c>
      <c r="O824" t="s">
        <v>59</v>
      </c>
      <c r="P824">
        <v>80</v>
      </c>
      <c r="Q824">
        <v>120</v>
      </c>
      <c r="R824">
        <v>100</v>
      </c>
      <c r="S824">
        <v>200</v>
      </c>
      <c r="T824">
        <v>55</v>
      </c>
      <c r="U824" t="s">
        <v>27</v>
      </c>
      <c r="V824">
        <f t="shared" si="72"/>
        <v>0.42325581395348838</v>
      </c>
      <c r="W824">
        <f t="shared" si="73"/>
        <v>-9</v>
      </c>
      <c r="X824">
        <f t="shared" si="74"/>
        <v>15</v>
      </c>
      <c r="Y824">
        <f t="shared" si="75"/>
        <v>0.4</v>
      </c>
      <c r="Z824" s="7" t="str">
        <f t="shared" si="76"/>
        <v>Low Sales</v>
      </c>
      <c r="AA824" s="7" t="str">
        <f t="shared" si="77"/>
        <v>High Margin</v>
      </c>
    </row>
    <row r="825" spans="1:27" x14ac:dyDescent="0.25">
      <c r="A825" t="s">
        <v>81</v>
      </c>
      <c r="B825">
        <v>79</v>
      </c>
      <c r="C825">
        <v>-18</v>
      </c>
      <c r="D825" s="1">
        <v>42005</v>
      </c>
      <c r="E825">
        <v>593</v>
      </c>
      <c r="F825">
        <v>98</v>
      </c>
      <c r="G825" t="s">
        <v>39</v>
      </c>
      <c r="H825" t="s">
        <v>22</v>
      </c>
      <c r="I825">
        <v>30</v>
      </c>
      <c r="J825" t="s">
        <v>40</v>
      </c>
      <c r="K825" t="s">
        <v>45</v>
      </c>
      <c r="L825" t="s">
        <v>52</v>
      </c>
      <c r="M825">
        <v>52</v>
      </c>
      <c r="N825">
        <v>189</v>
      </c>
      <c r="O825" t="s">
        <v>58</v>
      </c>
      <c r="P825">
        <v>70</v>
      </c>
      <c r="Q825">
        <v>100</v>
      </c>
      <c r="R825">
        <v>70</v>
      </c>
      <c r="S825">
        <v>170</v>
      </c>
      <c r="T825">
        <v>63</v>
      </c>
      <c r="U825" t="s">
        <v>35</v>
      </c>
      <c r="V825">
        <f t="shared" si="72"/>
        <v>0.27513227513227512</v>
      </c>
      <c r="W825">
        <f t="shared" si="73"/>
        <v>-18</v>
      </c>
      <c r="X825">
        <f t="shared" si="74"/>
        <v>19</v>
      </c>
      <c r="Y825">
        <f t="shared" si="75"/>
        <v>0.41798941798941797</v>
      </c>
      <c r="Z825" s="7" t="str">
        <f t="shared" si="76"/>
        <v>Low Sales</v>
      </c>
      <c r="AA825" s="7" t="str">
        <f t="shared" si="77"/>
        <v>High Margin</v>
      </c>
    </row>
    <row r="826" spans="1:27" x14ac:dyDescent="0.25">
      <c r="A826" t="s">
        <v>180</v>
      </c>
      <c r="B826">
        <v>96</v>
      </c>
      <c r="C826">
        <v>-33</v>
      </c>
      <c r="D826" s="1">
        <v>42006</v>
      </c>
      <c r="E826">
        <v>683</v>
      </c>
      <c r="F826">
        <v>134</v>
      </c>
      <c r="G826" t="s">
        <v>39</v>
      </c>
      <c r="H826" t="s">
        <v>22</v>
      </c>
      <c r="I826">
        <v>87</v>
      </c>
      <c r="J826" t="s">
        <v>40</v>
      </c>
      <c r="K826" t="s">
        <v>45</v>
      </c>
      <c r="L826" t="s">
        <v>52</v>
      </c>
      <c r="M826">
        <v>27</v>
      </c>
      <c r="N826">
        <v>245</v>
      </c>
      <c r="O826" t="s">
        <v>59</v>
      </c>
      <c r="P826">
        <v>90</v>
      </c>
      <c r="Q826">
        <v>140</v>
      </c>
      <c r="R826">
        <v>60</v>
      </c>
      <c r="S826">
        <v>230</v>
      </c>
      <c r="T826">
        <v>116</v>
      </c>
      <c r="U826" t="s">
        <v>35</v>
      </c>
      <c r="V826">
        <f t="shared" si="72"/>
        <v>0.11020408163265306</v>
      </c>
      <c r="W826">
        <f t="shared" si="73"/>
        <v>-33</v>
      </c>
      <c r="X826">
        <f t="shared" si="74"/>
        <v>15</v>
      </c>
      <c r="Y826">
        <f t="shared" si="75"/>
        <v>0.39183673469387753</v>
      </c>
      <c r="Z826" s="7" t="str">
        <f t="shared" si="76"/>
        <v>Low Sales</v>
      </c>
      <c r="AA826" s="7" t="str">
        <f t="shared" si="77"/>
        <v>High Margin</v>
      </c>
    </row>
    <row r="827" spans="1:27" x14ac:dyDescent="0.25">
      <c r="A827" t="s">
        <v>81</v>
      </c>
      <c r="B827">
        <v>40</v>
      </c>
      <c r="C827">
        <v>-37</v>
      </c>
      <c r="D827" s="1">
        <v>42007</v>
      </c>
      <c r="E827">
        <v>881</v>
      </c>
      <c r="F827">
        <v>59</v>
      </c>
      <c r="G827" t="s">
        <v>39</v>
      </c>
      <c r="H827" t="s">
        <v>22</v>
      </c>
      <c r="I827">
        <v>11</v>
      </c>
      <c r="J827" t="s">
        <v>40</v>
      </c>
      <c r="K827" t="s">
        <v>41</v>
      </c>
      <c r="L827" t="s">
        <v>53</v>
      </c>
      <c r="M827">
        <v>53</v>
      </c>
      <c r="N827">
        <v>106</v>
      </c>
      <c r="O827" t="s">
        <v>58</v>
      </c>
      <c r="P827">
        <v>50</v>
      </c>
      <c r="Q827">
        <v>90</v>
      </c>
      <c r="R827">
        <v>90</v>
      </c>
      <c r="S827">
        <v>140</v>
      </c>
      <c r="T827">
        <v>23</v>
      </c>
      <c r="U827" t="s">
        <v>35</v>
      </c>
      <c r="V827">
        <f t="shared" si="72"/>
        <v>0.5</v>
      </c>
      <c r="W827">
        <f t="shared" si="73"/>
        <v>-37</v>
      </c>
      <c r="X827">
        <f t="shared" si="74"/>
        <v>-34</v>
      </c>
      <c r="Y827">
        <f t="shared" si="75"/>
        <v>0.37735849056603776</v>
      </c>
      <c r="Z827" s="7" t="str">
        <f t="shared" si="76"/>
        <v>Low Sales</v>
      </c>
      <c r="AA827" s="7" t="str">
        <f t="shared" si="77"/>
        <v>High Margin</v>
      </c>
    </row>
    <row r="828" spans="1:27" x14ac:dyDescent="0.25">
      <c r="A828" t="s">
        <v>82</v>
      </c>
      <c r="B828">
        <v>80</v>
      </c>
      <c r="C828">
        <v>-49</v>
      </c>
      <c r="D828" s="1">
        <v>42008</v>
      </c>
      <c r="E828">
        <v>1055</v>
      </c>
      <c r="F828">
        <v>94</v>
      </c>
      <c r="G828" t="s">
        <v>39</v>
      </c>
      <c r="H828" t="s">
        <v>22</v>
      </c>
      <c r="I828">
        <v>24</v>
      </c>
      <c r="J828" t="s">
        <v>40</v>
      </c>
      <c r="K828" t="s">
        <v>41</v>
      </c>
      <c r="L828" t="s">
        <v>53</v>
      </c>
      <c r="M828">
        <v>71</v>
      </c>
      <c r="N828">
        <v>185</v>
      </c>
      <c r="O828" t="s">
        <v>59</v>
      </c>
      <c r="P828">
        <v>110</v>
      </c>
      <c r="Q828">
        <v>140</v>
      </c>
      <c r="R828">
        <v>120</v>
      </c>
      <c r="S828">
        <v>250</v>
      </c>
      <c r="T828">
        <v>46</v>
      </c>
      <c r="U828" t="s">
        <v>35</v>
      </c>
      <c r="V828">
        <f t="shared" si="72"/>
        <v>0.38378378378378381</v>
      </c>
      <c r="W828">
        <f t="shared" si="73"/>
        <v>-49</v>
      </c>
      <c r="X828">
        <f t="shared" si="74"/>
        <v>-65</v>
      </c>
      <c r="Y828">
        <f t="shared" si="75"/>
        <v>0.43243243243243246</v>
      </c>
      <c r="Z828" s="7" t="str">
        <f t="shared" si="76"/>
        <v>Low Sales</v>
      </c>
      <c r="AA828" s="7" t="str">
        <f t="shared" si="77"/>
        <v>High Margin</v>
      </c>
    </row>
    <row r="829" spans="1:27" x14ac:dyDescent="0.25">
      <c r="A829" t="s">
        <v>134</v>
      </c>
      <c r="B829">
        <v>257</v>
      </c>
      <c r="C829">
        <v>122</v>
      </c>
      <c r="D829" s="1">
        <v>42009</v>
      </c>
      <c r="E829">
        <v>1662</v>
      </c>
      <c r="F829">
        <v>341</v>
      </c>
      <c r="G829" t="s">
        <v>39</v>
      </c>
      <c r="H829" t="s">
        <v>22</v>
      </c>
      <c r="I829">
        <v>84</v>
      </c>
      <c r="J829" t="s">
        <v>23</v>
      </c>
      <c r="K829" t="s">
        <v>24</v>
      </c>
      <c r="L829" t="s">
        <v>57</v>
      </c>
      <c r="M829">
        <v>332</v>
      </c>
      <c r="N829">
        <v>637</v>
      </c>
      <c r="O829" t="s">
        <v>43</v>
      </c>
      <c r="P829">
        <v>200</v>
      </c>
      <c r="Q829">
        <v>280</v>
      </c>
      <c r="R829">
        <v>210</v>
      </c>
      <c r="S829">
        <v>480</v>
      </c>
      <c r="T829">
        <v>117</v>
      </c>
      <c r="U829" t="s">
        <v>27</v>
      </c>
      <c r="V829">
        <f t="shared" si="72"/>
        <v>0.52119309262166402</v>
      </c>
      <c r="W829">
        <f t="shared" si="73"/>
        <v>122</v>
      </c>
      <c r="X829">
        <f t="shared" si="74"/>
        <v>157</v>
      </c>
      <c r="Y829">
        <f t="shared" si="75"/>
        <v>0.40345368916797486</v>
      </c>
      <c r="Z829" s="7" t="str">
        <f t="shared" si="76"/>
        <v>High Sales</v>
      </c>
      <c r="AA829" s="7" t="str">
        <f t="shared" si="77"/>
        <v>High Margin</v>
      </c>
    </row>
    <row r="830" spans="1:27" x14ac:dyDescent="0.25">
      <c r="A830" t="s">
        <v>142</v>
      </c>
      <c r="B830">
        <v>122</v>
      </c>
      <c r="C830">
        <v>39</v>
      </c>
      <c r="D830" s="1">
        <v>42010</v>
      </c>
      <c r="E830">
        <v>789</v>
      </c>
      <c r="F830">
        <v>176</v>
      </c>
      <c r="G830" t="s">
        <v>39</v>
      </c>
      <c r="H830" t="s">
        <v>22</v>
      </c>
      <c r="I830">
        <v>39</v>
      </c>
      <c r="J830" t="s">
        <v>23</v>
      </c>
      <c r="K830" t="s">
        <v>24</v>
      </c>
      <c r="L830" t="s">
        <v>25</v>
      </c>
      <c r="M830">
        <v>169</v>
      </c>
      <c r="N830">
        <v>318</v>
      </c>
      <c r="O830" t="s">
        <v>43</v>
      </c>
      <c r="P830">
        <v>90</v>
      </c>
      <c r="Q830">
        <v>150</v>
      </c>
      <c r="R830">
        <v>130</v>
      </c>
      <c r="S830">
        <v>240</v>
      </c>
      <c r="T830">
        <v>62</v>
      </c>
      <c r="U830" t="s">
        <v>27</v>
      </c>
      <c r="V830">
        <f t="shared" si="72"/>
        <v>0.53144654088050314</v>
      </c>
      <c r="W830">
        <f t="shared" si="73"/>
        <v>39</v>
      </c>
      <c r="X830">
        <f t="shared" si="74"/>
        <v>78</v>
      </c>
      <c r="Y830">
        <f t="shared" si="75"/>
        <v>0.38364779874213839</v>
      </c>
      <c r="Z830" s="7" t="str">
        <f t="shared" si="76"/>
        <v>High Sales</v>
      </c>
      <c r="AA830" s="7" t="str">
        <f t="shared" si="77"/>
        <v>High Margin</v>
      </c>
    </row>
    <row r="831" spans="1:27" x14ac:dyDescent="0.25">
      <c r="A831" t="s">
        <v>108</v>
      </c>
      <c r="B831">
        <v>86</v>
      </c>
      <c r="C831">
        <v>-49</v>
      </c>
      <c r="D831" s="1">
        <v>42011</v>
      </c>
      <c r="E831">
        <v>1698</v>
      </c>
      <c r="F831">
        <v>23</v>
      </c>
      <c r="G831" t="s">
        <v>39</v>
      </c>
      <c r="H831" t="s">
        <v>22</v>
      </c>
      <c r="I831">
        <v>26</v>
      </c>
      <c r="J831" t="s">
        <v>23</v>
      </c>
      <c r="K831" t="s">
        <v>24</v>
      </c>
      <c r="L831" t="s">
        <v>25</v>
      </c>
      <c r="M831">
        <v>-39</v>
      </c>
      <c r="N831">
        <v>116</v>
      </c>
      <c r="O831" t="s">
        <v>58</v>
      </c>
      <c r="P831">
        <v>60</v>
      </c>
      <c r="Q831">
        <v>20</v>
      </c>
      <c r="R831">
        <v>10</v>
      </c>
      <c r="S831">
        <v>80</v>
      </c>
      <c r="T831">
        <v>49</v>
      </c>
      <c r="U831" t="s">
        <v>27</v>
      </c>
      <c r="V831">
        <f t="shared" si="72"/>
        <v>-0.33620689655172414</v>
      </c>
      <c r="W831">
        <f t="shared" si="73"/>
        <v>-49</v>
      </c>
      <c r="X831">
        <f t="shared" si="74"/>
        <v>36</v>
      </c>
      <c r="Y831">
        <f t="shared" si="75"/>
        <v>0.74137931034482762</v>
      </c>
      <c r="Z831" s="7" t="str">
        <f t="shared" si="76"/>
        <v>Low Sales</v>
      </c>
      <c r="AA831" s="7" t="str">
        <f t="shared" si="77"/>
        <v>Low Margin</v>
      </c>
    </row>
    <row r="832" spans="1:27" x14ac:dyDescent="0.25">
      <c r="A832" t="s">
        <v>142</v>
      </c>
      <c r="B832">
        <v>239</v>
      </c>
      <c r="C832">
        <v>111</v>
      </c>
      <c r="D832" s="1">
        <v>42012</v>
      </c>
      <c r="E832">
        <v>1755</v>
      </c>
      <c r="F832">
        <v>239</v>
      </c>
      <c r="G832" t="s">
        <v>39</v>
      </c>
      <c r="H832" t="s">
        <v>22</v>
      </c>
      <c r="I832">
        <v>66</v>
      </c>
      <c r="J832" t="s">
        <v>23</v>
      </c>
      <c r="K832" t="s">
        <v>32</v>
      </c>
      <c r="L832" t="s">
        <v>33</v>
      </c>
      <c r="M832">
        <v>221</v>
      </c>
      <c r="N832">
        <v>509</v>
      </c>
      <c r="O832" t="s">
        <v>43</v>
      </c>
      <c r="P832">
        <v>170</v>
      </c>
      <c r="Q832">
        <v>170</v>
      </c>
      <c r="R832">
        <v>110</v>
      </c>
      <c r="S832">
        <v>340</v>
      </c>
      <c r="T832">
        <v>90</v>
      </c>
      <c r="U832" t="s">
        <v>35</v>
      </c>
      <c r="V832">
        <f t="shared" si="72"/>
        <v>0.43418467583497056</v>
      </c>
      <c r="W832">
        <f t="shared" si="73"/>
        <v>111</v>
      </c>
      <c r="X832">
        <f t="shared" si="74"/>
        <v>169</v>
      </c>
      <c r="Y832">
        <f t="shared" si="75"/>
        <v>0.46954813359528486</v>
      </c>
      <c r="Z832" s="7" t="str">
        <f t="shared" si="76"/>
        <v>High Sales</v>
      </c>
      <c r="AA832" s="7" t="str">
        <f t="shared" si="77"/>
        <v>High Margin</v>
      </c>
    </row>
    <row r="833" spans="1:27" x14ac:dyDescent="0.25">
      <c r="A833" t="s">
        <v>142</v>
      </c>
      <c r="B833">
        <v>255</v>
      </c>
      <c r="C833">
        <v>142</v>
      </c>
      <c r="D833" s="1">
        <v>42013</v>
      </c>
      <c r="E833">
        <v>1756</v>
      </c>
      <c r="F833">
        <v>312</v>
      </c>
      <c r="G833" t="s">
        <v>39</v>
      </c>
      <c r="H833" t="s">
        <v>22</v>
      </c>
      <c r="I833">
        <v>96</v>
      </c>
      <c r="J833" t="s">
        <v>23</v>
      </c>
      <c r="K833" t="s">
        <v>32</v>
      </c>
      <c r="L833" t="s">
        <v>61</v>
      </c>
      <c r="M833">
        <v>272</v>
      </c>
      <c r="N833">
        <v>604</v>
      </c>
      <c r="O833" t="s">
        <v>43</v>
      </c>
      <c r="P833">
        <v>170</v>
      </c>
      <c r="Q833">
        <v>230</v>
      </c>
      <c r="R833">
        <v>130</v>
      </c>
      <c r="S833">
        <v>400</v>
      </c>
      <c r="T833">
        <v>129</v>
      </c>
      <c r="U833" t="s">
        <v>35</v>
      </c>
      <c r="V833">
        <f t="shared" si="72"/>
        <v>0.45033112582781459</v>
      </c>
      <c r="W833">
        <f t="shared" si="73"/>
        <v>142</v>
      </c>
      <c r="X833">
        <f t="shared" si="74"/>
        <v>204</v>
      </c>
      <c r="Y833">
        <f t="shared" si="75"/>
        <v>0.42218543046357615</v>
      </c>
      <c r="Z833" s="7" t="str">
        <f t="shared" si="76"/>
        <v>High Sales</v>
      </c>
      <c r="AA833" s="7" t="str">
        <f t="shared" si="77"/>
        <v>High Margin</v>
      </c>
    </row>
    <row r="834" spans="1:27" x14ac:dyDescent="0.25">
      <c r="A834" t="s">
        <v>81</v>
      </c>
      <c r="B834">
        <v>25</v>
      </c>
      <c r="C834">
        <v>-16</v>
      </c>
      <c r="D834" s="1">
        <v>42014</v>
      </c>
      <c r="E834">
        <v>209</v>
      </c>
      <c r="F834">
        <v>31</v>
      </c>
      <c r="G834" t="s">
        <v>39</v>
      </c>
      <c r="H834" t="s">
        <v>22</v>
      </c>
      <c r="I834">
        <v>9</v>
      </c>
      <c r="J834" t="s">
        <v>23</v>
      </c>
      <c r="K834" t="s">
        <v>32</v>
      </c>
      <c r="L834" t="s">
        <v>61</v>
      </c>
      <c r="M834">
        <v>-16</v>
      </c>
      <c r="N834">
        <v>60</v>
      </c>
      <c r="O834" t="s">
        <v>58</v>
      </c>
      <c r="P834">
        <v>10</v>
      </c>
      <c r="Q834">
        <v>20</v>
      </c>
      <c r="R834">
        <v>0</v>
      </c>
      <c r="S834">
        <v>30</v>
      </c>
      <c r="T834">
        <v>42</v>
      </c>
      <c r="U834" t="s">
        <v>35</v>
      </c>
      <c r="V834">
        <f t="shared" ref="V834:V897" si="78">M834/N834</f>
        <v>-0.26666666666666666</v>
      </c>
      <c r="W834">
        <f t="shared" ref="W834:W897" si="79">M834-R834</f>
        <v>-16</v>
      </c>
      <c r="X834">
        <f t="shared" ref="X834:X897" si="80">N834-S834</f>
        <v>30</v>
      </c>
      <c r="Y834">
        <f t="shared" ref="Y834:Y897" si="81">B834/N834</f>
        <v>0.41666666666666669</v>
      </c>
      <c r="Z834" s="7" t="str">
        <f t="shared" ref="Z834:Z897" si="82">IF(N834&gt;=AVERAGE(N834:N1895),"High Sales","Low Sales")</f>
        <v>Low Sales</v>
      </c>
      <c r="AA834" s="7" t="str">
        <f t="shared" ref="AA834:AA897" si="83">IF(V834&gt;=AVERAGE(V834:V1895), "High Margin", "Low Margin")</f>
        <v>Low Margin</v>
      </c>
    </row>
    <row r="835" spans="1:27" x14ac:dyDescent="0.25">
      <c r="A835" t="s">
        <v>111</v>
      </c>
      <c r="B835">
        <v>81</v>
      </c>
      <c r="C835">
        <v>45</v>
      </c>
      <c r="D835" s="1">
        <v>42015</v>
      </c>
      <c r="E835">
        <v>984</v>
      </c>
      <c r="F835">
        <v>117</v>
      </c>
      <c r="G835" t="s">
        <v>21</v>
      </c>
      <c r="H835" t="s">
        <v>22</v>
      </c>
      <c r="I835">
        <v>22</v>
      </c>
      <c r="J835" t="s">
        <v>40</v>
      </c>
      <c r="K835" t="s">
        <v>45</v>
      </c>
      <c r="L835" t="s">
        <v>46</v>
      </c>
      <c r="M835">
        <v>125</v>
      </c>
      <c r="N835">
        <v>211</v>
      </c>
      <c r="O835" t="s">
        <v>26</v>
      </c>
      <c r="P835">
        <v>80</v>
      </c>
      <c r="Q835">
        <v>110</v>
      </c>
      <c r="R835">
        <v>80</v>
      </c>
      <c r="S835">
        <v>190</v>
      </c>
      <c r="T835">
        <v>33</v>
      </c>
      <c r="U835" t="s">
        <v>27</v>
      </c>
      <c r="V835">
        <f t="shared" si="78"/>
        <v>0.59241706161137442</v>
      </c>
      <c r="W835">
        <f t="shared" si="79"/>
        <v>45</v>
      </c>
      <c r="X835">
        <f t="shared" si="80"/>
        <v>21</v>
      </c>
      <c r="Y835">
        <f t="shared" si="81"/>
        <v>0.38388625592417064</v>
      </c>
      <c r="Z835" s="7" t="str">
        <f t="shared" si="82"/>
        <v>Low Sales</v>
      </c>
      <c r="AA835" s="7" t="str">
        <f t="shared" si="83"/>
        <v>High Margin</v>
      </c>
    </row>
    <row r="836" spans="1:27" x14ac:dyDescent="0.25">
      <c r="A836" t="s">
        <v>92</v>
      </c>
      <c r="B836">
        <v>113</v>
      </c>
      <c r="C836">
        <v>47</v>
      </c>
      <c r="D836" s="1">
        <v>42016</v>
      </c>
      <c r="E836">
        <v>803</v>
      </c>
      <c r="F836">
        <v>165</v>
      </c>
      <c r="G836" t="s">
        <v>21</v>
      </c>
      <c r="H836" t="s">
        <v>22</v>
      </c>
      <c r="I836">
        <v>36</v>
      </c>
      <c r="J836" t="s">
        <v>40</v>
      </c>
      <c r="K836" t="s">
        <v>45</v>
      </c>
      <c r="L836" t="s">
        <v>46</v>
      </c>
      <c r="M836">
        <v>157</v>
      </c>
      <c r="N836">
        <v>296</v>
      </c>
      <c r="O836" t="s">
        <v>63</v>
      </c>
      <c r="P836">
        <v>110</v>
      </c>
      <c r="Q836">
        <v>160</v>
      </c>
      <c r="R836">
        <v>110</v>
      </c>
      <c r="S836">
        <v>270</v>
      </c>
      <c r="T836">
        <v>59</v>
      </c>
      <c r="U836" t="s">
        <v>27</v>
      </c>
      <c r="V836">
        <f t="shared" si="78"/>
        <v>0.53040540540540537</v>
      </c>
      <c r="W836">
        <f t="shared" si="79"/>
        <v>47</v>
      </c>
      <c r="X836">
        <f t="shared" si="80"/>
        <v>26</v>
      </c>
      <c r="Y836">
        <f t="shared" si="81"/>
        <v>0.38175675675675674</v>
      </c>
      <c r="Z836" s="7" t="str">
        <f t="shared" si="82"/>
        <v>High Sales</v>
      </c>
      <c r="AA836" s="7" t="str">
        <f t="shared" si="83"/>
        <v>High Margin</v>
      </c>
    </row>
    <row r="837" spans="1:27" x14ac:dyDescent="0.25">
      <c r="A837" t="s">
        <v>69</v>
      </c>
      <c r="B837">
        <v>75</v>
      </c>
      <c r="C837">
        <v>-14</v>
      </c>
      <c r="D837" s="1">
        <v>42017</v>
      </c>
      <c r="E837">
        <v>659</v>
      </c>
      <c r="F837">
        <v>114</v>
      </c>
      <c r="G837" t="s">
        <v>21</v>
      </c>
      <c r="H837" t="s">
        <v>22</v>
      </c>
      <c r="I837">
        <v>24</v>
      </c>
      <c r="J837" t="s">
        <v>40</v>
      </c>
      <c r="K837" t="s">
        <v>41</v>
      </c>
      <c r="L837" t="s">
        <v>42</v>
      </c>
      <c r="M837">
        <v>86</v>
      </c>
      <c r="N837">
        <v>201</v>
      </c>
      <c r="O837" t="s">
        <v>26</v>
      </c>
      <c r="P837">
        <v>90</v>
      </c>
      <c r="Q837">
        <v>150</v>
      </c>
      <c r="R837">
        <v>100</v>
      </c>
      <c r="S837">
        <v>240</v>
      </c>
      <c r="T837">
        <v>56</v>
      </c>
      <c r="U837" t="s">
        <v>27</v>
      </c>
      <c r="V837">
        <f t="shared" si="78"/>
        <v>0.42786069651741293</v>
      </c>
      <c r="W837">
        <f t="shared" si="79"/>
        <v>-14</v>
      </c>
      <c r="X837">
        <f t="shared" si="80"/>
        <v>-39</v>
      </c>
      <c r="Y837">
        <f t="shared" si="81"/>
        <v>0.37313432835820898</v>
      </c>
      <c r="Z837" s="7" t="str">
        <f t="shared" si="82"/>
        <v>Low Sales</v>
      </c>
      <c r="AA837" s="7" t="str">
        <f t="shared" si="83"/>
        <v>High Margin</v>
      </c>
    </row>
    <row r="838" spans="1:27" x14ac:dyDescent="0.25">
      <c r="A838" t="s">
        <v>92</v>
      </c>
      <c r="B838">
        <v>211</v>
      </c>
      <c r="C838">
        <v>-9</v>
      </c>
      <c r="D838" s="1">
        <v>42018</v>
      </c>
      <c r="E838">
        <v>1778</v>
      </c>
      <c r="F838">
        <v>212</v>
      </c>
      <c r="G838" t="s">
        <v>21</v>
      </c>
      <c r="H838" t="s">
        <v>22</v>
      </c>
      <c r="I838">
        <v>59</v>
      </c>
      <c r="J838" t="s">
        <v>40</v>
      </c>
      <c r="K838" t="s">
        <v>41</v>
      </c>
      <c r="L838" t="s">
        <v>42</v>
      </c>
      <c r="M838">
        <v>191</v>
      </c>
      <c r="N838">
        <v>451</v>
      </c>
      <c r="O838" t="s">
        <v>63</v>
      </c>
      <c r="P838">
        <v>270</v>
      </c>
      <c r="Q838">
        <v>270</v>
      </c>
      <c r="R838">
        <v>200</v>
      </c>
      <c r="S838">
        <v>540</v>
      </c>
      <c r="T838">
        <v>83</v>
      </c>
      <c r="U838" t="s">
        <v>27</v>
      </c>
      <c r="V838">
        <f t="shared" si="78"/>
        <v>0.42350332594235035</v>
      </c>
      <c r="W838">
        <f t="shared" si="79"/>
        <v>-9</v>
      </c>
      <c r="X838">
        <f t="shared" si="80"/>
        <v>-89</v>
      </c>
      <c r="Y838">
        <f t="shared" si="81"/>
        <v>0.46784922394678491</v>
      </c>
      <c r="Z838" s="7" t="str">
        <f t="shared" si="82"/>
        <v>High Sales</v>
      </c>
      <c r="AA838" s="7" t="str">
        <f t="shared" si="83"/>
        <v>High Margin</v>
      </c>
    </row>
    <row r="839" spans="1:27" x14ac:dyDescent="0.25">
      <c r="A839" t="s">
        <v>91</v>
      </c>
      <c r="B839">
        <v>118</v>
      </c>
      <c r="C839">
        <v>60</v>
      </c>
      <c r="D839" s="1">
        <v>42019</v>
      </c>
      <c r="E839">
        <v>930</v>
      </c>
      <c r="F839">
        <v>172</v>
      </c>
      <c r="G839" t="s">
        <v>21</v>
      </c>
      <c r="H839" t="s">
        <v>22</v>
      </c>
      <c r="I839">
        <v>33</v>
      </c>
      <c r="J839" t="s">
        <v>40</v>
      </c>
      <c r="K839" t="s">
        <v>45</v>
      </c>
      <c r="L839" t="s">
        <v>50</v>
      </c>
      <c r="M839">
        <v>190</v>
      </c>
      <c r="N839">
        <v>309</v>
      </c>
      <c r="O839" t="s">
        <v>26</v>
      </c>
      <c r="P839">
        <v>110</v>
      </c>
      <c r="Q839">
        <v>170</v>
      </c>
      <c r="R839">
        <v>130</v>
      </c>
      <c r="S839">
        <v>280</v>
      </c>
      <c r="T839">
        <v>44</v>
      </c>
      <c r="U839" t="s">
        <v>35</v>
      </c>
      <c r="V839">
        <f t="shared" si="78"/>
        <v>0.61488673139158578</v>
      </c>
      <c r="W839">
        <f t="shared" si="79"/>
        <v>60</v>
      </c>
      <c r="X839">
        <f t="shared" si="80"/>
        <v>29</v>
      </c>
      <c r="Y839">
        <f t="shared" si="81"/>
        <v>0.3818770226537217</v>
      </c>
      <c r="Z839" s="7" t="str">
        <f t="shared" si="82"/>
        <v>High Sales</v>
      </c>
      <c r="AA839" s="7" t="str">
        <f t="shared" si="83"/>
        <v>High Margin</v>
      </c>
    </row>
    <row r="840" spans="1:27" x14ac:dyDescent="0.25">
      <c r="A840" t="s">
        <v>185</v>
      </c>
      <c r="B840">
        <v>173</v>
      </c>
      <c r="C840">
        <v>66</v>
      </c>
      <c r="D840" s="1">
        <v>42020</v>
      </c>
      <c r="E840">
        <v>1150</v>
      </c>
      <c r="F840">
        <v>239</v>
      </c>
      <c r="G840" t="s">
        <v>21</v>
      </c>
      <c r="H840" t="s">
        <v>22</v>
      </c>
      <c r="I840">
        <v>57</v>
      </c>
      <c r="J840" t="s">
        <v>40</v>
      </c>
      <c r="K840" t="s">
        <v>45</v>
      </c>
      <c r="L840" t="s">
        <v>52</v>
      </c>
      <c r="M840">
        <v>206</v>
      </c>
      <c r="N840">
        <v>439</v>
      </c>
      <c r="O840" t="s">
        <v>63</v>
      </c>
      <c r="P840">
        <v>170</v>
      </c>
      <c r="Q840">
        <v>230</v>
      </c>
      <c r="R840">
        <v>140</v>
      </c>
      <c r="S840">
        <v>400</v>
      </c>
      <c r="T840">
        <v>100</v>
      </c>
      <c r="U840" t="s">
        <v>35</v>
      </c>
      <c r="V840">
        <f t="shared" si="78"/>
        <v>0.46924829157175396</v>
      </c>
      <c r="W840">
        <f t="shared" si="79"/>
        <v>66</v>
      </c>
      <c r="X840">
        <f t="shared" si="80"/>
        <v>39</v>
      </c>
      <c r="Y840">
        <f t="shared" si="81"/>
        <v>0.39407744874715261</v>
      </c>
      <c r="Z840" s="7" t="str">
        <f t="shared" si="82"/>
        <v>High Sales</v>
      </c>
      <c r="AA840" s="7" t="str">
        <f t="shared" si="83"/>
        <v>High Margin</v>
      </c>
    </row>
    <row r="841" spans="1:27" x14ac:dyDescent="0.25">
      <c r="A841" t="s">
        <v>68</v>
      </c>
      <c r="B841">
        <v>50</v>
      </c>
      <c r="C841">
        <v>1</v>
      </c>
      <c r="D841" s="1">
        <v>42021</v>
      </c>
      <c r="E841">
        <v>589</v>
      </c>
      <c r="F841">
        <v>73</v>
      </c>
      <c r="G841" t="s">
        <v>21</v>
      </c>
      <c r="H841" t="s">
        <v>22</v>
      </c>
      <c r="I841">
        <v>14</v>
      </c>
      <c r="J841" t="s">
        <v>40</v>
      </c>
      <c r="K841" t="s">
        <v>41</v>
      </c>
      <c r="L841" t="s">
        <v>53</v>
      </c>
      <c r="M841">
        <v>71</v>
      </c>
      <c r="N841">
        <v>131</v>
      </c>
      <c r="O841" t="s">
        <v>26</v>
      </c>
      <c r="P841">
        <v>60</v>
      </c>
      <c r="Q841">
        <v>90</v>
      </c>
      <c r="R841">
        <v>70</v>
      </c>
      <c r="S841">
        <v>150</v>
      </c>
      <c r="T841">
        <v>25</v>
      </c>
      <c r="U841" t="s">
        <v>35</v>
      </c>
      <c r="V841">
        <f t="shared" si="78"/>
        <v>0.5419847328244275</v>
      </c>
      <c r="W841">
        <f t="shared" si="79"/>
        <v>1</v>
      </c>
      <c r="X841">
        <f t="shared" si="80"/>
        <v>-19</v>
      </c>
      <c r="Y841">
        <f t="shared" si="81"/>
        <v>0.38167938931297712</v>
      </c>
      <c r="Z841" s="7" t="str">
        <f t="shared" si="82"/>
        <v>Low Sales</v>
      </c>
      <c r="AA841" s="7" t="str">
        <f t="shared" si="83"/>
        <v>High Margin</v>
      </c>
    </row>
    <row r="842" spans="1:27" x14ac:dyDescent="0.25">
      <c r="A842" t="s">
        <v>157</v>
      </c>
      <c r="B842">
        <v>228</v>
      </c>
      <c r="C842">
        <v>1</v>
      </c>
      <c r="D842" s="1">
        <v>42022</v>
      </c>
      <c r="E842">
        <v>1691</v>
      </c>
      <c r="F842">
        <v>304</v>
      </c>
      <c r="G842" t="s">
        <v>21</v>
      </c>
      <c r="H842" t="s">
        <v>22</v>
      </c>
      <c r="I842">
        <v>75</v>
      </c>
      <c r="J842" t="s">
        <v>40</v>
      </c>
      <c r="K842" t="s">
        <v>41</v>
      </c>
      <c r="L842" t="s">
        <v>53</v>
      </c>
      <c r="M842">
        <v>291</v>
      </c>
      <c r="N842">
        <v>567</v>
      </c>
      <c r="O842" t="s">
        <v>63</v>
      </c>
      <c r="P842">
        <v>290</v>
      </c>
      <c r="Q842">
        <v>390</v>
      </c>
      <c r="R842">
        <v>290</v>
      </c>
      <c r="S842">
        <v>680</v>
      </c>
      <c r="T842">
        <v>108</v>
      </c>
      <c r="U842" t="s">
        <v>35</v>
      </c>
      <c r="V842">
        <f t="shared" si="78"/>
        <v>0.51322751322751325</v>
      </c>
      <c r="W842">
        <f t="shared" si="79"/>
        <v>1</v>
      </c>
      <c r="X842">
        <f t="shared" si="80"/>
        <v>-113</v>
      </c>
      <c r="Y842">
        <f t="shared" si="81"/>
        <v>0.40211640211640209</v>
      </c>
      <c r="Z842" s="7" t="str">
        <f t="shared" si="82"/>
        <v>High Sales</v>
      </c>
      <c r="AA842" s="7" t="str">
        <f t="shared" si="83"/>
        <v>High Margin</v>
      </c>
    </row>
    <row r="843" spans="1:27" x14ac:dyDescent="0.25">
      <c r="A843" t="s">
        <v>172</v>
      </c>
      <c r="B843">
        <v>181</v>
      </c>
      <c r="C843">
        <v>-11</v>
      </c>
      <c r="D843" s="1">
        <v>42023</v>
      </c>
      <c r="E843">
        <v>1283</v>
      </c>
      <c r="F843">
        <v>182</v>
      </c>
      <c r="G843" t="s">
        <v>21</v>
      </c>
      <c r="H843" t="s">
        <v>22</v>
      </c>
      <c r="I843">
        <v>50</v>
      </c>
      <c r="J843" t="s">
        <v>40</v>
      </c>
      <c r="K843" t="s">
        <v>41</v>
      </c>
      <c r="L843" t="s">
        <v>53</v>
      </c>
      <c r="M843">
        <v>159</v>
      </c>
      <c r="N843">
        <v>387</v>
      </c>
      <c r="O843" t="s">
        <v>65</v>
      </c>
      <c r="P843">
        <v>230</v>
      </c>
      <c r="Q843">
        <v>230</v>
      </c>
      <c r="R843">
        <v>170</v>
      </c>
      <c r="S843">
        <v>460</v>
      </c>
      <c r="T843">
        <v>75</v>
      </c>
      <c r="U843" t="s">
        <v>35</v>
      </c>
      <c r="V843">
        <f t="shared" si="78"/>
        <v>0.41085271317829458</v>
      </c>
      <c r="W843">
        <f t="shared" si="79"/>
        <v>-11</v>
      </c>
      <c r="X843">
        <f t="shared" si="80"/>
        <v>-73</v>
      </c>
      <c r="Y843">
        <f t="shared" si="81"/>
        <v>0.46770025839793283</v>
      </c>
      <c r="Z843" s="7" t="str">
        <f t="shared" si="82"/>
        <v>High Sales</v>
      </c>
      <c r="AA843" s="7" t="str">
        <f t="shared" si="83"/>
        <v>High Margin</v>
      </c>
    </row>
    <row r="844" spans="1:27" x14ac:dyDescent="0.25">
      <c r="A844" t="s">
        <v>69</v>
      </c>
      <c r="B844">
        <v>181</v>
      </c>
      <c r="C844">
        <v>59</v>
      </c>
      <c r="D844" s="1">
        <v>42024</v>
      </c>
      <c r="E844">
        <v>1283</v>
      </c>
      <c r="F844">
        <v>182</v>
      </c>
      <c r="G844" t="s">
        <v>21</v>
      </c>
      <c r="H844" t="s">
        <v>22</v>
      </c>
      <c r="I844">
        <v>50</v>
      </c>
      <c r="J844" t="s">
        <v>23</v>
      </c>
      <c r="K844" t="s">
        <v>24</v>
      </c>
      <c r="L844" t="s">
        <v>57</v>
      </c>
      <c r="M844">
        <v>159</v>
      </c>
      <c r="N844">
        <v>387</v>
      </c>
      <c r="O844" t="s">
        <v>26</v>
      </c>
      <c r="P844">
        <v>170</v>
      </c>
      <c r="Q844">
        <v>160</v>
      </c>
      <c r="R844">
        <v>100</v>
      </c>
      <c r="S844">
        <v>330</v>
      </c>
      <c r="T844">
        <v>75</v>
      </c>
      <c r="U844" t="s">
        <v>27</v>
      </c>
      <c r="V844">
        <f t="shared" si="78"/>
        <v>0.41085271317829458</v>
      </c>
      <c r="W844">
        <f t="shared" si="79"/>
        <v>59</v>
      </c>
      <c r="X844">
        <f t="shared" si="80"/>
        <v>57</v>
      </c>
      <c r="Y844">
        <f t="shared" si="81"/>
        <v>0.46770025839793283</v>
      </c>
      <c r="Z844" s="7" t="str">
        <f t="shared" si="82"/>
        <v>High Sales</v>
      </c>
      <c r="AA844" s="7" t="str">
        <f t="shared" si="83"/>
        <v>High Margin</v>
      </c>
    </row>
    <row r="845" spans="1:27" x14ac:dyDescent="0.25">
      <c r="A845" t="s">
        <v>120</v>
      </c>
      <c r="B845">
        <v>118</v>
      </c>
      <c r="C845">
        <v>78</v>
      </c>
      <c r="D845" s="1">
        <v>42025</v>
      </c>
      <c r="E845">
        <v>930</v>
      </c>
      <c r="F845">
        <v>172</v>
      </c>
      <c r="G845" t="s">
        <v>21</v>
      </c>
      <c r="H845" t="s">
        <v>22</v>
      </c>
      <c r="I845">
        <v>33</v>
      </c>
      <c r="J845" t="s">
        <v>23</v>
      </c>
      <c r="K845" t="s">
        <v>24</v>
      </c>
      <c r="L845" t="s">
        <v>57</v>
      </c>
      <c r="M845">
        <v>188</v>
      </c>
      <c r="N845">
        <v>309</v>
      </c>
      <c r="O845" t="s">
        <v>63</v>
      </c>
      <c r="P845">
        <v>110</v>
      </c>
      <c r="Q845">
        <v>150</v>
      </c>
      <c r="R845">
        <v>110</v>
      </c>
      <c r="S845">
        <v>260</v>
      </c>
      <c r="T845">
        <v>45</v>
      </c>
      <c r="U845" t="s">
        <v>27</v>
      </c>
      <c r="V845">
        <f t="shared" si="78"/>
        <v>0.60841423948220064</v>
      </c>
      <c r="W845">
        <f t="shared" si="79"/>
        <v>78</v>
      </c>
      <c r="X845">
        <f t="shared" si="80"/>
        <v>49</v>
      </c>
      <c r="Y845">
        <f t="shared" si="81"/>
        <v>0.3818770226537217</v>
      </c>
      <c r="Z845" s="7" t="str">
        <f t="shared" si="82"/>
        <v>High Sales</v>
      </c>
      <c r="AA845" s="7" t="str">
        <f t="shared" si="83"/>
        <v>High Margin</v>
      </c>
    </row>
    <row r="846" spans="1:27" x14ac:dyDescent="0.25">
      <c r="A846" t="s">
        <v>120</v>
      </c>
      <c r="B846">
        <v>81</v>
      </c>
      <c r="C846">
        <v>45</v>
      </c>
      <c r="D846" s="1">
        <v>42026</v>
      </c>
      <c r="E846">
        <v>984</v>
      </c>
      <c r="F846">
        <v>117</v>
      </c>
      <c r="G846" t="s">
        <v>21</v>
      </c>
      <c r="H846" t="s">
        <v>22</v>
      </c>
      <c r="I846">
        <v>22</v>
      </c>
      <c r="J846" t="s">
        <v>23</v>
      </c>
      <c r="K846" t="s">
        <v>24</v>
      </c>
      <c r="L846" t="s">
        <v>28</v>
      </c>
      <c r="M846">
        <v>125</v>
      </c>
      <c r="N846">
        <v>211</v>
      </c>
      <c r="O846" t="s">
        <v>63</v>
      </c>
      <c r="P846">
        <v>70</v>
      </c>
      <c r="Q846">
        <v>110</v>
      </c>
      <c r="R846">
        <v>80</v>
      </c>
      <c r="S846">
        <v>180</v>
      </c>
      <c r="T846">
        <v>33</v>
      </c>
      <c r="U846" t="s">
        <v>27</v>
      </c>
      <c r="V846">
        <f t="shared" si="78"/>
        <v>0.59241706161137442</v>
      </c>
      <c r="W846">
        <f t="shared" si="79"/>
        <v>45</v>
      </c>
      <c r="X846">
        <f t="shared" si="80"/>
        <v>31</v>
      </c>
      <c r="Y846">
        <f t="shared" si="81"/>
        <v>0.38388625592417064</v>
      </c>
      <c r="Z846" s="7" t="str">
        <f t="shared" si="82"/>
        <v>Low Sales</v>
      </c>
      <c r="AA846" s="7" t="str">
        <f t="shared" si="83"/>
        <v>High Margin</v>
      </c>
    </row>
    <row r="847" spans="1:27" x14ac:dyDescent="0.25">
      <c r="A847" t="s">
        <v>137</v>
      </c>
      <c r="B847">
        <v>78</v>
      </c>
      <c r="C847">
        <v>32</v>
      </c>
      <c r="D847" s="1">
        <v>42027</v>
      </c>
      <c r="E847">
        <v>798</v>
      </c>
      <c r="F847">
        <v>119</v>
      </c>
      <c r="G847" t="s">
        <v>21</v>
      </c>
      <c r="H847" t="s">
        <v>22</v>
      </c>
      <c r="I847">
        <v>25</v>
      </c>
      <c r="J847" t="s">
        <v>23</v>
      </c>
      <c r="K847" t="s">
        <v>32</v>
      </c>
      <c r="L847" t="s">
        <v>33</v>
      </c>
      <c r="M847">
        <v>92</v>
      </c>
      <c r="N847">
        <v>210</v>
      </c>
      <c r="O847" t="s">
        <v>65</v>
      </c>
      <c r="P847">
        <v>60</v>
      </c>
      <c r="Q847">
        <v>100</v>
      </c>
      <c r="R847">
        <v>60</v>
      </c>
      <c r="S847">
        <v>160</v>
      </c>
      <c r="T847">
        <v>57</v>
      </c>
      <c r="U847" t="s">
        <v>35</v>
      </c>
      <c r="V847">
        <f t="shared" si="78"/>
        <v>0.43809523809523809</v>
      </c>
      <c r="W847">
        <f t="shared" si="79"/>
        <v>32</v>
      </c>
      <c r="X847">
        <f t="shared" si="80"/>
        <v>50</v>
      </c>
      <c r="Y847">
        <f t="shared" si="81"/>
        <v>0.37142857142857144</v>
      </c>
      <c r="Z847" s="7" t="str">
        <f t="shared" si="82"/>
        <v>Low Sales</v>
      </c>
      <c r="AA847" s="7" t="str">
        <f t="shared" si="83"/>
        <v>High Margin</v>
      </c>
    </row>
    <row r="848" spans="1:27" x14ac:dyDescent="0.25">
      <c r="A848" t="s">
        <v>171</v>
      </c>
      <c r="B848">
        <v>75</v>
      </c>
      <c r="C848">
        <v>38</v>
      </c>
      <c r="D848" s="1">
        <v>42028</v>
      </c>
      <c r="E848">
        <v>659</v>
      </c>
      <c r="F848">
        <v>114</v>
      </c>
      <c r="G848" t="s">
        <v>21</v>
      </c>
      <c r="H848" t="s">
        <v>22</v>
      </c>
      <c r="I848">
        <v>24</v>
      </c>
      <c r="J848" t="s">
        <v>23</v>
      </c>
      <c r="K848" t="s">
        <v>32</v>
      </c>
      <c r="L848" t="s">
        <v>61</v>
      </c>
      <c r="M848">
        <v>88</v>
      </c>
      <c r="N848">
        <v>201</v>
      </c>
      <c r="O848" t="s">
        <v>63</v>
      </c>
      <c r="P848">
        <v>60</v>
      </c>
      <c r="Q848">
        <v>90</v>
      </c>
      <c r="R848">
        <v>50</v>
      </c>
      <c r="S848">
        <v>150</v>
      </c>
      <c r="T848">
        <v>55</v>
      </c>
      <c r="U848" t="s">
        <v>35</v>
      </c>
      <c r="V848">
        <f t="shared" si="78"/>
        <v>0.43781094527363185</v>
      </c>
      <c r="W848">
        <f t="shared" si="79"/>
        <v>38</v>
      </c>
      <c r="X848">
        <f t="shared" si="80"/>
        <v>51</v>
      </c>
      <c r="Y848">
        <f t="shared" si="81"/>
        <v>0.37313432835820898</v>
      </c>
      <c r="Z848" s="7" t="str">
        <f t="shared" si="82"/>
        <v>Low Sales</v>
      </c>
      <c r="AA848" s="7" t="str">
        <f t="shared" si="83"/>
        <v>High Margin</v>
      </c>
    </row>
    <row r="849" spans="1:27" x14ac:dyDescent="0.25">
      <c r="A849" t="s">
        <v>181</v>
      </c>
      <c r="B849">
        <v>102</v>
      </c>
      <c r="C849">
        <v>62</v>
      </c>
      <c r="D849" s="1">
        <v>42029</v>
      </c>
      <c r="E849">
        <v>666</v>
      </c>
      <c r="F849">
        <v>143</v>
      </c>
      <c r="G849" t="s">
        <v>21</v>
      </c>
      <c r="H849" t="s">
        <v>22</v>
      </c>
      <c r="I849">
        <v>31</v>
      </c>
      <c r="J849" t="s">
        <v>23</v>
      </c>
      <c r="K849" t="s">
        <v>32</v>
      </c>
      <c r="L849" t="s">
        <v>61</v>
      </c>
      <c r="M849">
        <v>132</v>
      </c>
      <c r="N849">
        <v>261</v>
      </c>
      <c r="O849" t="s">
        <v>65</v>
      </c>
      <c r="P849">
        <v>80</v>
      </c>
      <c r="Q849">
        <v>120</v>
      </c>
      <c r="R849">
        <v>70</v>
      </c>
      <c r="S849">
        <v>200</v>
      </c>
      <c r="T849">
        <v>54</v>
      </c>
      <c r="U849" t="s">
        <v>35</v>
      </c>
      <c r="V849">
        <f t="shared" si="78"/>
        <v>0.50574712643678166</v>
      </c>
      <c r="W849">
        <f t="shared" si="79"/>
        <v>62</v>
      </c>
      <c r="X849">
        <f t="shared" si="80"/>
        <v>61</v>
      </c>
      <c r="Y849">
        <f t="shared" si="81"/>
        <v>0.39080459770114945</v>
      </c>
      <c r="Z849" s="7" t="str">
        <f t="shared" si="82"/>
        <v>Low Sales</v>
      </c>
      <c r="AA849" s="7" t="str">
        <f t="shared" si="83"/>
        <v>High Margin</v>
      </c>
    </row>
    <row r="850" spans="1:27" x14ac:dyDescent="0.25">
      <c r="A850" t="s">
        <v>69</v>
      </c>
      <c r="B850">
        <v>88</v>
      </c>
      <c r="C850">
        <v>44</v>
      </c>
      <c r="D850" s="1">
        <v>42030</v>
      </c>
      <c r="E850">
        <v>561</v>
      </c>
      <c r="F850">
        <v>112</v>
      </c>
      <c r="G850" t="s">
        <v>21</v>
      </c>
      <c r="H850" t="s">
        <v>22</v>
      </c>
      <c r="I850">
        <v>29</v>
      </c>
      <c r="J850" t="s">
        <v>23</v>
      </c>
      <c r="K850" t="s">
        <v>32</v>
      </c>
      <c r="L850" t="s">
        <v>37</v>
      </c>
      <c r="M850">
        <v>104</v>
      </c>
      <c r="N850">
        <v>213</v>
      </c>
      <c r="O850" t="s">
        <v>26</v>
      </c>
      <c r="P850">
        <v>70</v>
      </c>
      <c r="Q850">
        <v>90</v>
      </c>
      <c r="R850">
        <v>60</v>
      </c>
      <c r="S850">
        <v>160</v>
      </c>
      <c r="T850">
        <v>42</v>
      </c>
      <c r="U850" t="s">
        <v>35</v>
      </c>
      <c r="V850">
        <f t="shared" si="78"/>
        <v>0.48826291079812206</v>
      </c>
      <c r="W850">
        <f t="shared" si="79"/>
        <v>44</v>
      </c>
      <c r="X850">
        <f t="shared" si="80"/>
        <v>53</v>
      </c>
      <c r="Y850">
        <f t="shared" si="81"/>
        <v>0.41314553990610331</v>
      </c>
      <c r="Z850" s="7" t="str">
        <f t="shared" si="82"/>
        <v>Low Sales</v>
      </c>
      <c r="AA850" s="7" t="str">
        <f t="shared" si="83"/>
        <v>High Margin</v>
      </c>
    </row>
    <row r="851" spans="1:27" x14ac:dyDescent="0.25">
      <c r="A851" t="s">
        <v>134</v>
      </c>
      <c r="B851">
        <v>10</v>
      </c>
      <c r="C851">
        <v>-14</v>
      </c>
      <c r="D851" s="1">
        <v>42031</v>
      </c>
      <c r="E851">
        <v>596</v>
      </c>
      <c r="F851">
        <v>13</v>
      </c>
      <c r="G851" t="s">
        <v>39</v>
      </c>
      <c r="H851" t="s">
        <v>22</v>
      </c>
      <c r="I851">
        <v>3</v>
      </c>
      <c r="J851" t="s">
        <v>40</v>
      </c>
      <c r="K851" t="s">
        <v>45</v>
      </c>
      <c r="L851" t="s">
        <v>46</v>
      </c>
      <c r="M851">
        <v>-4</v>
      </c>
      <c r="N851">
        <v>25</v>
      </c>
      <c r="O851" t="s">
        <v>43</v>
      </c>
      <c r="P851">
        <v>0</v>
      </c>
      <c r="Q851">
        <v>20</v>
      </c>
      <c r="R851">
        <v>10</v>
      </c>
      <c r="S851">
        <v>20</v>
      </c>
      <c r="T851">
        <v>16</v>
      </c>
      <c r="U851" t="s">
        <v>27</v>
      </c>
      <c r="V851">
        <f t="shared" si="78"/>
        <v>-0.16</v>
      </c>
      <c r="W851">
        <f t="shared" si="79"/>
        <v>-14</v>
      </c>
      <c r="X851">
        <f t="shared" si="80"/>
        <v>5</v>
      </c>
      <c r="Y851">
        <f t="shared" si="81"/>
        <v>0.4</v>
      </c>
      <c r="Z851" s="7" t="str">
        <f t="shared" si="82"/>
        <v>Low Sales</v>
      </c>
      <c r="AA851" s="7" t="str">
        <f t="shared" si="83"/>
        <v>High Margin</v>
      </c>
    </row>
    <row r="852" spans="1:27" x14ac:dyDescent="0.25">
      <c r="A852" t="s">
        <v>109</v>
      </c>
      <c r="B852">
        <v>77</v>
      </c>
      <c r="C852">
        <v>16</v>
      </c>
      <c r="D852" s="1">
        <v>42032</v>
      </c>
      <c r="E852">
        <v>557</v>
      </c>
      <c r="F852">
        <v>103</v>
      </c>
      <c r="G852" t="s">
        <v>39</v>
      </c>
      <c r="H852" t="s">
        <v>22</v>
      </c>
      <c r="I852">
        <v>25</v>
      </c>
      <c r="J852" t="s">
        <v>40</v>
      </c>
      <c r="K852" t="s">
        <v>45</v>
      </c>
      <c r="L852" t="s">
        <v>46</v>
      </c>
      <c r="M852">
        <v>76</v>
      </c>
      <c r="N852">
        <v>192</v>
      </c>
      <c r="O852" t="s">
        <v>59</v>
      </c>
      <c r="P852">
        <v>70</v>
      </c>
      <c r="Q852">
        <v>100</v>
      </c>
      <c r="R852">
        <v>60</v>
      </c>
      <c r="S852">
        <v>170</v>
      </c>
      <c r="T852">
        <v>52</v>
      </c>
      <c r="U852" t="s">
        <v>27</v>
      </c>
      <c r="V852">
        <f t="shared" si="78"/>
        <v>0.39583333333333331</v>
      </c>
      <c r="W852">
        <f t="shared" si="79"/>
        <v>16</v>
      </c>
      <c r="X852">
        <f t="shared" si="80"/>
        <v>22</v>
      </c>
      <c r="Y852">
        <f t="shared" si="81"/>
        <v>0.40104166666666669</v>
      </c>
      <c r="Z852" s="7" t="str">
        <f t="shared" si="82"/>
        <v>Low Sales</v>
      </c>
      <c r="AA852" s="7" t="str">
        <f t="shared" si="83"/>
        <v>High Margin</v>
      </c>
    </row>
    <row r="853" spans="1:27" x14ac:dyDescent="0.25">
      <c r="A853" t="s">
        <v>73</v>
      </c>
      <c r="B853">
        <v>15</v>
      </c>
      <c r="C853">
        <v>2</v>
      </c>
      <c r="D853" s="1">
        <v>42033</v>
      </c>
      <c r="E853">
        <v>848</v>
      </c>
      <c r="F853">
        <v>24</v>
      </c>
      <c r="G853" t="s">
        <v>39</v>
      </c>
      <c r="H853" t="s">
        <v>22</v>
      </c>
      <c r="I853">
        <v>4</v>
      </c>
      <c r="J853" t="s">
        <v>40</v>
      </c>
      <c r="K853" t="s">
        <v>45</v>
      </c>
      <c r="L853" t="s">
        <v>50</v>
      </c>
      <c r="M853">
        <v>12</v>
      </c>
      <c r="N853">
        <v>42</v>
      </c>
      <c r="O853" t="s">
        <v>43</v>
      </c>
      <c r="P853">
        <v>10</v>
      </c>
      <c r="Q853">
        <v>20</v>
      </c>
      <c r="R853">
        <v>10</v>
      </c>
      <c r="S853">
        <v>30</v>
      </c>
      <c r="T853">
        <v>16</v>
      </c>
      <c r="U853" t="s">
        <v>35</v>
      </c>
      <c r="V853">
        <f t="shared" si="78"/>
        <v>0.2857142857142857</v>
      </c>
      <c r="W853">
        <f t="shared" si="79"/>
        <v>2</v>
      </c>
      <c r="X853">
        <f t="shared" si="80"/>
        <v>12</v>
      </c>
      <c r="Y853">
        <f t="shared" si="81"/>
        <v>0.35714285714285715</v>
      </c>
      <c r="Z853" s="7" t="str">
        <f t="shared" si="82"/>
        <v>Low Sales</v>
      </c>
      <c r="AA853" s="7" t="str">
        <f t="shared" si="83"/>
        <v>High Margin</v>
      </c>
    </row>
    <row r="854" spans="1:27" x14ac:dyDescent="0.25">
      <c r="A854" t="s">
        <v>81</v>
      </c>
      <c r="B854">
        <v>82</v>
      </c>
      <c r="C854">
        <v>16</v>
      </c>
      <c r="D854" s="1">
        <v>42034</v>
      </c>
      <c r="E854">
        <v>601</v>
      </c>
      <c r="F854">
        <v>102</v>
      </c>
      <c r="G854" t="s">
        <v>39</v>
      </c>
      <c r="H854" t="s">
        <v>22</v>
      </c>
      <c r="I854">
        <v>31</v>
      </c>
      <c r="J854" t="s">
        <v>40</v>
      </c>
      <c r="K854" t="s">
        <v>45</v>
      </c>
      <c r="L854" t="s">
        <v>52</v>
      </c>
      <c r="M854">
        <v>56</v>
      </c>
      <c r="N854">
        <v>196</v>
      </c>
      <c r="O854" t="s">
        <v>58</v>
      </c>
      <c r="P854">
        <v>80</v>
      </c>
      <c r="Q854">
        <v>100</v>
      </c>
      <c r="R854">
        <v>40</v>
      </c>
      <c r="S854">
        <v>180</v>
      </c>
      <c r="T854">
        <v>64</v>
      </c>
      <c r="U854" t="s">
        <v>35</v>
      </c>
      <c r="V854">
        <f t="shared" si="78"/>
        <v>0.2857142857142857</v>
      </c>
      <c r="W854">
        <f t="shared" si="79"/>
        <v>16</v>
      </c>
      <c r="X854">
        <f t="shared" si="80"/>
        <v>16</v>
      </c>
      <c r="Y854">
        <f t="shared" si="81"/>
        <v>0.41836734693877553</v>
      </c>
      <c r="Z854" s="7" t="str">
        <f t="shared" si="82"/>
        <v>Low Sales</v>
      </c>
      <c r="AA854" s="7" t="str">
        <f t="shared" si="83"/>
        <v>High Margin</v>
      </c>
    </row>
    <row r="855" spans="1:27" x14ac:dyDescent="0.25">
      <c r="A855" t="s">
        <v>162</v>
      </c>
      <c r="B855">
        <v>94</v>
      </c>
      <c r="C855">
        <v>-6</v>
      </c>
      <c r="D855" s="1">
        <v>42035</v>
      </c>
      <c r="E855">
        <v>694</v>
      </c>
      <c r="F855">
        <v>130</v>
      </c>
      <c r="G855" t="s">
        <v>39</v>
      </c>
      <c r="H855" t="s">
        <v>22</v>
      </c>
      <c r="I855">
        <v>85</v>
      </c>
      <c r="J855" t="s">
        <v>40</v>
      </c>
      <c r="K855" t="s">
        <v>45</v>
      </c>
      <c r="L855" t="s">
        <v>52</v>
      </c>
      <c r="M855">
        <v>24</v>
      </c>
      <c r="N855">
        <v>239</v>
      </c>
      <c r="O855" t="s">
        <v>59</v>
      </c>
      <c r="P855">
        <v>90</v>
      </c>
      <c r="Q855">
        <v>130</v>
      </c>
      <c r="R855">
        <v>30</v>
      </c>
      <c r="S855">
        <v>220</v>
      </c>
      <c r="T855">
        <v>114</v>
      </c>
      <c r="U855" t="s">
        <v>35</v>
      </c>
      <c r="V855">
        <f t="shared" si="78"/>
        <v>0.100418410041841</v>
      </c>
      <c r="W855">
        <f t="shared" si="79"/>
        <v>-6</v>
      </c>
      <c r="X855">
        <f t="shared" si="80"/>
        <v>19</v>
      </c>
      <c r="Y855">
        <f t="shared" si="81"/>
        <v>0.39330543933054396</v>
      </c>
      <c r="Z855" s="7" t="str">
        <f t="shared" si="82"/>
        <v>Low Sales</v>
      </c>
      <c r="AA855" s="7" t="str">
        <f t="shared" si="83"/>
        <v>High Margin</v>
      </c>
    </row>
    <row r="856" spans="1:27" x14ac:dyDescent="0.25">
      <c r="A856" t="s">
        <v>81</v>
      </c>
      <c r="B856">
        <v>54</v>
      </c>
      <c r="C856">
        <v>-4</v>
      </c>
      <c r="D856" s="1">
        <v>42036</v>
      </c>
      <c r="E856">
        <v>885</v>
      </c>
      <c r="F856">
        <v>78</v>
      </c>
      <c r="G856" t="s">
        <v>39</v>
      </c>
      <c r="H856" t="s">
        <v>22</v>
      </c>
      <c r="I856">
        <v>15</v>
      </c>
      <c r="J856" t="s">
        <v>40</v>
      </c>
      <c r="K856" t="s">
        <v>41</v>
      </c>
      <c r="L856" t="s">
        <v>53</v>
      </c>
      <c r="M856">
        <v>76</v>
      </c>
      <c r="N856">
        <v>141</v>
      </c>
      <c r="O856" t="s">
        <v>58</v>
      </c>
      <c r="P856">
        <v>60</v>
      </c>
      <c r="Q856">
        <v>100</v>
      </c>
      <c r="R856">
        <v>80</v>
      </c>
      <c r="S856">
        <v>160</v>
      </c>
      <c r="T856">
        <v>27</v>
      </c>
      <c r="U856" t="s">
        <v>35</v>
      </c>
      <c r="V856">
        <f t="shared" si="78"/>
        <v>0.53900709219858156</v>
      </c>
      <c r="W856">
        <f t="shared" si="79"/>
        <v>-4</v>
      </c>
      <c r="X856">
        <f t="shared" si="80"/>
        <v>-19</v>
      </c>
      <c r="Y856">
        <f t="shared" si="81"/>
        <v>0.38297872340425532</v>
      </c>
      <c r="Z856" s="7" t="str">
        <f t="shared" si="82"/>
        <v>Low Sales</v>
      </c>
      <c r="AA856" s="7" t="str">
        <f t="shared" si="83"/>
        <v>High Margin</v>
      </c>
    </row>
    <row r="857" spans="1:27" x14ac:dyDescent="0.25">
      <c r="A857" t="s">
        <v>133</v>
      </c>
      <c r="B857">
        <v>75</v>
      </c>
      <c r="C857">
        <v>-3</v>
      </c>
      <c r="D857" s="1">
        <v>42037</v>
      </c>
      <c r="E857">
        <v>1063</v>
      </c>
      <c r="F857">
        <v>89</v>
      </c>
      <c r="G857" t="s">
        <v>39</v>
      </c>
      <c r="H857" t="s">
        <v>22</v>
      </c>
      <c r="I857">
        <v>23</v>
      </c>
      <c r="J857" t="s">
        <v>40</v>
      </c>
      <c r="K857" t="s">
        <v>41</v>
      </c>
      <c r="L857" t="s">
        <v>53</v>
      </c>
      <c r="M857">
        <v>67</v>
      </c>
      <c r="N857">
        <v>175</v>
      </c>
      <c r="O857" t="s">
        <v>59</v>
      </c>
      <c r="P857">
        <v>90</v>
      </c>
      <c r="Q857">
        <v>110</v>
      </c>
      <c r="R857">
        <v>70</v>
      </c>
      <c r="S857">
        <v>200</v>
      </c>
      <c r="T857">
        <v>44</v>
      </c>
      <c r="U857" t="s">
        <v>35</v>
      </c>
      <c r="V857">
        <f t="shared" si="78"/>
        <v>0.38285714285714284</v>
      </c>
      <c r="W857">
        <f t="shared" si="79"/>
        <v>-3</v>
      </c>
      <c r="X857">
        <f t="shared" si="80"/>
        <v>-25</v>
      </c>
      <c r="Y857">
        <f t="shared" si="81"/>
        <v>0.42857142857142855</v>
      </c>
      <c r="Z857" s="7" t="str">
        <f t="shared" si="82"/>
        <v>Low Sales</v>
      </c>
      <c r="AA857" s="7" t="str">
        <f t="shared" si="83"/>
        <v>High Margin</v>
      </c>
    </row>
    <row r="858" spans="1:27" x14ac:dyDescent="0.25">
      <c r="A858" t="s">
        <v>145</v>
      </c>
      <c r="B858">
        <v>228</v>
      </c>
      <c r="C858">
        <v>111</v>
      </c>
      <c r="D858" s="1">
        <v>42038</v>
      </c>
      <c r="E858">
        <v>1691</v>
      </c>
      <c r="F858">
        <v>304</v>
      </c>
      <c r="G858" t="s">
        <v>39</v>
      </c>
      <c r="H858" t="s">
        <v>22</v>
      </c>
      <c r="I858">
        <v>75</v>
      </c>
      <c r="J858" t="s">
        <v>23</v>
      </c>
      <c r="K858" t="s">
        <v>24</v>
      </c>
      <c r="L858" t="s">
        <v>57</v>
      </c>
      <c r="M858">
        <v>291</v>
      </c>
      <c r="N858">
        <v>567</v>
      </c>
      <c r="O858" t="s">
        <v>43</v>
      </c>
      <c r="P858">
        <v>210</v>
      </c>
      <c r="Q858">
        <v>280</v>
      </c>
      <c r="R858">
        <v>180</v>
      </c>
      <c r="S858">
        <v>490</v>
      </c>
      <c r="T858">
        <v>108</v>
      </c>
      <c r="U858" t="s">
        <v>27</v>
      </c>
      <c r="V858">
        <f t="shared" si="78"/>
        <v>0.51322751322751325</v>
      </c>
      <c r="W858">
        <f t="shared" si="79"/>
        <v>111</v>
      </c>
      <c r="X858">
        <f t="shared" si="80"/>
        <v>77</v>
      </c>
      <c r="Y858">
        <f t="shared" si="81"/>
        <v>0.40211640211640209</v>
      </c>
      <c r="Z858" s="7" t="str">
        <f t="shared" si="82"/>
        <v>High Sales</v>
      </c>
      <c r="AA858" s="7" t="str">
        <f t="shared" si="83"/>
        <v>High Margin</v>
      </c>
    </row>
    <row r="859" spans="1:27" x14ac:dyDescent="0.25">
      <c r="A859" t="s">
        <v>145</v>
      </c>
      <c r="B859">
        <v>113</v>
      </c>
      <c r="C859">
        <v>59</v>
      </c>
      <c r="D859" s="1">
        <v>42039</v>
      </c>
      <c r="E859">
        <v>803</v>
      </c>
      <c r="F859">
        <v>165</v>
      </c>
      <c r="G859" t="s">
        <v>39</v>
      </c>
      <c r="H859" t="s">
        <v>22</v>
      </c>
      <c r="I859">
        <v>36</v>
      </c>
      <c r="J859" t="s">
        <v>23</v>
      </c>
      <c r="K859" t="s">
        <v>24</v>
      </c>
      <c r="L859" t="s">
        <v>25</v>
      </c>
      <c r="M859">
        <v>159</v>
      </c>
      <c r="N859">
        <v>296</v>
      </c>
      <c r="O859" t="s">
        <v>43</v>
      </c>
      <c r="P859">
        <v>100</v>
      </c>
      <c r="Q859">
        <v>150</v>
      </c>
      <c r="R859">
        <v>100</v>
      </c>
      <c r="S859">
        <v>250</v>
      </c>
      <c r="T859">
        <v>58</v>
      </c>
      <c r="U859" t="s">
        <v>27</v>
      </c>
      <c r="V859">
        <f t="shared" si="78"/>
        <v>0.53716216216216217</v>
      </c>
      <c r="W859">
        <f t="shared" si="79"/>
        <v>59</v>
      </c>
      <c r="X859">
        <f t="shared" si="80"/>
        <v>46</v>
      </c>
      <c r="Y859">
        <f t="shared" si="81"/>
        <v>0.38175675675675674</v>
      </c>
      <c r="Z859" s="7" t="str">
        <f t="shared" si="82"/>
        <v>High Sales</v>
      </c>
      <c r="AA859" s="7" t="str">
        <f t="shared" si="83"/>
        <v>High Margin</v>
      </c>
    </row>
    <row r="860" spans="1:27" x14ac:dyDescent="0.25">
      <c r="A860" t="s">
        <v>114</v>
      </c>
      <c r="B860">
        <v>211</v>
      </c>
      <c r="C860">
        <v>81</v>
      </c>
      <c r="D860" s="1">
        <v>42040</v>
      </c>
      <c r="E860">
        <v>1778</v>
      </c>
      <c r="F860">
        <v>212</v>
      </c>
      <c r="G860" t="s">
        <v>39</v>
      </c>
      <c r="H860" t="s">
        <v>22</v>
      </c>
      <c r="I860">
        <v>59</v>
      </c>
      <c r="J860" t="s">
        <v>23</v>
      </c>
      <c r="K860" t="s">
        <v>32</v>
      </c>
      <c r="L860" t="s">
        <v>33</v>
      </c>
      <c r="M860">
        <v>191</v>
      </c>
      <c r="N860">
        <v>451</v>
      </c>
      <c r="O860" t="s">
        <v>43</v>
      </c>
      <c r="P860">
        <v>170</v>
      </c>
      <c r="Q860">
        <v>180</v>
      </c>
      <c r="R860">
        <v>110</v>
      </c>
      <c r="S860">
        <v>350</v>
      </c>
      <c r="T860">
        <v>83</v>
      </c>
      <c r="U860" t="s">
        <v>35</v>
      </c>
      <c r="V860">
        <f t="shared" si="78"/>
        <v>0.42350332594235035</v>
      </c>
      <c r="W860">
        <f t="shared" si="79"/>
        <v>81</v>
      </c>
      <c r="X860">
        <f t="shared" si="80"/>
        <v>101</v>
      </c>
      <c r="Y860">
        <f t="shared" si="81"/>
        <v>0.46784922394678491</v>
      </c>
      <c r="Z860" s="7" t="str">
        <f t="shared" si="82"/>
        <v>High Sales</v>
      </c>
      <c r="AA860" s="7" t="str">
        <f t="shared" si="83"/>
        <v>High Margin</v>
      </c>
    </row>
    <row r="861" spans="1:27" x14ac:dyDescent="0.25">
      <c r="A861" t="s">
        <v>145</v>
      </c>
      <c r="B861">
        <v>245</v>
      </c>
      <c r="C861">
        <v>127</v>
      </c>
      <c r="D861" s="1">
        <v>42041</v>
      </c>
      <c r="E861">
        <v>1784</v>
      </c>
      <c r="F861">
        <v>300</v>
      </c>
      <c r="G861" t="s">
        <v>39</v>
      </c>
      <c r="H861" t="s">
        <v>22</v>
      </c>
      <c r="I861">
        <v>93</v>
      </c>
      <c r="J861" t="s">
        <v>23</v>
      </c>
      <c r="K861" t="s">
        <v>32</v>
      </c>
      <c r="L861" t="s">
        <v>61</v>
      </c>
      <c r="M861">
        <v>257</v>
      </c>
      <c r="N861">
        <v>581</v>
      </c>
      <c r="O861" t="s">
        <v>43</v>
      </c>
      <c r="P861">
        <v>200</v>
      </c>
      <c r="Q861">
        <v>250</v>
      </c>
      <c r="R861">
        <v>130</v>
      </c>
      <c r="S861">
        <v>450</v>
      </c>
      <c r="T861">
        <v>127</v>
      </c>
      <c r="U861" t="s">
        <v>35</v>
      </c>
      <c r="V861">
        <f t="shared" si="78"/>
        <v>0.44234079173838209</v>
      </c>
      <c r="W861">
        <f t="shared" si="79"/>
        <v>127</v>
      </c>
      <c r="X861">
        <f t="shared" si="80"/>
        <v>131</v>
      </c>
      <c r="Y861">
        <f t="shared" si="81"/>
        <v>0.42168674698795183</v>
      </c>
      <c r="Z861" s="7" t="str">
        <f t="shared" si="82"/>
        <v>High Sales</v>
      </c>
      <c r="AA861" s="7" t="str">
        <f t="shared" si="83"/>
        <v>High Margin</v>
      </c>
    </row>
    <row r="862" spans="1:27" x14ac:dyDescent="0.25">
      <c r="A862" t="s">
        <v>111</v>
      </c>
      <c r="B862">
        <v>86</v>
      </c>
      <c r="C862">
        <v>41</v>
      </c>
      <c r="D862" s="1">
        <v>42042</v>
      </c>
      <c r="E862">
        <v>1003</v>
      </c>
      <c r="F862">
        <v>124</v>
      </c>
      <c r="G862" t="s">
        <v>21</v>
      </c>
      <c r="H862" t="s">
        <v>22</v>
      </c>
      <c r="I862">
        <v>24</v>
      </c>
      <c r="J862" t="s">
        <v>40</v>
      </c>
      <c r="K862" t="s">
        <v>45</v>
      </c>
      <c r="L862" t="s">
        <v>46</v>
      </c>
      <c r="M862">
        <v>131</v>
      </c>
      <c r="N862">
        <v>224</v>
      </c>
      <c r="O862" t="s">
        <v>26</v>
      </c>
      <c r="P862">
        <v>80</v>
      </c>
      <c r="Q862">
        <v>120</v>
      </c>
      <c r="R862">
        <v>90</v>
      </c>
      <c r="S862">
        <v>200</v>
      </c>
      <c r="T862">
        <v>36</v>
      </c>
      <c r="U862" t="s">
        <v>27</v>
      </c>
      <c r="V862">
        <f t="shared" si="78"/>
        <v>0.5848214285714286</v>
      </c>
      <c r="W862">
        <f t="shared" si="79"/>
        <v>41</v>
      </c>
      <c r="X862">
        <f t="shared" si="80"/>
        <v>24</v>
      </c>
      <c r="Y862">
        <f t="shared" si="81"/>
        <v>0.38392857142857145</v>
      </c>
      <c r="Z862" s="7" t="str">
        <f t="shared" si="82"/>
        <v>Low Sales</v>
      </c>
      <c r="AA862" s="7" t="str">
        <f t="shared" si="83"/>
        <v>High Margin</v>
      </c>
    </row>
    <row r="863" spans="1:27" x14ac:dyDescent="0.25">
      <c r="A863" t="s">
        <v>150</v>
      </c>
      <c r="B863">
        <v>127</v>
      </c>
      <c r="C863">
        <v>51</v>
      </c>
      <c r="D863" s="1">
        <v>42043</v>
      </c>
      <c r="E863">
        <v>830</v>
      </c>
      <c r="F863">
        <v>185</v>
      </c>
      <c r="G863" t="s">
        <v>21</v>
      </c>
      <c r="H863" t="s">
        <v>22</v>
      </c>
      <c r="I863">
        <v>40</v>
      </c>
      <c r="J863" t="s">
        <v>40</v>
      </c>
      <c r="K863" t="s">
        <v>45</v>
      </c>
      <c r="L863" t="s">
        <v>46</v>
      </c>
      <c r="M863">
        <v>181</v>
      </c>
      <c r="N863">
        <v>332</v>
      </c>
      <c r="O863" t="s">
        <v>63</v>
      </c>
      <c r="P863">
        <v>120</v>
      </c>
      <c r="Q863">
        <v>180</v>
      </c>
      <c r="R863">
        <v>130</v>
      </c>
      <c r="S863">
        <v>300</v>
      </c>
      <c r="T863">
        <v>63</v>
      </c>
      <c r="U863" t="s">
        <v>27</v>
      </c>
      <c r="V863">
        <f t="shared" si="78"/>
        <v>0.54518072289156627</v>
      </c>
      <c r="W863">
        <f t="shared" si="79"/>
        <v>51</v>
      </c>
      <c r="X863">
        <f t="shared" si="80"/>
        <v>32</v>
      </c>
      <c r="Y863">
        <f t="shared" si="81"/>
        <v>0.38253012048192769</v>
      </c>
      <c r="Z863" s="7" t="str">
        <f t="shared" si="82"/>
        <v>High Sales</v>
      </c>
      <c r="AA863" s="7" t="str">
        <f t="shared" si="83"/>
        <v>High Margin</v>
      </c>
    </row>
    <row r="864" spans="1:27" x14ac:dyDescent="0.25">
      <c r="A864" t="s">
        <v>111</v>
      </c>
      <c r="B864">
        <v>67</v>
      </c>
      <c r="C864">
        <v>-10</v>
      </c>
      <c r="D864" s="1">
        <v>42044</v>
      </c>
      <c r="E864">
        <v>677</v>
      </c>
      <c r="F864">
        <v>101</v>
      </c>
      <c r="G864" t="s">
        <v>21</v>
      </c>
      <c r="H864" t="s">
        <v>22</v>
      </c>
      <c r="I864">
        <v>22</v>
      </c>
      <c r="J864" t="s">
        <v>40</v>
      </c>
      <c r="K864" t="s">
        <v>41</v>
      </c>
      <c r="L864" t="s">
        <v>42</v>
      </c>
      <c r="M864">
        <v>70</v>
      </c>
      <c r="N864">
        <v>179</v>
      </c>
      <c r="O864" t="s">
        <v>26</v>
      </c>
      <c r="P864">
        <v>80</v>
      </c>
      <c r="Q864">
        <v>130</v>
      </c>
      <c r="R864">
        <v>80</v>
      </c>
      <c r="S864">
        <v>210</v>
      </c>
      <c r="T864">
        <v>54</v>
      </c>
      <c r="U864" t="s">
        <v>27</v>
      </c>
      <c r="V864">
        <f t="shared" si="78"/>
        <v>0.39106145251396646</v>
      </c>
      <c r="W864">
        <f t="shared" si="79"/>
        <v>-10</v>
      </c>
      <c r="X864">
        <f t="shared" si="80"/>
        <v>-31</v>
      </c>
      <c r="Y864">
        <f t="shared" si="81"/>
        <v>0.37430167597765363</v>
      </c>
      <c r="Z864" s="7" t="str">
        <f t="shared" si="82"/>
        <v>Low Sales</v>
      </c>
      <c r="AA864" s="7" t="str">
        <f t="shared" si="83"/>
        <v>High Margin</v>
      </c>
    </row>
    <row r="865" spans="1:27" x14ac:dyDescent="0.25">
      <c r="A865" t="s">
        <v>136</v>
      </c>
      <c r="B865">
        <v>250</v>
      </c>
      <c r="C865">
        <v>-7</v>
      </c>
      <c r="D865" s="1">
        <v>42045</v>
      </c>
      <c r="E865">
        <v>1820</v>
      </c>
      <c r="F865">
        <v>251</v>
      </c>
      <c r="G865" t="s">
        <v>21</v>
      </c>
      <c r="H865" t="s">
        <v>22</v>
      </c>
      <c r="I865">
        <v>70</v>
      </c>
      <c r="J865" t="s">
        <v>40</v>
      </c>
      <c r="K865" t="s">
        <v>41</v>
      </c>
      <c r="L865" t="s">
        <v>42</v>
      </c>
      <c r="M865">
        <v>233</v>
      </c>
      <c r="N865">
        <v>534</v>
      </c>
      <c r="O865" t="s">
        <v>63</v>
      </c>
      <c r="P865">
        <v>320</v>
      </c>
      <c r="Q865">
        <v>320</v>
      </c>
      <c r="R865">
        <v>240</v>
      </c>
      <c r="S865">
        <v>640</v>
      </c>
      <c r="T865">
        <v>94</v>
      </c>
      <c r="U865" t="s">
        <v>27</v>
      </c>
      <c r="V865">
        <f t="shared" si="78"/>
        <v>0.43632958801498128</v>
      </c>
      <c r="W865">
        <f t="shared" si="79"/>
        <v>-7</v>
      </c>
      <c r="X865">
        <f t="shared" si="80"/>
        <v>-106</v>
      </c>
      <c r="Y865">
        <f t="shared" si="81"/>
        <v>0.46816479400749061</v>
      </c>
      <c r="Z865" s="7" t="str">
        <f t="shared" si="82"/>
        <v>High Sales</v>
      </c>
      <c r="AA865" s="7" t="str">
        <f t="shared" si="83"/>
        <v>High Margin</v>
      </c>
    </row>
    <row r="866" spans="1:27" x14ac:dyDescent="0.25">
      <c r="A866" t="s">
        <v>68</v>
      </c>
      <c r="B866">
        <v>123</v>
      </c>
      <c r="C866">
        <v>69</v>
      </c>
      <c r="D866" s="1">
        <v>42046</v>
      </c>
      <c r="E866">
        <v>959</v>
      </c>
      <c r="F866">
        <v>179</v>
      </c>
      <c r="G866" t="s">
        <v>21</v>
      </c>
      <c r="H866" t="s">
        <v>22</v>
      </c>
      <c r="I866">
        <v>34</v>
      </c>
      <c r="J866" t="s">
        <v>40</v>
      </c>
      <c r="K866" t="s">
        <v>45</v>
      </c>
      <c r="L866" t="s">
        <v>50</v>
      </c>
      <c r="M866">
        <v>199</v>
      </c>
      <c r="N866">
        <v>322</v>
      </c>
      <c r="O866" t="s">
        <v>26</v>
      </c>
      <c r="P866">
        <v>120</v>
      </c>
      <c r="Q866">
        <v>170</v>
      </c>
      <c r="R866">
        <v>130</v>
      </c>
      <c r="S866">
        <v>290</v>
      </c>
      <c r="T866">
        <v>45</v>
      </c>
      <c r="U866" t="s">
        <v>35</v>
      </c>
      <c r="V866">
        <f t="shared" si="78"/>
        <v>0.61801242236024845</v>
      </c>
      <c r="W866">
        <f t="shared" si="79"/>
        <v>69</v>
      </c>
      <c r="X866">
        <f t="shared" si="80"/>
        <v>32</v>
      </c>
      <c r="Y866">
        <f t="shared" si="81"/>
        <v>0.38198757763975155</v>
      </c>
      <c r="Z866" s="7" t="str">
        <f t="shared" si="82"/>
        <v>High Sales</v>
      </c>
      <c r="AA866" s="7" t="str">
        <f t="shared" si="83"/>
        <v>High Margin</v>
      </c>
    </row>
    <row r="867" spans="1:27" x14ac:dyDescent="0.25">
      <c r="A867" t="s">
        <v>150</v>
      </c>
      <c r="B867">
        <v>224</v>
      </c>
      <c r="C867">
        <v>98</v>
      </c>
      <c r="D867" s="1">
        <v>42047</v>
      </c>
      <c r="E867">
        <v>1191</v>
      </c>
      <c r="F867">
        <v>310</v>
      </c>
      <c r="G867" t="s">
        <v>21</v>
      </c>
      <c r="H867" t="s">
        <v>22</v>
      </c>
      <c r="I867">
        <v>73</v>
      </c>
      <c r="J867" t="s">
        <v>40</v>
      </c>
      <c r="K867" t="s">
        <v>45</v>
      </c>
      <c r="L867" t="s">
        <v>52</v>
      </c>
      <c r="M867">
        <v>288</v>
      </c>
      <c r="N867">
        <v>569</v>
      </c>
      <c r="O867" t="s">
        <v>63</v>
      </c>
      <c r="P867">
        <v>220</v>
      </c>
      <c r="Q867">
        <v>300</v>
      </c>
      <c r="R867">
        <v>190</v>
      </c>
      <c r="S867">
        <v>520</v>
      </c>
      <c r="T867">
        <v>116</v>
      </c>
      <c r="U867" t="s">
        <v>35</v>
      </c>
      <c r="V867">
        <f t="shared" si="78"/>
        <v>0.5061511423550088</v>
      </c>
      <c r="W867">
        <f t="shared" si="79"/>
        <v>98</v>
      </c>
      <c r="X867">
        <f t="shared" si="80"/>
        <v>49</v>
      </c>
      <c r="Y867">
        <f t="shared" si="81"/>
        <v>0.39367311072056238</v>
      </c>
      <c r="Z867" s="7" t="str">
        <f t="shared" si="82"/>
        <v>High Sales</v>
      </c>
      <c r="AA867" s="7" t="str">
        <f t="shared" si="83"/>
        <v>High Margin</v>
      </c>
    </row>
    <row r="868" spans="1:27" x14ac:dyDescent="0.25">
      <c r="A868" t="s">
        <v>69</v>
      </c>
      <c r="B868">
        <v>54</v>
      </c>
      <c r="C868">
        <v>-11</v>
      </c>
      <c r="D868" s="1">
        <v>42048</v>
      </c>
      <c r="E868">
        <v>601</v>
      </c>
      <c r="F868">
        <v>79</v>
      </c>
      <c r="G868" t="s">
        <v>21</v>
      </c>
      <c r="H868" t="s">
        <v>22</v>
      </c>
      <c r="I868">
        <v>15</v>
      </c>
      <c r="J868" t="s">
        <v>40</v>
      </c>
      <c r="K868" t="s">
        <v>41</v>
      </c>
      <c r="L868" t="s">
        <v>53</v>
      </c>
      <c r="M868">
        <v>79</v>
      </c>
      <c r="N868">
        <v>142</v>
      </c>
      <c r="O868" t="s">
        <v>26</v>
      </c>
      <c r="P868">
        <v>60</v>
      </c>
      <c r="Q868">
        <v>110</v>
      </c>
      <c r="R868">
        <v>90</v>
      </c>
      <c r="S868">
        <v>170</v>
      </c>
      <c r="T868">
        <v>26</v>
      </c>
      <c r="U868" t="s">
        <v>35</v>
      </c>
      <c r="V868">
        <f t="shared" si="78"/>
        <v>0.55633802816901412</v>
      </c>
      <c r="W868">
        <f t="shared" si="79"/>
        <v>-11</v>
      </c>
      <c r="X868">
        <f t="shared" si="80"/>
        <v>-28</v>
      </c>
      <c r="Y868">
        <f t="shared" si="81"/>
        <v>0.38028169014084506</v>
      </c>
      <c r="Z868" s="7" t="str">
        <f t="shared" si="82"/>
        <v>Low Sales</v>
      </c>
      <c r="AA868" s="7" t="str">
        <f t="shared" si="83"/>
        <v>High Margin</v>
      </c>
    </row>
    <row r="869" spans="1:27" x14ac:dyDescent="0.25">
      <c r="A869" t="s">
        <v>120</v>
      </c>
      <c r="B869">
        <v>247</v>
      </c>
      <c r="C869">
        <v>1</v>
      </c>
      <c r="D869" s="1">
        <v>42049</v>
      </c>
      <c r="E869">
        <v>1744</v>
      </c>
      <c r="F869">
        <v>329</v>
      </c>
      <c r="G869" t="s">
        <v>21</v>
      </c>
      <c r="H869" t="s">
        <v>22</v>
      </c>
      <c r="I869">
        <v>81</v>
      </c>
      <c r="J869" t="s">
        <v>40</v>
      </c>
      <c r="K869" t="s">
        <v>41</v>
      </c>
      <c r="L869" t="s">
        <v>53</v>
      </c>
      <c r="M869">
        <v>321</v>
      </c>
      <c r="N869">
        <v>614</v>
      </c>
      <c r="O869" t="s">
        <v>63</v>
      </c>
      <c r="P869">
        <v>310</v>
      </c>
      <c r="Q869">
        <v>420</v>
      </c>
      <c r="R869">
        <v>320</v>
      </c>
      <c r="S869">
        <v>730</v>
      </c>
      <c r="T869">
        <v>113</v>
      </c>
      <c r="U869" t="s">
        <v>35</v>
      </c>
      <c r="V869">
        <f t="shared" si="78"/>
        <v>0.5228013029315961</v>
      </c>
      <c r="W869">
        <f t="shared" si="79"/>
        <v>1</v>
      </c>
      <c r="X869">
        <f t="shared" si="80"/>
        <v>-116</v>
      </c>
      <c r="Y869">
        <f t="shared" si="81"/>
        <v>0.40228013029315962</v>
      </c>
      <c r="Z869" s="7" t="str">
        <f t="shared" si="82"/>
        <v>High Sales</v>
      </c>
      <c r="AA869" s="7" t="str">
        <f t="shared" si="83"/>
        <v>High Margin</v>
      </c>
    </row>
    <row r="870" spans="1:27" x14ac:dyDescent="0.25">
      <c r="A870" t="s">
        <v>158</v>
      </c>
      <c r="B870">
        <v>153</v>
      </c>
      <c r="C870">
        <v>-11</v>
      </c>
      <c r="D870" s="1">
        <v>42050</v>
      </c>
      <c r="E870">
        <v>1319</v>
      </c>
      <c r="F870">
        <v>153</v>
      </c>
      <c r="G870" t="s">
        <v>21</v>
      </c>
      <c r="H870" t="s">
        <v>22</v>
      </c>
      <c r="I870">
        <v>42</v>
      </c>
      <c r="J870" t="s">
        <v>40</v>
      </c>
      <c r="K870" t="s">
        <v>41</v>
      </c>
      <c r="L870" t="s">
        <v>53</v>
      </c>
      <c r="M870">
        <v>129</v>
      </c>
      <c r="N870">
        <v>326</v>
      </c>
      <c r="O870" t="s">
        <v>65</v>
      </c>
      <c r="P870">
        <v>190</v>
      </c>
      <c r="Q870">
        <v>200</v>
      </c>
      <c r="R870">
        <v>140</v>
      </c>
      <c r="S870">
        <v>390</v>
      </c>
      <c r="T870">
        <v>66</v>
      </c>
      <c r="U870" t="s">
        <v>35</v>
      </c>
      <c r="V870">
        <f t="shared" si="78"/>
        <v>0.39570552147239263</v>
      </c>
      <c r="W870">
        <f t="shared" si="79"/>
        <v>-11</v>
      </c>
      <c r="X870">
        <f t="shared" si="80"/>
        <v>-64</v>
      </c>
      <c r="Y870">
        <f t="shared" si="81"/>
        <v>0.46932515337423314</v>
      </c>
      <c r="Z870" s="7" t="str">
        <f t="shared" si="82"/>
        <v>High Sales</v>
      </c>
      <c r="AA870" s="7" t="str">
        <f t="shared" si="83"/>
        <v>High Margin</v>
      </c>
    </row>
    <row r="871" spans="1:27" x14ac:dyDescent="0.25">
      <c r="A871" t="s">
        <v>69</v>
      </c>
      <c r="B871">
        <v>153</v>
      </c>
      <c r="C871">
        <v>49</v>
      </c>
      <c r="D871" s="1">
        <v>42051</v>
      </c>
      <c r="E871">
        <v>1319</v>
      </c>
      <c r="F871">
        <v>153</v>
      </c>
      <c r="G871" t="s">
        <v>21</v>
      </c>
      <c r="H871" t="s">
        <v>22</v>
      </c>
      <c r="I871">
        <v>42</v>
      </c>
      <c r="J871" t="s">
        <v>23</v>
      </c>
      <c r="K871" t="s">
        <v>24</v>
      </c>
      <c r="L871" t="s">
        <v>57</v>
      </c>
      <c r="M871">
        <v>129</v>
      </c>
      <c r="N871">
        <v>326</v>
      </c>
      <c r="O871" t="s">
        <v>26</v>
      </c>
      <c r="P871">
        <v>140</v>
      </c>
      <c r="Q871">
        <v>140</v>
      </c>
      <c r="R871">
        <v>80</v>
      </c>
      <c r="S871">
        <v>280</v>
      </c>
      <c r="T871">
        <v>66</v>
      </c>
      <c r="U871" t="s">
        <v>27</v>
      </c>
      <c r="V871">
        <f t="shared" si="78"/>
        <v>0.39570552147239263</v>
      </c>
      <c r="W871">
        <f t="shared" si="79"/>
        <v>49</v>
      </c>
      <c r="X871">
        <f t="shared" si="80"/>
        <v>46</v>
      </c>
      <c r="Y871">
        <f t="shared" si="81"/>
        <v>0.46932515337423314</v>
      </c>
      <c r="Z871" s="7" t="str">
        <f t="shared" si="82"/>
        <v>High Sales</v>
      </c>
      <c r="AA871" s="7" t="str">
        <f t="shared" si="83"/>
        <v>High Margin</v>
      </c>
    </row>
    <row r="872" spans="1:27" x14ac:dyDescent="0.25">
      <c r="A872" t="s">
        <v>205</v>
      </c>
      <c r="B872">
        <v>123</v>
      </c>
      <c r="C872">
        <v>67</v>
      </c>
      <c r="D872" s="1">
        <v>42052</v>
      </c>
      <c r="E872">
        <v>959</v>
      </c>
      <c r="F872">
        <v>179</v>
      </c>
      <c r="G872" t="s">
        <v>21</v>
      </c>
      <c r="H872" t="s">
        <v>22</v>
      </c>
      <c r="I872">
        <v>34</v>
      </c>
      <c r="J872" t="s">
        <v>23</v>
      </c>
      <c r="K872" t="s">
        <v>24</v>
      </c>
      <c r="L872" t="s">
        <v>57</v>
      </c>
      <c r="M872">
        <v>197</v>
      </c>
      <c r="N872">
        <v>322</v>
      </c>
      <c r="O872" t="s">
        <v>63</v>
      </c>
      <c r="P872">
        <v>110</v>
      </c>
      <c r="Q872">
        <v>170</v>
      </c>
      <c r="R872">
        <v>130</v>
      </c>
      <c r="S872">
        <v>280</v>
      </c>
      <c r="T872">
        <v>46</v>
      </c>
      <c r="U872" t="s">
        <v>27</v>
      </c>
      <c r="V872">
        <f t="shared" si="78"/>
        <v>0.61180124223602483</v>
      </c>
      <c r="W872">
        <f t="shared" si="79"/>
        <v>67</v>
      </c>
      <c r="X872">
        <f t="shared" si="80"/>
        <v>42</v>
      </c>
      <c r="Y872">
        <f t="shared" si="81"/>
        <v>0.38198757763975155</v>
      </c>
      <c r="Z872" s="7" t="str">
        <f t="shared" si="82"/>
        <v>High Sales</v>
      </c>
      <c r="AA872" s="7" t="str">
        <f t="shared" si="83"/>
        <v>High Margin</v>
      </c>
    </row>
    <row r="873" spans="1:27" x14ac:dyDescent="0.25">
      <c r="A873" t="s">
        <v>150</v>
      </c>
      <c r="B873">
        <v>86</v>
      </c>
      <c r="C873">
        <v>51</v>
      </c>
      <c r="D873" s="1">
        <v>42053</v>
      </c>
      <c r="E873">
        <v>1003</v>
      </c>
      <c r="F873">
        <v>124</v>
      </c>
      <c r="G873" t="s">
        <v>21</v>
      </c>
      <c r="H873" t="s">
        <v>22</v>
      </c>
      <c r="I873">
        <v>24</v>
      </c>
      <c r="J873" t="s">
        <v>23</v>
      </c>
      <c r="K873" t="s">
        <v>24</v>
      </c>
      <c r="L873" t="s">
        <v>28</v>
      </c>
      <c r="M873">
        <v>131</v>
      </c>
      <c r="N873">
        <v>224</v>
      </c>
      <c r="O873" t="s">
        <v>63</v>
      </c>
      <c r="P873">
        <v>80</v>
      </c>
      <c r="Q873">
        <v>110</v>
      </c>
      <c r="R873">
        <v>80</v>
      </c>
      <c r="S873">
        <v>190</v>
      </c>
      <c r="T873">
        <v>36</v>
      </c>
      <c r="U873" t="s">
        <v>27</v>
      </c>
      <c r="V873">
        <f t="shared" si="78"/>
        <v>0.5848214285714286</v>
      </c>
      <c r="W873">
        <f t="shared" si="79"/>
        <v>51</v>
      </c>
      <c r="X873">
        <f t="shared" si="80"/>
        <v>34</v>
      </c>
      <c r="Y873">
        <f t="shared" si="81"/>
        <v>0.38392857142857145</v>
      </c>
      <c r="Z873" s="7" t="str">
        <f t="shared" si="82"/>
        <v>Low Sales</v>
      </c>
      <c r="AA873" s="7" t="str">
        <f t="shared" si="83"/>
        <v>High Margin</v>
      </c>
    </row>
    <row r="874" spans="1:27" x14ac:dyDescent="0.25">
      <c r="A874" t="s">
        <v>169</v>
      </c>
      <c r="B874">
        <v>88</v>
      </c>
      <c r="C874">
        <v>37</v>
      </c>
      <c r="D874" s="1">
        <v>42054</v>
      </c>
      <c r="E874">
        <v>817</v>
      </c>
      <c r="F874">
        <v>133</v>
      </c>
      <c r="G874" t="s">
        <v>21</v>
      </c>
      <c r="H874" t="s">
        <v>22</v>
      </c>
      <c r="I874">
        <v>29</v>
      </c>
      <c r="J874" t="s">
        <v>23</v>
      </c>
      <c r="K874" t="s">
        <v>32</v>
      </c>
      <c r="L874" t="s">
        <v>33</v>
      </c>
      <c r="M874">
        <v>107</v>
      </c>
      <c r="N874">
        <v>236</v>
      </c>
      <c r="O874" t="s">
        <v>65</v>
      </c>
      <c r="P874">
        <v>70</v>
      </c>
      <c r="Q874">
        <v>110</v>
      </c>
      <c r="R874">
        <v>70</v>
      </c>
      <c r="S874">
        <v>180</v>
      </c>
      <c r="T874">
        <v>61</v>
      </c>
      <c r="U874" t="s">
        <v>35</v>
      </c>
      <c r="V874">
        <f t="shared" si="78"/>
        <v>0.45338983050847459</v>
      </c>
      <c r="W874">
        <f t="shared" si="79"/>
        <v>37</v>
      </c>
      <c r="X874">
        <f t="shared" si="80"/>
        <v>56</v>
      </c>
      <c r="Y874">
        <f t="shared" si="81"/>
        <v>0.3728813559322034</v>
      </c>
      <c r="Z874" s="7" t="str">
        <f t="shared" si="82"/>
        <v>Low Sales</v>
      </c>
      <c r="AA874" s="7" t="str">
        <f t="shared" si="83"/>
        <v>High Margin</v>
      </c>
    </row>
    <row r="875" spans="1:27" x14ac:dyDescent="0.25">
      <c r="A875" t="s">
        <v>169</v>
      </c>
      <c r="B875">
        <v>134</v>
      </c>
      <c r="C875">
        <v>90</v>
      </c>
      <c r="D875" s="1">
        <v>42055</v>
      </c>
      <c r="E875">
        <v>690</v>
      </c>
      <c r="F875">
        <v>186</v>
      </c>
      <c r="G875" t="s">
        <v>21</v>
      </c>
      <c r="H875" t="s">
        <v>22</v>
      </c>
      <c r="I875">
        <v>41</v>
      </c>
      <c r="J875" t="s">
        <v>23</v>
      </c>
      <c r="K875" t="s">
        <v>32</v>
      </c>
      <c r="L875" t="s">
        <v>61</v>
      </c>
      <c r="M875">
        <v>180</v>
      </c>
      <c r="N875">
        <v>341</v>
      </c>
      <c r="O875" t="s">
        <v>65</v>
      </c>
      <c r="P875">
        <v>110</v>
      </c>
      <c r="Q875">
        <v>150</v>
      </c>
      <c r="R875">
        <v>90</v>
      </c>
      <c r="S875">
        <v>260</v>
      </c>
      <c r="T875">
        <v>65</v>
      </c>
      <c r="U875" t="s">
        <v>35</v>
      </c>
      <c r="V875">
        <f t="shared" si="78"/>
        <v>0.52785923753665687</v>
      </c>
      <c r="W875">
        <f t="shared" si="79"/>
        <v>90</v>
      </c>
      <c r="X875">
        <f t="shared" si="80"/>
        <v>81</v>
      </c>
      <c r="Y875">
        <f t="shared" si="81"/>
        <v>0.39296187683284456</v>
      </c>
      <c r="Z875" s="7" t="str">
        <f t="shared" si="82"/>
        <v>High Sales</v>
      </c>
      <c r="AA875" s="7" t="str">
        <f t="shared" si="83"/>
        <v>High Margin</v>
      </c>
    </row>
    <row r="876" spans="1:27" x14ac:dyDescent="0.25">
      <c r="A876" t="s">
        <v>91</v>
      </c>
      <c r="B876">
        <v>81</v>
      </c>
      <c r="C876">
        <v>38</v>
      </c>
      <c r="D876" s="1">
        <v>42056</v>
      </c>
      <c r="E876">
        <v>551</v>
      </c>
      <c r="F876">
        <v>104</v>
      </c>
      <c r="G876" t="s">
        <v>21</v>
      </c>
      <c r="H876" t="s">
        <v>22</v>
      </c>
      <c r="I876">
        <v>26</v>
      </c>
      <c r="J876" t="s">
        <v>23</v>
      </c>
      <c r="K876" t="s">
        <v>32</v>
      </c>
      <c r="L876" t="s">
        <v>37</v>
      </c>
      <c r="M876">
        <v>98</v>
      </c>
      <c r="N876">
        <v>197</v>
      </c>
      <c r="O876" t="s">
        <v>26</v>
      </c>
      <c r="P876">
        <v>60</v>
      </c>
      <c r="Q876">
        <v>90</v>
      </c>
      <c r="R876">
        <v>60</v>
      </c>
      <c r="S876">
        <v>150</v>
      </c>
      <c r="T876">
        <v>38</v>
      </c>
      <c r="U876" t="s">
        <v>35</v>
      </c>
      <c r="V876">
        <f t="shared" si="78"/>
        <v>0.49746192893401014</v>
      </c>
      <c r="W876">
        <f t="shared" si="79"/>
        <v>38</v>
      </c>
      <c r="X876">
        <f t="shared" si="80"/>
        <v>47</v>
      </c>
      <c r="Y876">
        <f t="shared" si="81"/>
        <v>0.41116751269035534</v>
      </c>
      <c r="Z876" s="7" t="str">
        <f t="shared" si="82"/>
        <v>Low Sales</v>
      </c>
      <c r="AA876" s="7" t="str">
        <f t="shared" si="83"/>
        <v>High Margin</v>
      </c>
    </row>
    <row r="877" spans="1:27" x14ac:dyDescent="0.25">
      <c r="A877" t="s">
        <v>73</v>
      </c>
      <c r="B877">
        <v>10</v>
      </c>
      <c r="C877">
        <v>-11</v>
      </c>
      <c r="D877" s="1">
        <v>42057</v>
      </c>
      <c r="E877">
        <v>594</v>
      </c>
      <c r="F877">
        <v>14</v>
      </c>
      <c r="G877" t="s">
        <v>39</v>
      </c>
      <c r="H877" t="s">
        <v>22</v>
      </c>
      <c r="I877">
        <v>3</v>
      </c>
      <c r="J877" t="s">
        <v>40</v>
      </c>
      <c r="K877" t="s">
        <v>45</v>
      </c>
      <c r="L877" t="s">
        <v>46</v>
      </c>
      <c r="M877">
        <v>-1</v>
      </c>
      <c r="N877">
        <v>26</v>
      </c>
      <c r="O877" t="s">
        <v>43</v>
      </c>
      <c r="P877">
        <v>0</v>
      </c>
      <c r="Q877">
        <v>20</v>
      </c>
      <c r="R877">
        <v>10</v>
      </c>
      <c r="S877">
        <v>20</v>
      </c>
      <c r="T877">
        <v>15</v>
      </c>
      <c r="U877" t="s">
        <v>27</v>
      </c>
      <c r="V877">
        <f t="shared" si="78"/>
        <v>-3.8461538461538464E-2</v>
      </c>
      <c r="W877">
        <f t="shared" si="79"/>
        <v>-11</v>
      </c>
      <c r="X877">
        <f t="shared" si="80"/>
        <v>6</v>
      </c>
      <c r="Y877">
        <f t="shared" si="81"/>
        <v>0.38461538461538464</v>
      </c>
      <c r="Z877" s="7" t="str">
        <f t="shared" si="82"/>
        <v>Low Sales</v>
      </c>
      <c r="AA877" s="7" t="str">
        <f t="shared" si="83"/>
        <v>High Margin</v>
      </c>
    </row>
    <row r="878" spans="1:27" x14ac:dyDescent="0.25">
      <c r="A878" t="s">
        <v>180</v>
      </c>
      <c r="B878">
        <v>83</v>
      </c>
      <c r="C878">
        <v>15</v>
      </c>
      <c r="D878" s="1">
        <v>42058</v>
      </c>
      <c r="E878">
        <v>575</v>
      </c>
      <c r="F878">
        <v>112</v>
      </c>
      <c r="G878" t="s">
        <v>39</v>
      </c>
      <c r="H878" t="s">
        <v>22</v>
      </c>
      <c r="I878">
        <v>27</v>
      </c>
      <c r="J878" t="s">
        <v>40</v>
      </c>
      <c r="K878" t="s">
        <v>45</v>
      </c>
      <c r="L878" t="s">
        <v>46</v>
      </c>
      <c r="M878">
        <v>85</v>
      </c>
      <c r="N878">
        <v>208</v>
      </c>
      <c r="O878" t="s">
        <v>59</v>
      </c>
      <c r="P878">
        <v>80</v>
      </c>
      <c r="Q878">
        <v>110</v>
      </c>
      <c r="R878">
        <v>70</v>
      </c>
      <c r="S878">
        <v>190</v>
      </c>
      <c r="T878">
        <v>55</v>
      </c>
      <c r="U878" t="s">
        <v>27</v>
      </c>
      <c r="V878">
        <f t="shared" si="78"/>
        <v>0.40865384615384615</v>
      </c>
      <c r="W878">
        <f t="shared" si="79"/>
        <v>15</v>
      </c>
      <c r="X878">
        <f t="shared" si="80"/>
        <v>18</v>
      </c>
      <c r="Y878">
        <f t="shared" si="81"/>
        <v>0.39903846153846156</v>
      </c>
      <c r="Z878" s="7" t="str">
        <f t="shared" si="82"/>
        <v>Low Sales</v>
      </c>
      <c r="AA878" s="7" t="str">
        <f t="shared" si="83"/>
        <v>High Margin</v>
      </c>
    </row>
    <row r="879" spans="1:27" x14ac:dyDescent="0.25">
      <c r="A879" t="s">
        <v>81</v>
      </c>
      <c r="B879">
        <v>68</v>
      </c>
      <c r="C879">
        <v>-1</v>
      </c>
      <c r="D879" s="1">
        <v>42059</v>
      </c>
      <c r="E879">
        <v>619</v>
      </c>
      <c r="F879">
        <v>85</v>
      </c>
      <c r="G879" t="s">
        <v>39</v>
      </c>
      <c r="H879" t="s">
        <v>22</v>
      </c>
      <c r="I879">
        <v>25</v>
      </c>
      <c r="J879" t="s">
        <v>40</v>
      </c>
      <c r="K879" t="s">
        <v>45</v>
      </c>
      <c r="L879" t="s">
        <v>52</v>
      </c>
      <c r="M879">
        <v>39</v>
      </c>
      <c r="N879">
        <v>163</v>
      </c>
      <c r="O879" t="s">
        <v>58</v>
      </c>
      <c r="P879">
        <v>60</v>
      </c>
      <c r="Q879">
        <v>90</v>
      </c>
      <c r="R879">
        <v>40</v>
      </c>
      <c r="S879">
        <v>150</v>
      </c>
      <c r="T879">
        <v>59</v>
      </c>
      <c r="U879" t="s">
        <v>35</v>
      </c>
      <c r="V879">
        <f t="shared" si="78"/>
        <v>0.2392638036809816</v>
      </c>
      <c r="W879">
        <f t="shared" si="79"/>
        <v>-1</v>
      </c>
      <c r="X879">
        <f t="shared" si="80"/>
        <v>13</v>
      </c>
      <c r="Y879">
        <f t="shared" si="81"/>
        <v>0.41717791411042943</v>
      </c>
      <c r="Z879" s="7" t="str">
        <f t="shared" si="82"/>
        <v>Low Sales</v>
      </c>
      <c r="AA879" s="7" t="str">
        <f t="shared" si="83"/>
        <v>High Margin</v>
      </c>
    </row>
    <row r="880" spans="1:27" x14ac:dyDescent="0.25">
      <c r="A880" t="s">
        <v>82</v>
      </c>
      <c r="B880">
        <v>105</v>
      </c>
      <c r="C880">
        <v>0</v>
      </c>
      <c r="D880" s="1">
        <v>42060</v>
      </c>
      <c r="E880">
        <v>716</v>
      </c>
      <c r="F880">
        <v>145</v>
      </c>
      <c r="G880" t="s">
        <v>39</v>
      </c>
      <c r="H880" t="s">
        <v>22</v>
      </c>
      <c r="I880">
        <v>95</v>
      </c>
      <c r="J880" t="s">
        <v>40</v>
      </c>
      <c r="K880" t="s">
        <v>45</v>
      </c>
      <c r="L880" t="s">
        <v>52</v>
      </c>
      <c r="M880">
        <v>30</v>
      </c>
      <c r="N880">
        <v>266</v>
      </c>
      <c r="O880" t="s">
        <v>59</v>
      </c>
      <c r="P880">
        <v>100</v>
      </c>
      <c r="Q880">
        <v>140</v>
      </c>
      <c r="R880">
        <v>30</v>
      </c>
      <c r="S880">
        <v>240</v>
      </c>
      <c r="T880">
        <v>125</v>
      </c>
      <c r="U880" t="s">
        <v>35</v>
      </c>
      <c r="V880">
        <f t="shared" si="78"/>
        <v>0.11278195488721804</v>
      </c>
      <c r="W880">
        <f t="shared" si="79"/>
        <v>0</v>
      </c>
      <c r="X880">
        <f t="shared" si="80"/>
        <v>26</v>
      </c>
      <c r="Y880">
        <f t="shared" si="81"/>
        <v>0.39473684210526316</v>
      </c>
      <c r="Z880" s="7" t="str">
        <f t="shared" si="82"/>
        <v>Low Sales</v>
      </c>
      <c r="AA880" s="7" t="str">
        <f t="shared" si="83"/>
        <v>High Margin</v>
      </c>
    </row>
    <row r="881" spans="1:27" x14ac:dyDescent="0.25">
      <c r="A881" t="s">
        <v>81</v>
      </c>
      <c r="B881">
        <v>50</v>
      </c>
      <c r="C881">
        <v>1</v>
      </c>
      <c r="D881" s="1">
        <v>42061</v>
      </c>
      <c r="E881">
        <v>898</v>
      </c>
      <c r="F881">
        <v>73</v>
      </c>
      <c r="G881" t="s">
        <v>39</v>
      </c>
      <c r="H881" t="s">
        <v>22</v>
      </c>
      <c r="I881">
        <v>14</v>
      </c>
      <c r="J881" t="s">
        <v>40</v>
      </c>
      <c r="K881" t="s">
        <v>41</v>
      </c>
      <c r="L881" t="s">
        <v>53</v>
      </c>
      <c r="M881">
        <v>71</v>
      </c>
      <c r="N881">
        <v>131</v>
      </c>
      <c r="O881" t="s">
        <v>58</v>
      </c>
      <c r="P881">
        <v>60</v>
      </c>
      <c r="Q881">
        <v>90</v>
      </c>
      <c r="R881">
        <v>70</v>
      </c>
      <c r="S881">
        <v>150</v>
      </c>
      <c r="T881">
        <v>25</v>
      </c>
      <c r="U881" t="s">
        <v>35</v>
      </c>
      <c r="V881">
        <f t="shared" si="78"/>
        <v>0.5419847328244275</v>
      </c>
      <c r="W881">
        <f t="shared" si="79"/>
        <v>1</v>
      </c>
      <c r="X881">
        <f t="shared" si="80"/>
        <v>-19</v>
      </c>
      <c r="Y881">
        <f t="shared" si="81"/>
        <v>0.38167938931297712</v>
      </c>
      <c r="Z881" s="7" t="str">
        <f t="shared" si="82"/>
        <v>Low Sales</v>
      </c>
      <c r="AA881" s="7" t="str">
        <f t="shared" si="83"/>
        <v>High Margin</v>
      </c>
    </row>
    <row r="882" spans="1:27" x14ac:dyDescent="0.25">
      <c r="A882" t="s">
        <v>82</v>
      </c>
      <c r="B882">
        <v>80</v>
      </c>
      <c r="C882">
        <v>-6</v>
      </c>
      <c r="D882" s="1">
        <v>42062</v>
      </c>
      <c r="E882">
        <v>1079</v>
      </c>
      <c r="F882">
        <v>96</v>
      </c>
      <c r="G882" t="s">
        <v>39</v>
      </c>
      <c r="H882" t="s">
        <v>22</v>
      </c>
      <c r="I882">
        <v>24</v>
      </c>
      <c r="J882" t="s">
        <v>40</v>
      </c>
      <c r="K882" t="s">
        <v>41</v>
      </c>
      <c r="L882" t="s">
        <v>53</v>
      </c>
      <c r="M882">
        <v>74</v>
      </c>
      <c r="N882">
        <v>188</v>
      </c>
      <c r="O882" t="s">
        <v>59</v>
      </c>
      <c r="P882">
        <v>100</v>
      </c>
      <c r="Q882">
        <v>120</v>
      </c>
      <c r="R882">
        <v>80</v>
      </c>
      <c r="S882">
        <v>220</v>
      </c>
      <c r="T882">
        <v>46</v>
      </c>
      <c r="U882" t="s">
        <v>35</v>
      </c>
      <c r="V882">
        <f t="shared" si="78"/>
        <v>0.39361702127659576</v>
      </c>
      <c r="W882">
        <f t="shared" si="79"/>
        <v>-6</v>
      </c>
      <c r="X882">
        <f t="shared" si="80"/>
        <v>-32</v>
      </c>
      <c r="Y882">
        <f t="shared" si="81"/>
        <v>0.42553191489361702</v>
      </c>
      <c r="Z882" s="7" t="str">
        <f t="shared" si="82"/>
        <v>Low Sales</v>
      </c>
      <c r="AA882" s="7" t="str">
        <f t="shared" si="83"/>
        <v>High Margin</v>
      </c>
    </row>
    <row r="883" spans="1:27" x14ac:dyDescent="0.25">
      <c r="A883" t="s">
        <v>142</v>
      </c>
      <c r="B883">
        <v>247</v>
      </c>
      <c r="C883">
        <v>121</v>
      </c>
      <c r="D883" s="1">
        <v>42063</v>
      </c>
      <c r="E883">
        <v>1744</v>
      </c>
      <c r="F883">
        <v>329</v>
      </c>
      <c r="G883" t="s">
        <v>39</v>
      </c>
      <c r="H883" t="s">
        <v>22</v>
      </c>
      <c r="I883">
        <v>81</v>
      </c>
      <c r="J883" t="s">
        <v>23</v>
      </c>
      <c r="K883" t="s">
        <v>24</v>
      </c>
      <c r="L883" t="s">
        <v>57</v>
      </c>
      <c r="M883">
        <v>321</v>
      </c>
      <c r="N883">
        <v>614</v>
      </c>
      <c r="O883" t="s">
        <v>43</v>
      </c>
      <c r="P883">
        <v>230</v>
      </c>
      <c r="Q883">
        <v>300</v>
      </c>
      <c r="R883">
        <v>200</v>
      </c>
      <c r="S883">
        <v>530</v>
      </c>
      <c r="T883">
        <v>113</v>
      </c>
      <c r="U883" t="s">
        <v>27</v>
      </c>
      <c r="V883">
        <f t="shared" si="78"/>
        <v>0.5228013029315961</v>
      </c>
      <c r="W883">
        <f t="shared" si="79"/>
        <v>121</v>
      </c>
      <c r="X883">
        <f t="shared" si="80"/>
        <v>84</v>
      </c>
      <c r="Y883">
        <f t="shared" si="81"/>
        <v>0.40228013029315962</v>
      </c>
      <c r="Z883" s="7" t="str">
        <f t="shared" si="82"/>
        <v>High Sales</v>
      </c>
      <c r="AA883" s="7" t="str">
        <f t="shared" si="83"/>
        <v>High Margin</v>
      </c>
    </row>
    <row r="884" spans="1:27" x14ac:dyDescent="0.25">
      <c r="A884" t="s">
        <v>142</v>
      </c>
      <c r="B884">
        <v>127</v>
      </c>
      <c r="C884">
        <v>63</v>
      </c>
      <c r="D884" s="1">
        <v>42064</v>
      </c>
      <c r="E884">
        <v>830</v>
      </c>
      <c r="F884">
        <v>185</v>
      </c>
      <c r="G884" t="s">
        <v>39</v>
      </c>
      <c r="H884" t="s">
        <v>22</v>
      </c>
      <c r="I884">
        <v>40</v>
      </c>
      <c r="J884" t="s">
        <v>23</v>
      </c>
      <c r="K884" t="s">
        <v>24</v>
      </c>
      <c r="L884" t="s">
        <v>25</v>
      </c>
      <c r="M884">
        <v>183</v>
      </c>
      <c r="N884">
        <v>332</v>
      </c>
      <c r="O884" t="s">
        <v>43</v>
      </c>
      <c r="P884">
        <v>120</v>
      </c>
      <c r="Q884">
        <v>170</v>
      </c>
      <c r="R884">
        <v>120</v>
      </c>
      <c r="S884">
        <v>290</v>
      </c>
      <c r="T884">
        <v>62</v>
      </c>
      <c r="U884" t="s">
        <v>27</v>
      </c>
      <c r="V884">
        <f t="shared" si="78"/>
        <v>0.5512048192771084</v>
      </c>
      <c r="W884">
        <f t="shared" si="79"/>
        <v>63</v>
      </c>
      <c r="X884">
        <f t="shared" si="80"/>
        <v>42</v>
      </c>
      <c r="Y884">
        <f t="shared" si="81"/>
        <v>0.38253012048192769</v>
      </c>
      <c r="Z884" s="7" t="str">
        <f t="shared" si="82"/>
        <v>High Sales</v>
      </c>
      <c r="AA884" s="7" t="str">
        <f t="shared" si="83"/>
        <v>High Margin</v>
      </c>
    </row>
    <row r="885" spans="1:27" x14ac:dyDescent="0.25">
      <c r="A885" t="s">
        <v>145</v>
      </c>
      <c r="B885">
        <v>250</v>
      </c>
      <c r="C885">
        <v>112</v>
      </c>
      <c r="D885" s="1">
        <v>42065</v>
      </c>
      <c r="E885">
        <v>1820</v>
      </c>
      <c r="F885">
        <v>251</v>
      </c>
      <c r="G885" t="s">
        <v>39</v>
      </c>
      <c r="H885" t="s">
        <v>22</v>
      </c>
      <c r="I885">
        <v>70</v>
      </c>
      <c r="J885" t="s">
        <v>23</v>
      </c>
      <c r="K885" t="s">
        <v>32</v>
      </c>
      <c r="L885" t="s">
        <v>33</v>
      </c>
      <c r="M885">
        <v>232</v>
      </c>
      <c r="N885">
        <v>534</v>
      </c>
      <c r="O885" t="s">
        <v>43</v>
      </c>
      <c r="P885">
        <v>210</v>
      </c>
      <c r="Q885">
        <v>200</v>
      </c>
      <c r="R885">
        <v>120</v>
      </c>
      <c r="S885">
        <v>410</v>
      </c>
      <c r="T885">
        <v>95</v>
      </c>
      <c r="U885" t="s">
        <v>35</v>
      </c>
      <c r="V885">
        <f t="shared" si="78"/>
        <v>0.43445692883895132</v>
      </c>
      <c r="W885">
        <f t="shared" si="79"/>
        <v>112</v>
      </c>
      <c r="X885">
        <f t="shared" si="80"/>
        <v>124</v>
      </c>
      <c r="Y885">
        <f t="shared" si="81"/>
        <v>0.46816479400749061</v>
      </c>
      <c r="Z885" s="7" t="str">
        <f t="shared" si="82"/>
        <v>High Sales</v>
      </c>
      <c r="AA885" s="7" t="str">
        <f t="shared" si="83"/>
        <v>High Margin</v>
      </c>
    </row>
    <row r="886" spans="1:27" x14ac:dyDescent="0.25">
      <c r="A886" t="s">
        <v>114</v>
      </c>
      <c r="B886">
        <v>294</v>
      </c>
      <c r="C886">
        <v>151</v>
      </c>
      <c r="D886" s="1">
        <v>42066</v>
      </c>
      <c r="E886">
        <v>1838</v>
      </c>
      <c r="F886">
        <v>360</v>
      </c>
      <c r="G886" t="s">
        <v>39</v>
      </c>
      <c r="H886" t="s">
        <v>22</v>
      </c>
      <c r="I886">
        <v>111</v>
      </c>
      <c r="J886" t="s">
        <v>23</v>
      </c>
      <c r="K886" t="s">
        <v>32</v>
      </c>
      <c r="L886" t="s">
        <v>61</v>
      </c>
      <c r="M886">
        <v>321</v>
      </c>
      <c r="N886">
        <v>697</v>
      </c>
      <c r="O886" t="s">
        <v>43</v>
      </c>
      <c r="P886">
        <v>240</v>
      </c>
      <c r="Q886">
        <v>300</v>
      </c>
      <c r="R886">
        <v>170</v>
      </c>
      <c r="S886">
        <v>540</v>
      </c>
      <c r="T886">
        <v>144</v>
      </c>
      <c r="U886" t="s">
        <v>35</v>
      </c>
      <c r="V886">
        <f t="shared" si="78"/>
        <v>0.46054519368723101</v>
      </c>
      <c r="W886">
        <f t="shared" si="79"/>
        <v>151</v>
      </c>
      <c r="X886">
        <f t="shared" si="80"/>
        <v>157</v>
      </c>
      <c r="Y886">
        <f t="shared" si="81"/>
        <v>0.4218077474892396</v>
      </c>
      <c r="Z886" s="7" t="str">
        <f t="shared" si="82"/>
        <v>High Sales</v>
      </c>
      <c r="AA886" s="7" t="str">
        <f t="shared" si="83"/>
        <v>High Margin</v>
      </c>
    </row>
    <row r="887" spans="1:27" x14ac:dyDescent="0.25">
      <c r="A887" t="s">
        <v>130</v>
      </c>
      <c r="B887">
        <v>20</v>
      </c>
      <c r="C887">
        <v>-14</v>
      </c>
      <c r="D887" s="1">
        <v>42067</v>
      </c>
      <c r="E887">
        <v>218</v>
      </c>
      <c r="F887">
        <v>25</v>
      </c>
      <c r="G887" t="s">
        <v>39</v>
      </c>
      <c r="H887" t="s">
        <v>22</v>
      </c>
      <c r="I887">
        <v>7</v>
      </c>
      <c r="J887" t="s">
        <v>23</v>
      </c>
      <c r="K887" t="s">
        <v>32</v>
      </c>
      <c r="L887" t="s">
        <v>61</v>
      </c>
      <c r="M887">
        <v>-24</v>
      </c>
      <c r="N887">
        <v>48</v>
      </c>
      <c r="O887" t="s">
        <v>58</v>
      </c>
      <c r="P887">
        <v>10</v>
      </c>
      <c r="Q887">
        <v>20</v>
      </c>
      <c r="R887">
        <v>-10</v>
      </c>
      <c r="S887">
        <v>30</v>
      </c>
      <c r="T887">
        <v>41</v>
      </c>
      <c r="U887" t="s">
        <v>35</v>
      </c>
      <c r="V887">
        <f t="shared" si="78"/>
        <v>-0.5</v>
      </c>
      <c r="W887">
        <f t="shared" si="79"/>
        <v>-14</v>
      </c>
      <c r="X887">
        <f t="shared" si="80"/>
        <v>18</v>
      </c>
      <c r="Y887">
        <f t="shared" si="81"/>
        <v>0.41666666666666669</v>
      </c>
      <c r="Z887" s="7" t="str">
        <f t="shared" si="82"/>
        <v>Low Sales</v>
      </c>
      <c r="AA887" s="7" t="str">
        <f t="shared" si="83"/>
        <v>Low Margin</v>
      </c>
    </row>
    <row r="888" spans="1:27" x14ac:dyDescent="0.25">
      <c r="A888" t="s">
        <v>206</v>
      </c>
      <c r="B888">
        <v>154</v>
      </c>
      <c r="C888">
        <v>-17</v>
      </c>
      <c r="D888" s="1">
        <v>42068</v>
      </c>
      <c r="E888">
        <v>3654</v>
      </c>
      <c r="F888">
        <v>-24</v>
      </c>
      <c r="G888" t="s">
        <v>21</v>
      </c>
      <c r="H888" t="s">
        <v>36</v>
      </c>
      <c r="I888">
        <v>50</v>
      </c>
      <c r="J888" t="s">
        <v>40</v>
      </c>
      <c r="K888" t="s">
        <v>45</v>
      </c>
      <c r="L888" t="s">
        <v>46</v>
      </c>
      <c r="M888">
        <v>-117</v>
      </c>
      <c r="N888">
        <v>130</v>
      </c>
      <c r="O888" t="s">
        <v>38</v>
      </c>
      <c r="P888">
        <v>220</v>
      </c>
      <c r="Q888">
        <v>-30</v>
      </c>
      <c r="R888">
        <v>-100</v>
      </c>
      <c r="S888">
        <v>190</v>
      </c>
      <c r="T888">
        <v>93</v>
      </c>
      <c r="U888" t="s">
        <v>27</v>
      </c>
      <c r="V888">
        <f t="shared" si="78"/>
        <v>-0.9</v>
      </c>
      <c r="W888">
        <f t="shared" si="79"/>
        <v>-17</v>
      </c>
      <c r="X888">
        <f t="shared" si="80"/>
        <v>-60</v>
      </c>
      <c r="Y888">
        <f t="shared" si="81"/>
        <v>1.1846153846153846</v>
      </c>
      <c r="Z888" s="7" t="str">
        <f t="shared" si="82"/>
        <v>Low Sales</v>
      </c>
      <c r="AA888" s="7" t="str">
        <f t="shared" si="83"/>
        <v>Low Margin</v>
      </c>
    </row>
    <row r="889" spans="1:27" x14ac:dyDescent="0.25">
      <c r="A889" t="s">
        <v>207</v>
      </c>
      <c r="B889">
        <v>257</v>
      </c>
      <c r="C889">
        <v>-15</v>
      </c>
      <c r="D889" s="1">
        <v>42069</v>
      </c>
      <c r="E889">
        <v>1662</v>
      </c>
      <c r="F889">
        <v>341</v>
      </c>
      <c r="G889" t="s">
        <v>21</v>
      </c>
      <c r="H889" t="s">
        <v>36</v>
      </c>
      <c r="I889">
        <v>84</v>
      </c>
      <c r="J889" t="s">
        <v>40</v>
      </c>
      <c r="K889" t="s">
        <v>41</v>
      </c>
      <c r="L889" t="s">
        <v>42</v>
      </c>
      <c r="M889">
        <v>225</v>
      </c>
      <c r="N889">
        <v>598</v>
      </c>
      <c r="O889" t="s">
        <v>38</v>
      </c>
      <c r="P889">
        <v>230</v>
      </c>
      <c r="Q889">
        <v>320</v>
      </c>
      <c r="R889">
        <v>240</v>
      </c>
      <c r="S889">
        <v>550</v>
      </c>
      <c r="T889">
        <v>116</v>
      </c>
      <c r="U889" t="s">
        <v>27</v>
      </c>
      <c r="V889">
        <f t="shared" si="78"/>
        <v>0.37625418060200672</v>
      </c>
      <c r="W889">
        <f t="shared" si="79"/>
        <v>-15</v>
      </c>
      <c r="X889">
        <f t="shared" si="80"/>
        <v>48</v>
      </c>
      <c r="Y889">
        <f t="shared" si="81"/>
        <v>0.42976588628762541</v>
      </c>
      <c r="Z889" s="7" t="str">
        <f t="shared" si="82"/>
        <v>High Sales</v>
      </c>
      <c r="AA889" s="7" t="str">
        <f t="shared" si="83"/>
        <v>High Margin</v>
      </c>
    </row>
    <row r="890" spans="1:27" x14ac:dyDescent="0.25">
      <c r="A890" t="s">
        <v>208</v>
      </c>
      <c r="B890">
        <v>122</v>
      </c>
      <c r="C890">
        <v>-14</v>
      </c>
      <c r="D890" s="1">
        <v>42070</v>
      </c>
      <c r="E890">
        <v>2555</v>
      </c>
      <c r="F890">
        <v>-13</v>
      </c>
      <c r="G890" t="s">
        <v>21</v>
      </c>
      <c r="H890" t="s">
        <v>36</v>
      </c>
      <c r="I890">
        <v>39</v>
      </c>
      <c r="J890" t="s">
        <v>40</v>
      </c>
      <c r="K890" t="s">
        <v>45</v>
      </c>
      <c r="L890" t="s">
        <v>50</v>
      </c>
      <c r="M890">
        <v>-74</v>
      </c>
      <c r="N890">
        <v>109</v>
      </c>
      <c r="O890" t="s">
        <v>38</v>
      </c>
      <c r="P890">
        <v>170</v>
      </c>
      <c r="Q890">
        <v>-20</v>
      </c>
      <c r="R890">
        <v>-60</v>
      </c>
      <c r="S890">
        <v>150</v>
      </c>
      <c r="T890">
        <v>61</v>
      </c>
      <c r="U890" t="s">
        <v>35</v>
      </c>
      <c r="V890">
        <f t="shared" si="78"/>
        <v>-0.67889908256880738</v>
      </c>
      <c r="W890">
        <f t="shared" si="79"/>
        <v>-14</v>
      </c>
      <c r="X890">
        <f t="shared" si="80"/>
        <v>-41</v>
      </c>
      <c r="Y890">
        <f t="shared" si="81"/>
        <v>1.1192660550458715</v>
      </c>
      <c r="Z890" s="7" t="str">
        <f t="shared" si="82"/>
        <v>Low Sales</v>
      </c>
      <c r="AA890" s="7" t="str">
        <f t="shared" si="83"/>
        <v>Low Margin</v>
      </c>
    </row>
    <row r="891" spans="1:27" x14ac:dyDescent="0.25">
      <c r="A891" t="s">
        <v>149</v>
      </c>
      <c r="B891">
        <v>260</v>
      </c>
      <c r="C891">
        <v>-223</v>
      </c>
      <c r="D891" s="1">
        <v>42071</v>
      </c>
      <c r="E891">
        <v>2548</v>
      </c>
      <c r="F891">
        <v>390</v>
      </c>
      <c r="G891" t="s">
        <v>21</v>
      </c>
      <c r="H891" t="s">
        <v>36</v>
      </c>
      <c r="I891">
        <v>91</v>
      </c>
      <c r="J891" t="s">
        <v>40</v>
      </c>
      <c r="K891" t="s">
        <v>45</v>
      </c>
      <c r="L891" t="s">
        <v>52</v>
      </c>
      <c r="M891">
        <v>247</v>
      </c>
      <c r="N891">
        <v>650</v>
      </c>
      <c r="O891" t="s">
        <v>38</v>
      </c>
      <c r="P891">
        <v>380</v>
      </c>
      <c r="Q891">
        <v>580</v>
      </c>
      <c r="R891">
        <v>470</v>
      </c>
      <c r="S891">
        <v>960</v>
      </c>
      <c r="T891">
        <v>143</v>
      </c>
      <c r="U891" t="s">
        <v>35</v>
      </c>
      <c r="V891">
        <f t="shared" si="78"/>
        <v>0.38</v>
      </c>
      <c r="W891">
        <f t="shared" si="79"/>
        <v>-223</v>
      </c>
      <c r="X891">
        <f t="shared" si="80"/>
        <v>-310</v>
      </c>
      <c r="Y891">
        <f t="shared" si="81"/>
        <v>0.4</v>
      </c>
      <c r="Z891" s="7" t="str">
        <f t="shared" si="82"/>
        <v>High Sales</v>
      </c>
      <c r="AA891" s="7" t="str">
        <f t="shared" si="83"/>
        <v>High Margin</v>
      </c>
    </row>
    <row r="892" spans="1:27" x14ac:dyDescent="0.25">
      <c r="A892" t="s">
        <v>72</v>
      </c>
      <c r="B892">
        <v>239</v>
      </c>
      <c r="C892">
        <v>-11</v>
      </c>
      <c r="D892" s="1">
        <v>42072</v>
      </c>
      <c r="E892">
        <v>1755</v>
      </c>
      <c r="F892">
        <v>239</v>
      </c>
      <c r="G892" t="s">
        <v>21</v>
      </c>
      <c r="H892" t="s">
        <v>36</v>
      </c>
      <c r="I892">
        <v>66</v>
      </c>
      <c r="J892" t="s">
        <v>40</v>
      </c>
      <c r="K892" t="s">
        <v>41</v>
      </c>
      <c r="L892" t="s">
        <v>54</v>
      </c>
      <c r="M892">
        <v>149</v>
      </c>
      <c r="N892">
        <v>478</v>
      </c>
      <c r="O892" t="s">
        <v>38</v>
      </c>
      <c r="P892">
        <v>210</v>
      </c>
      <c r="Q892">
        <v>220</v>
      </c>
      <c r="R892">
        <v>160</v>
      </c>
      <c r="S892">
        <v>430</v>
      </c>
      <c r="T892">
        <v>90</v>
      </c>
      <c r="U892" t="s">
        <v>35</v>
      </c>
      <c r="V892">
        <f t="shared" si="78"/>
        <v>0.31171548117154813</v>
      </c>
      <c r="W892">
        <f t="shared" si="79"/>
        <v>-11</v>
      </c>
      <c r="X892">
        <f t="shared" si="80"/>
        <v>48</v>
      </c>
      <c r="Y892">
        <f t="shared" si="81"/>
        <v>0.5</v>
      </c>
      <c r="Z892" s="7" t="str">
        <f t="shared" si="82"/>
        <v>High Sales</v>
      </c>
      <c r="AA892" s="7" t="str">
        <f t="shared" si="83"/>
        <v>High Margin</v>
      </c>
    </row>
    <row r="893" spans="1:27" x14ac:dyDescent="0.25">
      <c r="A893" t="s">
        <v>72</v>
      </c>
      <c r="B893">
        <v>125</v>
      </c>
      <c r="C893">
        <v>-23</v>
      </c>
      <c r="D893" s="1">
        <v>42073</v>
      </c>
      <c r="E893">
        <v>898</v>
      </c>
      <c r="F893">
        <v>173</v>
      </c>
      <c r="G893" t="s">
        <v>21</v>
      </c>
      <c r="H893" t="s">
        <v>36</v>
      </c>
      <c r="I893">
        <v>113</v>
      </c>
      <c r="J893" t="s">
        <v>40</v>
      </c>
      <c r="K893" t="s">
        <v>41</v>
      </c>
      <c r="L893" t="s">
        <v>53</v>
      </c>
      <c r="M893">
        <v>27</v>
      </c>
      <c r="N893">
        <v>298</v>
      </c>
      <c r="O893" t="s">
        <v>38</v>
      </c>
      <c r="P893">
        <v>110</v>
      </c>
      <c r="Q893">
        <v>160</v>
      </c>
      <c r="R893">
        <v>50</v>
      </c>
      <c r="S893">
        <v>270</v>
      </c>
      <c r="T893">
        <v>146</v>
      </c>
      <c r="U893" t="s">
        <v>35</v>
      </c>
      <c r="V893">
        <f t="shared" si="78"/>
        <v>9.0604026845637578E-2</v>
      </c>
      <c r="W893">
        <f t="shared" si="79"/>
        <v>-23</v>
      </c>
      <c r="X893">
        <f t="shared" si="80"/>
        <v>28</v>
      </c>
      <c r="Y893">
        <f t="shared" si="81"/>
        <v>0.41946308724832215</v>
      </c>
      <c r="Z893" s="7" t="str">
        <f t="shared" si="82"/>
        <v>High Sales</v>
      </c>
      <c r="AA893" s="7" t="str">
        <f t="shared" si="83"/>
        <v>High Margin</v>
      </c>
    </row>
    <row r="894" spans="1:27" x14ac:dyDescent="0.25">
      <c r="A894" t="s">
        <v>209</v>
      </c>
      <c r="B894">
        <v>108</v>
      </c>
      <c r="C894">
        <v>-5</v>
      </c>
      <c r="D894" s="1">
        <v>42074</v>
      </c>
      <c r="E894">
        <v>971</v>
      </c>
      <c r="F894">
        <v>157</v>
      </c>
      <c r="G894" t="s">
        <v>21</v>
      </c>
      <c r="H894" t="s">
        <v>36</v>
      </c>
      <c r="I894">
        <v>30</v>
      </c>
      <c r="J894" t="s">
        <v>23</v>
      </c>
      <c r="K894" t="s">
        <v>24</v>
      </c>
      <c r="L894" t="s">
        <v>57</v>
      </c>
      <c r="M894">
        <v>115</v>
      </c>
      <c r="N894">
        <v>265</v>
      </c>
      <c r="O894" t="s">
        <v>38</v>
      </c>
      <c r="P894">
        <v>80</v>
      </c>
      <c r="Q894">
        <v>130</v>
      </c>
      <c r="R894">
        <v>120</v>
      </c>
      <c r="S894">
        <v>210</v>
      </c>
      <c r="T894">
        <v>42</v>
      </c>
      <c r="U894" t="s">
        <v>27</v>
      </c>
      <c r="V894">
        <f t="shared" si="78"/>
        <v>0.43396226415094341</v>
      </c>
      <c r="W894">
        <f t="shared" si="79"/>
        <v>-5</v>
      </c>
      <c r="X894">
        <f t="shared" si="80"/>
        <v>55</v>
      </c>
      <c r="Y894">
        <f t="shared" si="81"/>
        <v>0.40754716981132078</v>
      </c>
      <c r="Z894" s="7" t="str">
        <f t="shared" si="82"/>
        <v>Low Sales</v>
      </c>
      <c r="AA894" s="7" t="str">
        <f t="shared" si="83"/>
        <v>High Margin</v>
      </c>
    </row>
    <row r="895" spans="1:27" x14ac:dyDescent="0.25">
      <c r="A895" t="s">
        <v>72</v>
      </c>
      <c r="B895">
        <v>239</v>
      </c>
      <c r="C895">
        <v>16</v>
      </c>
      <c r="D895" s="1">
        <v>42075</v>
      </c>
      <c r="E895">
        <v>1246</v>
      </c>
      <c r="F895">
        <v>281</v>
      </c>
      <c r="G895" t="s">
        <v>21</v>
      </c>
      <c r="H895" t="s">
        <v>36</v>
      </c>
      <c r="I895">
        <v>74</v>
      </c>
      <c r="J895" t="s">
        <v>23</v>
      </c>
      <c r="K895" t="s">
        <v>24</v>
      </c>
      <c r="L895" t="s">
        <v>25</v>
      </c>
      <c r="M895">
        <v>186</v>
      </c>
      <c r="N895">
        <v>520</v>
      </c>
      <c r="O895" t="s">
        <v>38</v>
      </c>
      <c r="P895">
        <v>190</v>
      </c>
      <c r="Q895">
        <v>220</v>
      </c>
      <c r="R895">
        <v>170</v>
      </c>
      <c r="S895">
        <v>410</v>
      </c>
      <c r="T895">
        <v>95</v>
      </c>
      <c r="U895" t="s">
        <v>27</v>
      </c>
      <c r="V895">
        <f t="shared" si="78"/>
        <v>0.3576923076923077</v>
      </c>
      <c r="W895">
        <f t="shared" si="79"/>
        <v>16</v>
      </c>
      <c r="X895">
        <f t="shared" si="80"/>
        <v>110</v>
      </c>
      <c r="Y895">
        <f t="shared" si="81"/>
        <v>0.45961538461538459</v>
      </c>
      <c r="Z895" s="7" t="str">
        <f t="shared" si="82"/>
        <v>High Sales</v>
      </c>
      <c r="AA895" s="7" t="str">
        <f t="shared" si="83"/>
        <v>High Margin</v>
      </c>
    </row>
    <row r="896" spans="1:27" x14ac:dyDescent="0.25">
      <c r="A896" t="s">
        <v>72</v>
      </c>
      <c r="B896">
        <v>123</v>
      </c>
      <c r="C896">
        <v>54</v>
      </c>
      <c r="D896" s="1">
        <v>42076</v>
      </c>
      <c r="E896">
        <v>915</v>
      </c>
      <c r="F896">
        <v>179</v>
      </c>
      <c r="G896" t="s">
        <v>21</v>
      </c>
      <c r="H896" t="s">
        <v>36</v>
      </c>
      <c r="I896">
        <v>34</v>
      </c>
      <c r="J896" t="s">
        <v>23</v>
      </c>
      <c r="K896" t="s">
        <v>32</v>
      </c>
      <c r="L896" t="s">
        <v>33</v>
      </c>
      <c r="M896">
        <v>134</v>
      </c>
      <c r="N896">
        <v>302</v>
      </c>
      <c r="O896" t="s">
        <v>38</v>
      </c>
      <c r="P896">
        <v>50</v>
      </c>
      <c r="Q896">
        <v>90</v>
      </c>
      <c r="R896">
        <v>80</v>
      </c>
      <c r="S896">
        <v>140</v>
      </c>
      <c r="T896">
        <v>45</v>
      </c>
      <c r="U896" t="s">
        <v>35</v>
      </c>
      <c r="V896">
        <f t="shared" si="78"/>
        <v>0.44370860927152317</v>
      </c>
      <c r="W896">
        <f t="shared" si="79"/>
        <v>54</v>
      </c>
      <c r="X896">
        <f t="shared" si="80"/>
        <v>162</v>
      </c>
      <c r="Y896">
        <f t="shared" si="81"/>
        <v>0.40728476821192056</v>
      </c>
      <c r="Z896" s="7" t="str">
        <f t="shared" si="82"/>
        <v>High Sales</v>
      </c>
      <c r="AA896" s="7" t="str">
        <f t="shared" si="83"/>
        <v>High Margin</v>
      </c>
    </row>
    <row r="897" spans="1:27" x14ac:dyDescent="0.25">
      <c r="A897" t="s">
        <v>85</v>
      </c>
      <c r="B897">
        <v>43</v>
      </c>
      <c r="C897">
        <v>-51</v>
      </c>
      <c r="D897" s="1">
        <v>42077</v>
      </c>
      <c r="E897">
        <v>419</v>
      </c>
      <c r="F897">
        <v>64</v>
      </c>
      <c r="G897" t="s">
        <v>39</v>
      </c>
      <c r="H897" t="s">
        <v>36</v>
      </c>
      <c r="I897">
        <v>13</v>
      </c>
      <c r="J897" t="s">
        <v>40</v>
      </c>
      <c r="K897" t="s">
        <v>45</v>
      </c>
      <c r="L897" t="s">
        <v>46</v>
      </c>
      <c r="M897">
        <v>29</v>
      </c>
      <c r="N897">
        <v>107</v>
      </c>
      <c r="O897" t="s">
        <v>56</v>
      </c>
      <c r="P897">
        <v>50</v>
      </c>
      <c r="Q897">
        <v>100</v>
      </c>
      <c r="R897">
        <v>80</v>
      </c>
      <c r="S897">
        <v>150</v>
      </c>
      <c r="T897">
        <v>35</v>
      </c>
      <c r="U897" t="s">
        <v>27</v>
      </c>
      <c r="V897">
        <f t="shared" si="78"/>
        <v>0.27102803738317754</v>
      </c>
      <c r="W897">
        <f t="shared" si="79"/>
        <v>-51</v>
      </c>
      <c r="X897">
        <f t="shared" si="80"/>
        <v>-43</v>
      </c>
      <c r="Y897">
        <f t="shared" si="81"/>
        <v>0.40186915887850466</v>
      </c>
      <c r="Z897" s="7" t="str">
        <f t="shared" si="82"/>
        <v>Low Sales</v>
      </c>
      <c r="AA897" s="7" t="str">
        <f t="shared" si="83"/>
        <v>High Margin</v>
      </c>
    </row>
    <row r="898" spans="1:27" x14ac:dyDescent="0.25">
      <c r="A898" t="s">
        <v>77</v>
      </c>
      <c r="B898">
        <v>79</v>
      </c>
      <c r="C898">
        <v>-86</v>
      </c>
      <c r="D898" s="1">
        <v>42078</v>
      </c>
      <c r="E898">
        <v>593</v>
      </c>
      <c r="F898">
        <v>98</v>
      </c>
      <c r="G898" t="s">
        <v>39</v>
      </c>
      <c r="H898" t="s">
        <v>36</v>
      </c>
      <c r="I898">
        <v>30</v>
      </c>
      <c r="J898" t="s">
        <v>40</v>
      </c>
      <c r="K898" t="s">
        <v>45</v>
      </c>
      <c r="L898" t="s">
        <v>46</v>
      </c>
      <c r="M898">
        <v>34</v>
      </c>
      <c r="N898">
        <v>177</v>
      </c>
      <c r="O898" t="s">
        <v>49</v>
      </c>
      <c r="P898">
        <v>100</v>
      </c>
      <c r="Q898">
        <v>160</v>
      </c>
      <c r="R898">
        <v>120</v>
      </c>
      <c r="S898">
        <v>260</v>
      </c>
      <c r="T898">
        <v>64</v>
      </c>
      <c r="U898" t="s">
        <v>27</v>
      </c>
      <c r="V898">
        <f t="shared" ref="V898:V961" si="84">M898/N898</f>
        <v>0.19209039548022599</v>
      </c>
      <c r="W898">
        <f t="shared" ref="W898:W961" si="85">M898-R898</f>
        <v>-86</v>
      </c>
      <c r="X898">
        <f t="shared" ref="X898:X961" si="86">N898-S898</f>
        <v>-83</v>
      </c>
      <c r="Y898">
        <f t="shared" ref="Y898:Y961" si="87">B898/N898</f>
        <v>0.4463276836158192</v>
      </c>
      <c r="Z898" s="7" t="str">
        <f t="shared" ref="Z898:Z961" si="88">IF(N898&gt;=AVERAGE(N898:N1959),"High Sales","Low Sales")</f>
        <v>Low Sales</v>
      </c>
      <c r="AA898" s="7" t="str">
        <f t="shared" ref="AA898:AA961" si="89">IF(V898&gt;=AVERAGE(V898:V1959), "High Margin", "Low Margin")</f>
        <v>High Margin</v>
      </c>
    </row>
    <row r="899" spans="1:27" x14ac:dyDescent="0.25">
      <c r="A899" t="s">
        <v>84</v>
      </c>
      <c r="B899">
        <v>96</v>
      </c>
      <c r="C899">
        <v>-83</v>
      </c>
      <c r="D899" s="1">
        <v>42079</v>
      </c>
      <c r="E899">
        <v>683</v>
      </c>
      <c r="F899">
        <v>134</v>
      </c>
      <c r="G899" t="s">
        <v>39</v>
      </c>
      <c r="H899" t="s">
        <v>36</v>
      </c>
      <c r="I899">
        <v>87</v>
      </c>
      <c r="J899" t="s">
        <v>40</v>
      </c>
      <c r="K899" t="s">
        <v>45</v>
      </c>
      <c r="L899" t="s">
        <v>46</v>
      </c>
      <c r="M899">
        <v>17</v>
      </c>
      <c r="N899">
        <v>230</v>
      </c>
      <c r="O899" t="s">
        <v>60</v>
      </c>
      <c r="P899">
        <v>140</v>
      </c>
      <c r="Q899">
        <v>190</v>
      </c>
      <c r="R899">
        <v>100</v>
      </c>
      <c r="S899">
        <v>330</v>
      </c>
      <c r="T899">
        <v>117</v>
      </c>
      <c r="U899" t="s">
        <v>27</v>
      </c>
      <c r="V899">
        <f t="shared" si="84"/>
        <v>7.3913043478260873E-2</v>
      </c>
      <c r="W899">
        <f t="shared" si="85"/>
        <v>-83</v>
      </c>
      <c r="X899">
        <f t="shared" si="86"/>
        <v>-100</v>
      </c>
      <c r="Y899">
        <f t="shared" si="87"/>
        <v>0.41739130434782606</v>
      </c>
      <c r="Z899" s="7" t="str">
        <f t="shared" si="88"/>
        <v>Low Sales</v>
      </c>
      <c r="AA899" s="7" t="str">
        <f t="shared" si="89"/>
        <v>High Margin</v>
      </c>
    </row>
    <row r="900" spans="1:27" x14ac:dyDescent="0.25">
      <c r="A900" t="s">
        <v>80</v>
      </c>
      <c r="B900">
        <v>161</v>
      </c>
      <c r="C900">
        <v>-19</v>
      </c>
      <c r="D900" s="1">
        <v>42080</v>
      </c>
      <c r="E900">
        <v>1267</v>
      </c>
      <c r="F900">
        <v>161</v>
      </c>
      <c r="G900" t="s">
        <v>39</v>
      </c>
      <c r="H900" t="s">
        <v>36</v>
      </c>
      <c r="I900">
        <v>45</v>
      </c>
      <c r="J900" t="s">
        <v>40</v>
      </c>
      <c r="K900" t="s">
        <v>41</v>
      </c>
      <c r="L900" t="s">
        <v>42</v>
      </c>
      <c r="M900">
        <v>91</v>
      </c>
      <c r="N900">
        <v>322</v>
      </c>
      <c r="O900" t="s">
        <v>56</v>
      </c>
      <c r="P900">
        <v>140</v>
      </c>
      <c r="Q900">
        <v>150</v>
      </c>
      <c r="R900">
        <v>110</v>
      </c>
      <c r="S900">
        <v>290</v>
      </c>
      <c r="T900">
        <v>70</v>
      </c>
      <c r="U900" t="s">
        <v>27</v>
      </c>
      <c r="V900">
        <f t="shared" si="84"/>
        <v>0.28260869565217389</v>
      </c>
      <c r="W900">
        <f t="shared" si="85"/>
        <v>-19</v>
      </c>
      <c r="X900">
        <f t="shared" si="86"/>
        <v>32</v>
      </c>
      <c r="Y900">
        <f t="shared" si="87"/>
        <v>0.5</v>
      </c>
      <c r="Z900" s="7" t="str">
        <f t="shared" si="88"/>
        <v>High Sales</v>
      </c>
      <c r="AA900" s="7" t="str">
        <f t="shared" si="89"/>
        <v>High Margin</v>
      </c>
    </row>
    <row r="901" spans="1:27" x14ac:dyDescent="0.25">
      <c r="A901" t="s">
        <v>124</v>
      </c>
      <c r="B901">
        <v>80</v>
      </c>
      <c r="C901">
        <v>-32</v>
      </c>
      <c r="D901" s="1">
        <v>42081</v>
      </c>
      <c r="E901">
        <v>1055</v>
      </c>
      <c r="F901">
        <v>94</v>
      </c>
      <c r="G901" t="s">
        <v>39</v>
      </c>
      <c r="H901" t="s">
        <v>36</v>
      </c>
      <c r="I901">
        <v>24</v>
      </c>
      <c r="J901" t="s">
        <v>40</v>
      </c>
      <c r="K901" t="s">
        <v>41</v>
      </c>
      <c r="L901" t="s">
        <v>42</v>
      </c>
      <c r="M901">
        <v>48</v>
      </c>
      <c r="N901">
        <v>174</v>
      </c>
      <c r="O901" t="s">
        <v>60</v>
      </c>
      <c r="P901">
        <v>60</v>
      </c>
      <c r="Q901">
        <v>90</v>
      </c>
      <c r="R901">
        <v>80</v>
      </c>
      <c r="S901">
        <v>150</v>
      </c>
      <c r="T901">
        <v>46</v>
      </c>
      <c r="U901" t="s">
        <v>27</v>
      </c>
      <c r="V901">
        <f t="shared" si="84"/>
        <v>0.27586206896551724</v>
      </c>
      <c r="W901">
        <f t="shared" si="85"/>
        <v>-32</v>
      </c>
      <c r="X901">
        <f t="shared" si="86"/>
        <v>24</v>
      </c>
      <c r="Y901">
        <f t="shared" si="87"/>
        <v>0.45977011494252873</v>
      </c>
      <c r="Z901" s="7" t="str">
        <f t="shared" si="88"/>
        <v>Low Sales</v>
      </c>
      <c r="AA901" s="7" t="str">
        <f t="shared" si="89"/>
        <v>High Margin</v>
      </c>
    </row>
    <row r="902" spans="1:27" x14ac:dyDescent="0.25">
      <c r="A902" t="s">
        <v>85</v>
      </c>
      <c r="B902">
        <v>51</v>
      </c>
      <c r="C902">
        <v>-55</v>
      </c>
      <c r="D902" s="1">
        <v>42082</v>
      </c>
      <c r="E902">
        <v>503</v>
      </c>
      <c r="F902">
        <v>71</v>
      </c>
      <c r="G902" t="s">
        <v>39</v>
      </c>
      <c r="H902" t="s">
        <v>36</v>
      </c>
      <c r="I902">
        <v>46</v>
      </c>
      <c r="J902" t="s">
        <v>40</v>
      </c>
      <c r="K902" t="s">
        <v>45</v>
      </c>
      <c r="L902" t="s">
        <v>50</v>
      </c>
      <c r="M902">
        <v>-5</v>
      </c>
      <c r="N902">
        <v>122</v>
      </c>
      <c r="O902" t="s">
        <v>56</v>
      </c>
      <c r="P902">
        <v>70</v>
      </c>
      <c r="Q902">
        <v>100</v>
      </c>
      <c r="R902">
        <v>50</v>
      </c>
      <c r="S902">
        <v>170</v>
      </c>
      <c r="T902">
        <v>76</v>
      </c>
      <c r="U902" t="s">
        <v>35</v>
      </c>
      <c r="V902">
        <f t="shared" si="84"/>
        <v>-4.0983606557377046E-2</v>
      </c>
      <c r="W902">
        <f t="shared" si="85"/>
        <v>-55</v>
      </c>
      <c r="X902">
        <f t="shared" si="86"/>
        <v>-48</v>
      </c>
      <c r="Y902">
        <f t="shared" si="87"/>
        <v>0.41803278688524592</v>
      </c>
      <c r="Z902" s="7" t="str">
        <f t="shared" si="88"/>
        <v>Low Sales</v>
      </c>
      <c r="AA902" s="7" t="str">
        <f t="shared" si="89"/>
        <v>High Margin</v>
      </c>
    </row>
    <row r="903" spans="1:27" x14ac:dyDescent="0.25">
      <c r="A903" t="s">
        <v>77</v>
      </c>
      <c r="B903">
        <v>65</v>
      </c>
      <c r="C903">
        <v>-54</v>
      </c>
      <c r="D903" s="1">
        <v>42083</v>
      </c>
      <c r="E903">
        <v>1053</v>
      </c>
      <c r="F903">
        <v>77</v>
      </c>
      <c r="G903" t="s">
        <v>39</v>
      </c>
      <c r="H903" t="s">
        <v>36</v>
      </c>
      <c r="I903">
        <v>20</v>
      </c>
      <c r="J903" t="s">
        <v>40</v>
      </c>
      <c r="K903" t="s">
        <v>45</v>
      </c>
      <c r="L903" t="s">
        <v>50</v>
      </c>
      <c r="M903">
        <v>36</v>
      </c>
      <c r="N903">
        <v>142</v>
      </c>
      <c r="O903" t="s">
        <v>49</v>
      </c>
      <c r="P903">
        <v>90</v>
      </c>
      <c r="Q903">
        <v>110</v>
      </c>
      <c r="R903">
        <v>90</v>
      </c>
      <c r="S903">
        <v>200</v>
      </c>
      <c r="T903">
        <v>41</v>
      </c>
      <c r="U903" t="s">
        <v>35</v>
      </c>
      <c r="V903">
        <f t="shared" si="84"/>
        <v>0.25352112676056338</v>
      </c>
      <c r="W903">
        <f t="shared" si="85"/>
        <v>-54</v>
      </c>
      <c r="X903">
        <f t="shared" si="86"/>
        <v>-58</v>
      </c>
      <c r="Y903">
        <f t="shared" si="87"/>
        <v>0.45774647887323944</v>
      </c>
      <c r="Z903" s="7" t="str">
        <f t="shared" si="88"/>
        <v>Low Sales</v>
      </c>
      <c r="AA903" s="7" t="str">
        <f t="shared" si="89"/>
        <v>High Margin</v>
      </c>
    </row>
    <row r="904" spans="1:27" x14ac:dyDescent="0.25">
      <c r="A904" t="s">
        <v>85</v>
      </c>
      <c r="B904">
        <v>60</v>
      </c>
      <c r="C904">
        <v>-69</v>
      </c>
      <c r="D904" s="1">
        <v>42084</v>
      </c>
      <c r="E904">
        <v>463</v>
      </c>
      <c r="F904">
        <v>84</v>
      </c>
      <c r="G904" t="s">
        <v>39</v>
      </c>
      <c r="H904" t="s">
        <v>36</v>
      </c>
      <c r="I904">
        <v>19</v>
      </c>
      <c r="J904" t="s">
        <v>40</v>
      </c>
      <c r="K904" t="s">
        <v>45</v>
      </c>
      <c r="L904" t="s">
        <v>52</v>
      </c>
      <c r="M904">
        <v>21</v>
      </c>
      <c r="N904">
        <v>144</v>
      </c>
      <c r="O904" t="s">
        <v>56</v>
      </c>
      <c r="P904">
        <v>80</v>
      </c>
      <c r="Q904">
        <v>130</v>
      </c>
      <c r="R904">
        <v>90</v>
      </c>
      <c r="S904">
        <v>210</v>
      </c>
      <c r="T904">
        <v>63</v>
      </c>
      <c r="U904" t="s">
        <v>35</v>
      </c>
      <c r="V904">
        <f t="shared" si="84"/>
        <v>0.14583333333333334</v>
      </c>
      <c r="W904">
        <f t="shared" si="85"/>
        <v>-69</v>
      </c>
      <c r="X904">
        <f t="shared" si="86"/>
        <v>-66</v>
      </c>
      <c r="Y904">
        <f t="shared" si="87"/>
        <v>0.41666666666666669</v>
      </c>
      <c r="Z904" s="7" t="str">
        <f t="shared" si="88"/>
        <v>Low Sales</v>
      </c>
      <c r="AA904" s="7" t="str">
        <f t="shared" si="89"/>
        <v>High Margin</v>
      </c>
    </row>
    <row r="905" spans="1:27" x14ac:dyDescent="0.25">
      <c r="A905" t="s">
        <v>77</v>
      </c>
      <c r="B905">
        <v>47</v>
      </c>
      <c r="C905">
        <v>-58</v>
      </c>
      <c r="D905" s="1">
        <v>42085</v>
      </c>
      <c r="E905">
        <v>375</v>
      </c>
      <c r="F905">
        <v>64</v>
      </c>
      <c r="G905" t="s">
        <v>39</v>
      </c>
      <c r="H905" t="s">
        <v>36</v>
      </c>
      <c r="I905">
        <v>15</v>
      </c>
      <c r="J905" t="s">
        <v>40</v>
      </c>
      <c r="K905" t="s">
        <v>45</v>
      </c>
      <c r="L905" t="s">
        <v>52</v>
      </c>
      <c r="M905">
        <v>22</v>
      </c>
      <c r="N905">
        <v>111</v>
      </c>
      <c r="O905" t="s">
        <v>49</v>
      </c>
      <c r="P905">
        <v>50</v>
      </c>
      <c r="Q905">
        <v>100</v>
      </c>
      <c r="R905">
        <v>80</v>
      </c>
      <c r="S905">
        <v>150</v>
      </c>
      <c r="T905">
        <v>42</v>
      </c>
      <c r="U905" t="s">
        <v>35</v>
      </c>
      <c r="V905">
        <f t="shared" si="84"/>
        <v>0.1981981981981982</v>
      </c>
      <c r="W905">
        <f t="shared" si="85"/>
        <v>-58</v>
      </c>
      <c r="X905">
        <f t="shared" si="86"/>
        <v>-39</v>
      </c>
      <c r="Y905">
        <f t="shared" si="87"/>
        <v>0.42342342342342343</v>
      </c>
      <c r="Z905" s="7" t="str">
        <f t="shared" si="88"/>
        <v>Low Sales</v>
      </c>
      <c r="AA905" s="7" t="str">
        <f t="shared" si="89"/>
        <v>High Margin</v>
      </c>
    </row>
    <row r="906" spans="1:27" x14ac:dyDescent="0.25">
      <c r="A906" t="s">
        <v>100</v>
      </c>
      <c r="B906">
        <v>68</v>
      </c>
      <c r="C906">
        <v>-54</v>
      </c>
      <c r="D906" s="1">
        <v>42086</v>
      </c>
      <c r="E906">
        <v>438</v>
      </c>
      <c r="F906">
        <v>99</v>
      </c>
      <c r="G906" t="s">
        <v>39</v>
      </c>
      <c r="H906" t="s">
        <v>36</v>
      </c>
      <c r="I906">
        <v>21</v>
      </c>
      <c r="J906" t="s">
        <v>40</v>
      </c>
      <c r="K906" t="s">
        <v>45</v>
      </c>
      <c r="L906" t="s">
        <v>52</v>
      </c>
      <c r="M906">
        <v>56</v>
      </c>
      <c r="N906">
        <v>167</v>
      </c>
      <c r="O906" t="s">
        <v>60</v>
      </c>
      <c r="P906">
        <v>90</v>
      </c>
      <c r="Q906">
        <v>140</v>
      </c>
      <c r="R906">
        <v>110</v>
      </c>
      <c r="S906">
        <v>230</v>
      </c>
      <c r="T906">
        <v>43</v>
      </c>
      <c r="U906" t="s">
        <v>35</v>
      </c>
      <c r="V906">
        <f t="shared" si="84"/>
        <v>0.33532934131736525</v>
      </c>
      <c r="W906">
        <f t="shared" si="85"/>
        <v>-54</v>
      </c>
      <c r="X906">
        <f t="shared" si="86"/>
        <v>-63</v>
      </c>
      <c r="Y906">
        <f t="shared" si="87"/>
        <v>0.40718562874251496</v>
      </c>
      <c r="Z906" s="7" t="str">
        <f t="shared" si="88"/>
        <v>Low Sales</v>
      </c>
      <c r="AA906" s="7" t="str">
        <f t="shared" si="89"/>
        <v>High Margin</v>
      </c>
    </row>
    <row r="907" spans="1:27" x14ac:dyDescent="0.25">
      <c r="A907" t="s">
        <v>100</v>
      </c>
      <c r="B907">
        <v>22</v>
      </c>
      <c r="C907">
        <v>-10</v>
      </c>
      <c r="D907" s="1">
        <v>42087</v>
      </c>
      <c r="E907">
        <v>573</v>
      </c>
      <c r="F907">
        <v>29</v>
      </c>
      <c r="G907" t="s">
        <v>39</v>
      </c>
      <c r="H907" t="s">
        <v>36</v>
      </c>
      <c r="I907">
        <v>7</v>
      </c>
      <c r="J907" t="s">
        <v>40</v>
      </c>
      <c r="K907" t="s">
        <v>41</v>
      </c>
      <c r="L907" t="s">
        <v>54</v>
      </c>
      <c r="M907">
        <v>10</v>
      </c>
      <c r="N907">
        <v>51</v>
      </c>
      <c r="O907" t="s">
        <v>60</v>
      </c>
      <c r="P907">
        <v>10</v>
      </c>
      <c r="Q907">
        <v>20</v>
      </c>
      <c r="R907">
        <v>20</v>
      </c>
      <c r="S907">
        <v>30</v>
      </c>
      <c r="T907">
        <v>19</v>
      </c>
      <c r="U907" t="s">
        <v>35</v>
      </c>
      <c r="V907">
        <f t="shared" si="84"/>
        <v>0.19607843137254902</v>
      </c>
      <c r="W907">
        <f t="shared" si="85"/>
        <v>-10</v>
      </c>
      <c r="X907">
        <f t="shared" si="86"/>
        <v>21</v>
      </c>
      <c r="Y907">
        <f t="shared" si="87"/>
        <v>0.43137254901960786</v>
      </c>
      <c r="Z907" s="7" t="str">
        <f t="shared" si="88"/>
        <v>Low Sales</v>
      </c>
      <c r="AA907" s="7" t="str">
        <f t="shared" si="89"/>
        <v>High Margin</v>
      </c>
    </row>
    <row r="908" spans="1:27" x14ac:dyDescent="0.25">
      <c r="A908" t="s">
        <v>116</v>
      </c>
      <c r="B908">
        <v>21</v>
      </c>
      <c r="C908">
        <v>-6</v>
      </c>
      <c r="D908" s="1">
        <v>42088</v>
      </c>
      <c r="E908">
        <v>846</v>
      </c>
      <c r="F908">
        <v>31</v>
      </c>
      <c r="G908" t="s">
        <v>39</v>
      </c>
      <c r="H908" t="s">
        <v>36</v>
      </c>
      <c r="I908">
        <v>5</v>
      </c>
      <c r="J908" t="s">
        <v>40</v>
      </c>
      <c r="K908" t="s">
        <v>41</v>
      </c>
      <c r="L908" t="s">
        <v>53</v>
      </c>
      <c r="M908">
        <v>14</v>
      </c>
      <c r="N908">
        <v>52</v>
      </c>
      <c r="O908" t="s">
        <v>48</v>
      </c>
      <c r="P908">
        <v>10</v>
      </c>
      <c r="Q908">
        <v>20</v>
      </c>
      <c r="R908">
        <v>20</v>
      </c>
      <c r="S908">
        <v>30</v>
      </c>
      <c r="T908">
        <v>17</v>
      </c>
      <c r="U908" t="s">
        <v>35</v>
      </c>
      <c r="V908">
        <f t="shared" si="84"/>
        <v>0.26923076923076922</v>
      </c>
      <c r="W908">
        <f t="shared" si="85"/>
        <v>-6</v>
      </c>
      <c r="X908">
        <f t="shared" si="86"/>
        <v>22</v>
      </c>
      <c r="Y908">
        <f t="shared" si="87"/>
        <v>0.40384615384615385</v>
      </c>
      <c r="Z908" s="7" t="str">
        <f t="shared" si="88"/>
        <v>Low Sales</v>
      </c>
      <c r="AA908" s="7" t="str">
        <f t="shared" si="89"/>
        <v>High Margin</v>
      </c>
    </row>
    <row r="909" spans="1:27" x14ac:dyDescent="0.25">
      <c r="A909" t="s">
        <v>83</v>
      </c>
      <c r="B909">
        <v>103</v>
      </c>
      <c r="C909">
        <v>-23</v>
      </c>
      <c r="D909" s="1">
        <v>42089</v>
      </c>
      <c r="E909">
        <v>564</v>
      </c>
      <c r="F909">
        <v>133</v>
      </c>
      <c r="G909" t="s">
        <v>39</v>
      </c>
      <c r="H909" t="s">
        <v>36</v>
      </c>
      <c r="I909">
        <v>33</v>
      </c>
      <c r="J909" t="s">
        <v>40</v>
      </c>
      <c r="K909" t="s">
        <v>41</v>
      </c>
      <c r="L909" t="s">
        <v>53</v>
      </c>
      <c r="M909">
        <v>87</v>
      </c>
      <c r="N909">
        <v>236</v>
      </c>
      <c r="O909" t="s">
        <v>49</v>
      </c>
      <c r="P909">
        <v>80</v>
      </c>
      <c r="Q909">
        <v>130</v>
      </c>
      <c r="R909">
        <v>110</v>
      </c>
      <c r="S909">
        <v>210</v>
      </c>
      <c r="T909">
        <v>46</v>
      </c>
      <c r="U909" t="s">
        <v>35</v>
      </c>
      <c r="V909">
        <f t="shared" si="84"/>
        <v>0.36864406779661019</v>
      </c>
      <c r="W909">
        <f t="shared" si="85"/>
        <v>-23</v>
      </c>
      <c r="X909">
        <f t="shared" si="86"/>
        <v>26</v>
      </c>
      <c r="Y909">
        <f t="shared" si="87"/>
        <v>0.4364406779661017</v>
      </c>
      <c r="Z909" s="7" t="str">
        <f t="shared" si="88"/>
        <v>Low Sales</v>
      </c>
      <c r="AA909" s="7" t="str">
        <f t="shared" si="89"/>
        <v>High Margin</v>
      </c>
    </row>
    <row r="910" spans="1:27" x14ac:dyDescent="0.25">
      <c r="A910" t="s">
        <v>76</v>
      </c>
      <c r="B910">
        <v>125</v>
      </c>
      <c r="C910">
        <v>-34</v>
      </c>
      <c r="D910" s="1">
        <v>42090</v>
      </c>
      <c r="E910">
        <v>898</v>
      </c>
      <c r="F910">
        <v>173</v>
      </c>
      <c r="G910" t="s">
        <v>39</v>
      </c>
      <c r="H910" t="s">
        <v>36</v>
      </c>
      <c r="I910">
        <v>113</v>
      </c>
      <c r="J910" t="s">
        <v>23</v>
      </c>
      <c r="K910" t="s">
        <v>24</v>
      </c>
      <c r="L910" t="s">
        <v>57</v>
      </c>
      <c r="M910">
        <v>26</v>
      </c>
      <c r="N910">
        <v>298</v>
      </c>
      <c r="O910" t="s">
        <v>48</v>
      </c>
      <c r="P910">
        <v>90</v>
      </c>
      <c r="Q910">
        <v>150</v>
      </c>
      <c r="R910">
        <v>60</v>
      </c>
      <c r="S910">
        <v>240</v>
      </c>
      <c r="T910">
        <v>147</v>
      </c>
      <c r="U910" t="s">
        <v>27</v>
      </c>
      <c r="V910">
        <f t="shared" si="84"/>
        <v>8.7248322147651006E-2</v>
      </c>
      <c r="W910">
        <f t="shared" si="85"/>
        <v>-34</v>
      </c>
      <c r="X910">
        <f t="shared" si="86"/>
        <v>58</v>
      </c>
      <c r="Y910">
        <f t="shared" si="87"/>
        <v>0.41946308724832215</v>
      </c>
      <c r="Z910" s="7" t="str">
        <f t="shared" si="88"/>
        <v>High Sales</v>
      </c>
      <c r="AA910" s="7" t="str">
        <f t="shared" si="89"/>
        <v>High Margin</v>
      </c>
    </row>
    <row r="911" spans="1:27" x14ac:dyDescent="0.25">
      <c r="A911" t="s">
        <v>100</v>
      </c>
      <c r="B911">
        <v>125</v>
      </c>
      <c r="C911">
        <v>-15</v>
      </c>
      <c r="D911" s="1">
        <v>42091</v>
      </c>
      <c r="E911">
        <v>1119</v>
      </c>
      <c r="F911">
        <v>188</v>
      </c>
      <c r="G911" t="s">
        <v>39</v>
      </c>
      <c r="H911" t="s">
        <v>36</v>
      </c>
      <c r="I911">
        <v>41</v>
      </c>
      <c r="J911" t="s">
        <v>23</v>
      </c>
      <c r="K911" t="s">
        <v>24</v>
      </c>
      <c r="L911" t="s">
        <v>57</v>
      </c>
      <c r="M911">
        <v>115</v>
      </c>
      <c r="N911">
        <v>313</v>
      </c>
      <c r="O911" t="s">
        <v>60</v>
      </c>
      <c r="P911">
        <v>90</v>
      </c>
      <c r="Q911">
        <v>160</v>
      </c>
      <c r="R911">
        <v>130</v>
      </c>
      <c r="S911">
        <v>250</v>
      </c>
      <c r="T911">
        <v>73</v>
      </c>
      <c r="U911" t="s">
        <v>27</v>
      </c>
      <c r="V911">
        <f t="shared" si="84"/>
        <v>0.36741214057507987</v>
      </c>
      <c r="W911">
        <f t="shared" si="85"/>
        <v>-15</v>
      </c>
      <c r="X911">
        <f t="shared" si="86"/>
        <v>63</v>
      </c>
      <c r="Y911">
        <f t="shared" si="87"/>
        <v>0.39936102236421728</v>
      </c>
      <c r="Z911" s="7" t="str">
        <f t="shared" si="88"/>
        <v>High Sales</v>
      </c>
      <c r="AA911" s="7" t="str">
        <f t="shared" si="89"/>
        <v>High Margin</v>
      </c>
    </row>
    <row r="912" spans="1:27" x14ac:dyDescent="0.25">
      <c r="A912" t="s">
        <v>116</v>
      </c>
      <c r="B912">
        <v>154</v>
      </c>
      <c r="C912">
        <v>0</v>
      </c>
      <c r="D912" s="1">
        <v>42092</v>
      </c>
      <c r="E912">
        <v>1132</v>
      </c>
      <c r="F912">
        <v>213</v>
      </c>
      <c r="G912" t="s">
        <v>39</v>
      </c>
      <c r="H912" t="s">
        <v>36</v>
      </c>
      <c r="I912">
        <v>50</v>
      </c>
      <c r="J912" t="s">
        <v>23</v>
      </c>
      <c r="K912" t="s">
        <v>24</v>
      </c>
      <c r="L912" t="s">
        <v>25</v>
      </c>
      <c r="M912">
        <v>120</v>
      </c>
      <c r="N912">
        <v>367</v>
      </c>
      <c r="O912" t="s">
        <v>48</v>
      </c>
      <c r="P912">
        <v>120</v>
      </c>
      <c r="Q912">
        <v>170</v>
      </c>
      <c r="R912">
        <v>120</v>
      </c>
      <c r="S912">
        <v>290</v>
      </c>
      <c r="T912">
        <v>93</v>
      </c>
      <c r="U912" t="s">
        <v>27</v>
      </c>
      <c r="V912">
        <f t="shared" si="84"/>
        <v>0.32697547683923706</v>
      </c>
      <c r="W912">
        <f t="shared" si="85"/>
        <v>0</v>
      </c>
      <c r="X912">
        <f t="shared" si="86"/>
        <v>77</v>
      </c>
      <c r="Y912">
        <f t="shared" si="87"/>
        <v>0.4196185286103542</v>
      </c>
      <c r="Z912" s="7" t="str">
        <f t="shared" si="88"/>
        <v>High Sales</v>
      </c>
      <c r="AA912" s="7" t="str">
        <f t="shared" si="89"/>
        <v>High Margin</v>
      </c>
    </row>
    <row r="913" spans="1:27" x14ac:dyDescent="0.25">
      <c r="A913" t="s">
        <v>85</v>
      </c>
      <c r="B913">
        <v>90</v>
      </c>
      <c r="C913">
        <v>-17</v>
      </c>
      <c r="D913" s="1">
        <v>42093</v>
      </c>
      <c r="E913">
        <v>572</v>
      </c>
      <c r="F913">
        <v>115</v>
      </c>
      <c r="G913" t="s">
        <v>39</v>
      </c>
      <c r="H913" t="s">
        <v>36</v>
      </c>
      <c r="I913">
        <v>29</v>
      </c>
      <c r="J913" t="s">
        <v>23</v>
      </c>
      <c r="K913" t="s">
        <v>24</v>
      </c>
      <c r="L913" t="s">
        <v>25</v>
      </c>
      <c r="M913">
        <v>73</v>
      </c>
      <c r="N913">
        <v>205</v>
      </c>
      <c r="O913" t="s">
        <v>56</v>
      </c>
      <c r="P913">
        <v>60</v>
      </c>
      <c r="Q913">
        <v>100</v>
      </c>
      <c r="R913">
        <v>90</v>
      </c>
      <c r="S913">
        <v>160</v>
      </c>
      <c r="T913">
        <v>42</v>
      </c>
      <c r="U913" t="s">
        <v>27</v>
      </c>
      <c r="V913">
        <f t="shared" si="84"/>
        <v>0.35609756097560974</v>
      </c>
      <c r="W913">
        <f t="shared" si="85"/>
        <v>-17</v>
      </c>
      <c r="X913">
        <f t="shared" si="86"/>
        <v>45</v>
      </c>
      <c r="Y913">
        <f t="shared" si="87"/>
        <v>0.43902439024390244</v>
      </c>
      <c r="Z913" s="7" t="str">
        <f t="shared" si="88"/>
        <v>Low Sales</v>
      </c>
      <c r="AA913" s="7" t="str">
        <f t="shared" si="89"/>
        <v>High Margin</v>
      </c>
    </row>
    <row r="914" spans="1:27" x14ac:dyDescent="0.25">
      <c r="A914" t="s">
        <v>116</v>
      </c>
      <c r="B914">
        <v>122</v>
      </c>
      <c r="C914">
        <v>-16</v>
      </c>
      <c r="D914" s="1">
        <v>42094</v>
      </c>
      <c r="E914">
        <v>789</v>
      </c>
      <c r="F914">
        <v>176</v>
      </c>
      <c r="G914" t="s">
        <v>39</v>
      </c>
      <c r="H914" t="s">
        <v>36</v>
      </c>
      <c r="I914">
        <v>39</v>
      </c>
      <c r="J914" t="s">
        <v>23</v>
      </c>
      <c r="K914" t="s">
        <v>24</v>
      </c>
      <c r="L914" t="s">
        <v>28</v>
      </c>
      <c r="M914">
        <v>114</v>
      </c>
      <c r="N914">
        <v>298</v>
      </c>
      <c r="O914" t="s">
        <v>48</v>
      </c>
      <c r="P914">
        <v>90</v>
      </c>
      <c r="Q914">
        <v>150</v>
      </c>
      <c r="R914">
        <v>130</v>
      </c>
      <c r="S914">
        <v>240</v>
      </c>
      <c r="T914">
        <v>62</v>
      </c>
      <c r="U914" t="s">
        <v>27</v>
      </c>
      <c r="V914">
        <f t="shared" si="84"/>
        <v>0.3825503355704698</v>
      </c>
      <c r="W914">
        <f t="shared" si="85"/>
        <v>-16</v>
      </c>
      <c r="X914">
        <f t="shared" si="86"/>
        <v>58</v>
      </c>
      <c r="Y914">
        <f t="shared" si="87"/>
        <v>0.40939597315436244</v>
      </c>
      <c r="Z914" s="7" t="str">
        <f t="shared" si="88"/>
        <v>High Sales</v>
      </c>
      <c r="AA914" s="7" t="str">
        <f t="shared" si="89"/>
        <v>High Margin</v>
      </c>
    </row>
    <row r="915" spans="1:27" x14ac:dyDescent="0.25">
      <c r="A915" t="s">
        <v>77</v>
      </c>
      <c r="B915">
        <v>86</v>
      </c>
      <c r="C915">
        <v>-27</v>
      </c>
      <c r="D915" s="1">
        <v>42095</v>
      </c>
      <c r="E915">
        <v>1698</v>
      </c>
      <c r="F915">
        <v>23</v>
      </c>
      <c r="G915" t="s">
        <v>39</v>
      </c>
      <c r="H915" t="s">
        <v>36</v>
      </c>
      <c r="I915">
        <v>26</v>
      </c>
      <c r="J915" t="s">
        <v>23</v>
      </c>
      <c r="K915" t="s">
        <v>24</v>
      </c>
      <c r="L915" t="s">
        <v>28</v>
      </c>
      <c r="M915">
        <v>-27</v>
      </c>
      <c r="N915">
        <v>109</v>
      </c>
      <c r="O915" t="s">
        <v>49</v>
      </c>
      <c r="P915">
        <v>60</v>
      </c>
      <c r="Q915">
        <v>20</v>
      </c>
      <c r="R915">
        <v>0</v>
      </c>
      <c r="S915">
        <v>80</v>
      </c>
      <c r="T915">
        <v>50</v>
      </c>
      <c r="U915" t="s">
        <v>27</v>
      </c>
      <c r="V915">
        <f t="shared" si="84"/>
        <v>-0.24770642201834864</v>
      </c>
      <c r="W915">
        <f t="shared" si="85"/>
        <v>-27</v>
      </c>
      <c r="X915">
        <f t="shared" si="86"/>
        <v>29</v>
      </c>
      <c r="Y915">
        <f t="shared" si="87"/>
        <v>0.78899082568807344</v>
      </c>
      <c r="Z915" s="7" t="str">
        <f t="shared" si="88"/>
        <v>Low Sales</v>
      </c>
      <c r="AA915" s="7" t="str">
        <f t="shared" si="89"/>
        <v>High Margin</v>
      </c>
    </row>
    <row r="916" spans="1:27" x14ac:dyDescent="0.25">
      <c r="A916" t="s">
        <v>116</v>
      </c>
      <c r="B916">
        <v>257</v>
      </c>
      <c r="C916">
        <v>94</v>
      </c>
      <c r="D916" s="1">
        <v>42096</v>
      </c>
      <c r="E916">
        <v>1662</v>
      </c>
      <c r="F916">
        <v>341</v>
      </c>
      <c r="G916" t="s">
        <v>39</v>
      </c>
      <c r="H916" t="s">
        <v>36</v>
      </c>
      <c r="I916">
        <v>84</v>
      </c>
      <c r="J916" t="s">
        <v>23</v>
      </c>
      <c r="K916" t="s">
        <v>32</v>
      </c>
      <c r="L916" t="s">
        <v>33</v>
      </c>
      <c r="M916">
        <v>224</v>
      </c>
      <c r="N916">
        <v>598</v>
      </c>
      <c r="O916" t="s">
        <v>48</v>
      </c>
      <c r="P916">
        <v>110</v>
      </c>
      <c r="Q916">
        <v>180</v>
      </c>
      <c r="R916">
        <v>130</v>
      </c>
      <c r="S916">
        <v>290</v>
      </c>
      <c r="T916">
        <v>117</v>
      </c>
      <c r="U916" t="s">
        <v>35</v>
      </c>
      <c r="V916">
        <f t="shared" si="84"/>
        <v>0.37458193979933108</v>
      </c>
      <c r="W916">
        <f t="shared" si="85"/>
        <v>94</v>
      </c>
      <c r="X916">
        <f t="shared" si="86"/>
        <v>308</v>
      </c>
      <c r="Y916">
        <f t="shared" si="87"/>
        <v>0.42976588628762541</v>
      </c>
      <c r="Z916" s="7" t="str">
        <f t="shared" si="88"/>
        <v>High Sales</v>
      </c>
      <c r="AA916" s="7" t="str">
        <f t="shared" si="89"/>
        <v>High Margin</v>
      </c>
    </row>
    <row r="917" spans="1:27" x14ac:dyDescent="0.25">
      <c r="A917" t="s">
        <v>117</v>
      </c>
      <c r="B917">
        <v>21</v>
      </c>
      <c r="C917">
        <v>-4</v>
      </c>
      <c r="D917" s="1">
        <v>42097</v>
      </c>
      <c r="E917">
        <v>480</v>
      </c>
      <c r="F917">
        <v>32</v>
      </c>
      <c r="G917" t="s">
        <v>39</v>
      </c>
      <c r="H917" t="s">
        <v>36</v>
      </c>
      <c r="I917">
        <v>5</v>
      </c>
      <c r="J917" t="s">
        <v>23</v>
      </c>
      <c r="K917" t="s">
        <v>32</v>
      </c>
      <c r="L917" t="s">
        <v>33</v>
      </c>
      <c r="M917">
        <v>16</v>
      </c>
      <c r="N917">
        <v>53</v>
      </c>
      <c r="O917" t="s">
        <v>56</v>
      </c>
      <c r="P917">
        <v>0</v>
      </c>
      <c r="Q917">
        <v>20</v>
      </c>
      <c r="R917">
        <v>20</v>
      </c>
      <c r="S917">
        <v>20</v>
      </c>
      <c r="T917">
        <v>16</v>
      </c>
      <c r="U917" t="s">
        <v>35</v>
      </c>
      <c r="V917">
        <f t="shared" si="84"/>
        <v>0.30188679245283018</v>
      </c>
      <c r="W917">
        <f t="shared" si="85"/>
        <v>-4</v>
      </c>
      <c r="X917">
        <f t="shared" si="86"/>
        <v>33</v>
      </c>
      <c r="Y917">
        <f t="shared" si="87"/>
        <v>0.39622641509433965</v>
      </c>
      <c r="Z917" s="7" t="str">
        <f t="shared" si="88"/>
        <v>Low Sales</v>
      </c>
      <c r="AA917" s="7" t="str">
        <f t="shared" si="89"/>
        <v>High Margin</v>
      </c>
    </row>
    <row r="918" spans="1:27" x14ac:dyDescent="0.25">
      <c r="A918" t="s">
        <v>76</v>
      </c>
      <c r="B918">
        <v>239</v>
      </c>
      <c r="C918">
        <v>69</v>
      </c>
      <c r="D918" s="1">
        <v>42098</v>
      </c>
      <c r="E918">
        <v>1755</v>
      </c>
      <c r="F918">
        <v>239</v>
      </c>
      <c r="G918" t="s">
        <v>39</v>
      </c>
      <c r="H918" t="s">
        <v>36</v>
      </c>
      <c r="I918">
        <v>66</v>
      </c>
      <c r="J918" t="s">
        <v>23</v>
      </c>
      <c r="K918" t="s">
        <v>32</v>
      </c>
      <c r="L918" t="s">
        <v>61</v>
      </c>
      <c r="M918">
        <v>149</v>
      </c>
      <c r="N918">
        <v>478</v>
      </c>
      <c r="O918" t="s">
        <v>48</v>
      </c>
      <c r="P918">
        <v>110</v>
      </c>
      <c r="Q918">
        <v>120</v>
      </c>
      <c r="R918">
        <v>80</v>
      </c>
      <c r="S918">
        <v>230</v>
      </c>
      <c r="T918">
        <v>90</v>
      </c>
      <c r="U918" t="s">
        <v>35</v>
      </c>
      <c r="V918">
        <f t="shared" si="84"/>
        <v>0.31171548117154813</v>
      </c>
      <c r="W918">
        <f t="shared" si="85"/>
        <v>69</v>
      </c>
      <c r="X918">
        <f t="shared" si="86"/>
        <v>248</v>
      </c>
      <c r="Y918">
        <f t="shared" si="87"/>
        <v>0.5</v>
      </c>
      <c r="Z918" s="7" t="str">
        <f t="shared" si="88"/>
        <v>High Sales</v>
      </c>
      <c r="AA918" s="7" t="str">
        <f t="shared" si="89"/>
        <v>High Margin</v>
      </c>
    </row>
    <row r="919" spans="1:27" x14ac:dyDescent="0.25">
      <c r="A919" t="s">
        <v>116</v>
      </c>
      <c r="B919">
        <v>255</v>
      </c>
      <c r="C919">
        <v>-193</v>
      </c>
      <c r="D919" s="1">
        <v>42099</v>
      </c>
      <c r="E919">
        <v>7058</v>
      </c>
      <c r="F919">
        <v>-255</v>
      </c>
      <c r="G919" t="s">
        <v>39</v>
      </c>
      <c r="H919" t="s">
        <v>36</v>
      </c>
      <c r="I919">
        <v>96</v>
      </c>
      <c r="J919" t="s">
        <v>23</v>
      </c>
      <c r="K919" t="s">
        <v>32</v>
      </c>
      <c r="L919" t="s">
        <v>37</v>
      </c>
      <c r="M919">
        <v>-363</v>
      </c>
      <c r="N919">
        <v>21</v>
      </c>
      <c r="O919" t="s">
        <v>48</v>
      </c>
      <c r="P919">
        <v>110</v>
      </c>
      <c r="Q919">
        <v>-110</v>
      </c>
      <c r="R919">
        <v>-170</v>
      </c>
      <c r="S919">
        <v>0</v>
      </c>
      <c r="T919">
        <v>129</v>
      </c>
      <c r="U919" t="s">
        <v>35</v>
      </c>
      <c r="V919">
        <f t="shared" si="84"/>
        <v>-17.285714285714285</v>
      </c>
      <c r="W919">
        <f t="shared" si="85"/>
        <v>-193</v>
      </c>
      <c r="X919">
        <f t="shared" si="86"/>
        <v>21</v>
      </c>
      <c r="Y919">
        <f t="shared" si="87"/>
        <v>12.142857142857142</v>
      </c>
      <c r="Z919" s="7" t="str">
        <f t="shared" si="88"/>
        <v>Low Sales</v>
      </c>
      <c r="AA919" s="7" t="str">
        <f t="shared" si="89"/>
        <v>Low Margin</v>
      </c>
    </row>
    <row r="920" spans="1:27" x14ac:dyDescent="0.25">
      <c r="A920" t="s">
        <v>77</v>
      </c>
      <c r="B920">
        <v>25</v>
      </c>
      <c r="C920">
        <v>-22</v>
      </c>
      <c r="D920" s="1">
        <v>42100</v>
      </c>
      <c r="E920">
        <v>209</v>
      </c>
      <c r="F920">
        <v>31</v>
      </c>
      <c r="G920" t="s">
        <v>39</v>
      </c>
      <c r="H920" t="s">
        <v>36</v>
      </c>
      <c r="I920">
        <v>9</v>
      </c>
      <c r="J920" t="s">
        <v>23</v>
      </c>
      <c r="K920" t="s">
        <v>32</v>
      </c>
      <c r="L920" t="s">
        <v>37</v>
      </c>
      <c r="M920">
        <v>-12</v>
      </c>
      <c r="N920">
        <v>56</v>
      </c>
      <c r="O920" t="s">
        <v>49</v>
      </c>
      <c r="P920">
        <v>0</v>
      </c>
      <c r="Q920">
        <v>20</v>
      </c>
      <c r="R920">
        <v>10</v>
      </c>
      <c r="S920">
        <v>20</v>
      </c>
      <c r="T920">
        <v>43</v>
      </c>
      <c r="U920" t="s">
        <v>35</v>
      </c>
      <c r="V920">
        <f t="shared" si="84"/>
        <v>-0.21428571428571427</v>
      </c>
      <c r="W920">
        <f t="shared" si="85"/>
        <v>-22</v>
      </c>
      <c r="X920">
        <f t="shared" si="86"/>
        <v>36</v>
      </c>
      <c r="Y920">
        <f t="shared" si="87"/>
        <v>0.44642857142857145</v>
      </c>
      <c r="Z920" s="7" t="str">
        <f t="shared" si="88"/>
        <v>Low Sales</v>
      </c>
      <c r="AA920" s="7" t="str">
        <f t="shared" si="89"/>
        <v>High Margin</v>
      </c>
    </row>
    <row r="921" spans="1:27" x14ac:dyDescent="0.25">
      <c r="A921" t="s">
        <v>210</v>
      </c>
      <c r="B921">
        <v>173</v>
      </c>
      <c r="C921">
        <v>3</v>
      </c>
      <c r="D921" s="1">
        <v>42101</v>
      </c>
      <c r="E921">
        <v>3909</v>
      </c>
      <c r="F921">
        <v>-27</v>
      </c>
      <c r="G921" t="s">
        <v>21</v>
      </c>
      <c r="H921" t="s">
        <v>36</v>
      </c>
      <c r="I921">
        <v>57</v>
      </c>
      <c r="J921" t="s">
        <v>40</v>
      </c>
      <c r="K921" t="s">
        <v>45</v>
      </c>
      <c r="L921" t="s">
        <v>46</v>
      </c>
      <c r="M921">
        <v>-127</v>
      </c>
      <c r="N921">
        <v>146</v>
      </c>
      <c r="O921" t="s">
        <v>38</v>
      </c>
      <c r="P921">
        <v>200</v>
      </c>
      <c r="Q921">
        <v>-30</v>
      </c>
      <c r="R921">
        <v>-130</v>
      </c>
      <c r="S921">
        <v>170</v>
      </c>
      <c r="T921">
        <v>100</v>
      </c>
      <c r="U921" t="s">
        <v>27</v>
      </c>
      <c r="V921">
        <f t="shared" si="84"/>
        <v>-0.86986301369863017</v>
      </c>
      <c r="W921">
        <f t="shared" si="85"/>
        <v>3</v>
      </c>
      <c r="X921">
        <f t="shared" si="86"/>
        <v>-24</v>
      </c>
      <c r="Y921">
        <f t="shared" si="87"/>
        <v>1.1849315068493151</v>
      </c>
      <c r="Z921" s="7" t="str">
        <f t="shared" si="88"/>
        <v>Low Sales</v>
      </c>
      <c r="AA921" s="7" t="str">
        <f t="shared" si="89"/>
        <v>Low Margin</v>
      </c>
    </row>
    <row r="922" spans="1:27" x14ac:dyDescent="0.25">
      <c r="A922" t="s">
        <v>139</v>
      </c>
      <c r="B922">
        <v>228</v>
      </c>
      <c r="C922">
        <v>7</v>
      </c>
      <c r="D922" s="1">
        <v>42102</v>
      </c>
      <c r="E922">
        <v>1691</v>
      </c>
      <c r="F922">
        <v>304</v>
      </c>
      <c r="G922" t="s">
        <v>21</v>
      </c>
      <c r="H922" t="s">
        <v>36</v>
      </c>
      <c r="I922">
        <v>75</v>
      </c>
      <c r="J922" t="s">
        <v>40</v>
      </c>
      <c r="K922" t="s">
        <v>41</v>
      </c>
      <c r="L922" t="s">
        <v>42</v>
      </c>
      <c r="M922">
        <v>197</v>
      </c>
      <c r="N922">
        <v>532</v>
      </c>
      <c r="O922" t="s">
        <v>38</v>
      </c>
      <c r="P922">
        <v>220</v>
      </c>
      <c r="Q922">
        <v>290</v>
      </c>
      <c r="R922">
        <v>190</v>
      </c>
      <c r="S922">
        <v>510</v>
      </c>
      <c r="T922">
        <v>107</v>
      </c>
      <c r="U922" t="s">
        <v>27</v>
      </c>
      <c r="V922">
        <f t="shared" si="84"/>
        <v>0.37030075187969924</v>
      </c>
      <c r="W922">
        <f t="shared" si="85"/>
        <v>7</v>
      </c>
      <c r="X922">
        <f t="shared" si="86"/>
        <v>22</v>
      </c>
      <c r="Y922">
        <f t="shared" si="87"/>
        <v>0.42857142857142855</v>
      </c>
      <c r="Z922" s="7" t="str">
        <f t="shared" si="88"/>
        <v>High Sales</v>
      </c>
      <c r="AA922" s="7" t="str">
        <f t="shared" si="89"/>
        <v>High Margin</v>
      </c>
    </row>
    <row r="923" spans="1:27" x14ac:dyDescent="0.25">
      <c r="A923" t="s">
        <v>105</v>
      </c>
      <c r="B923">
        <v>113</v>
      </c>
      <c r="C923">
        <v>-6</v>
      </c>
      <c r="D923" s="1">
        <v>42103</v>
      </c>
      <c r="E923">
        <v>2758</v>
      </c>
      <c r="F923">
        <v>3</v>
      </c>
      <c r="G923" t="s">
        <v>21</v>
      </c>
      <c r="H923" t="s">
        <v>36</v>
      </c>
      <c r="I923">
        <v>36</v>
      </c>
      <c r="J923" t="s">
        <v>40</v>
      </c>
      <c r="K923" t="s">
        <v>45</v>
      </c>
      <c r="L923" t="s">
        <v>50</v>
      </c>
      <c r="M923">
        <v>-56</v>
      </c>
      <c r="N923">
        <v>116</v>
      </c>
      <c r="O923" t="s">
        <v>38</v>
      </c>
      <c r="P923">
        <v>130</v>
      </c>
      <c r="Q923">
        <v>0</v>
      </c>
      <c r="R923">
        <v>-50</v>
      </c>
      <c r="S923">
        <v>130</v>
      </c>
      <c r="T923">
        <v>59</v>
      </c>
      <c r="U923" t="s">
        <v>35</v>
      </c>
      <c r="V923">
        <f t="shared" si="84"/>
        <v>-0.48275862068965519</v>
      </c>
      <c r="W923">
        <f t="shared" si="85"/>
        <v>-6</v>
      </c>
      <c r="X923">
        <f t="shared" si="86"/>
        <v>-14</v>
      </c>
      <c r="Y923">
        <f t="shared" si="87"/>
        <v>0.97413793103448276</v>
      </c>
      <c r="Z923" s="7" t="str">
        <f t="shared" si="88"/>
        <v>Low Sales</v>
      </c>
      <c r="AA923" s="7" t="str">
        <f t="shared" si="89"/>
        <v>Low Margin</v>
      </c>
    </row>
    <row r="924" spans="1:27" x14ac:dyDescent="0.25">
      <c r="A924" t="s">
        <v>206</v>
      </c>
      <c r="B924">
        <v>249</v>
      </c>
      <c r="C924">
        <v>-75</v>
      </c>
      <c r="D924" s="1">
        <v>42104</v>
      </c>
      <c r="E924">
        <v>2580</v>
      </c>
      <c r="F924">
        <v>374</v>
      </c>
      <c r="G924" t="s">
        <v>21</v>
      </c>
      <c r="H924" t="s">
        <v>36</v>
      </c>
      <c r="I924">
        <v>87</v>
      </c>
      <c r="J924" t="s">
        <v>40</v>
      </c>
      <c r="K924" t="s">
        <v>45</v>
      </c>
      <c r="L924" t="s">
        <v>52</v>
      </c>
      <c r="M924">
        <v>235</v>
      </c>
      <c r="N924">
        <v>623</v>
      </c>
      <c r="O924" t="s">
        <v>38</v>
      </c>
      <c r="P924">
        <v>290</v>
      </c>
      <c r="Q924">
        <v>450</v>
      </c>
      <c r="R924">
        <v>310</v>
      </c>
      <c r="S924">
        <v>740</v>
      </c>
      <c r="T924">
        <v>139</v>
      </c>
      <c r="U924" t="s">
        <v>35</v>
      </c>
      <c r="V924">
        <f t="shared" si="84"/>
        <v>0.37720706260032105</v>
      </c>
      <c r="W924">
        <f t="shared" si="85"/>
        <v>-75</v>
      </c>
      <c r="X924">
        <f t="shared" si="86"/>
        <v>-117</v>
      </c>
      <c r="Y924">
        <f t="shared" si="87"/>
        <v>0.3996789727126806</v>
      </c>
      <c r="Z924" s="7" t="str">
        <f t="shared" si="88"/>
        <v>High Sales</v>
      </c>
      <c r="AA924" s="7" t="str">
        <f t="shared" si="89"/>
        <v>High Margin</v>
      </c>
    </row>
    <row r="925" spans="1:27" x14ac:dyDescent="0.25">
      <c r="A925" t="s">
        <v>211</v>
      </c>
      <c r="B925">
        <v>211</v>
      </c>
      <c r="C925">
        <v>-11</v>
      </c>
      <c r="D925" s="1">
        <v>42105</v>
      </c>
      <c r="E925">
        <v>1778</v>
      </c>
      <c r="F925">
        <v>212</v>
      </c>
      <c r="G925" t="s">
        <v>21</v>
      </c>
      <c r="H925" t="s">
        <v>36</v>
      </c>
      <c r="I925">
        <v>59</v>
      </c>
      <c r="J925" t="s">
        <v>40</v>
      </c>
      <c r="K925" t="s">
        <v>41</v>
      </c>
      <c r="L925" t="s">
        <v>54</v>
      </c>
      <c r="M925">
        <v>129</v>
      </c>
      <c r="N925">
        <v>423</v>
      </c>
      <c r="O925" t="s">
        <v>38</v>
      </c>
      <c r="P925">
        <v>200</v>
      </c>
      <c r="Q925">
        <v>210</v>
      </c>
      <c r="R925">
        <v>140</v>
      </c>
      <c r="S925">
        <v>410</v>
      </c>
      <c r="T925">
        <v>83</v>
      </c>
      <c r="U925" t="s">
        <v>35</v>
      </c>
      <c r="V925">
        <f t="shared" si="84"/>
        <v>0.30496453900709219</v>
      </c>
      <c r="W925">
        <f t="shared" si="85"/>
        <v>-11</v>
      </c>
      <c r="X925">
        <f t="shared" si="86"/>
        <v>13</v>
      </c>
      <c r="Y925">
        <f t="shared" si="87"/>
        <v>0.49881796690307328</v>
      </c>
      <c r="Z925" s="7" t="str">
        <f t="shared" si="88"/>
        <v>High Sales</v>
      </c>
      <c r="AA925" s="7" t="str">
        <f t="shared" si="89"/>
        <v>High Margin</v>
      </c>
    </row>
    <row r="926" spans="1:27" x14ac:dyDescent="0.25">
      <c r="A926" t="s">
        <v>208</v>
      </c>
      <c r="B926">
        <v>121</v>
      </c>
      <c r="C926">
        <v>-14</v>
      </c>
      <c r="D926" s="1">
        <v>42106</v>
      </c>
      <c r="E926">
        <v>912</v>
      </c>
      <c r="F926">
        <v>168</v>
      </c>
      <c r="G926" t="s">
        <v>21</v>
      </c>
      <c r="H926" t="s">
        <v>36</v>
      </c>
      <c r="I926">
        <v>109</v>
      </c>
      <c r="J926" t="s">
        <v>40</v>
      </c>
      <c r="K926" t="s">
        <v>41</v>
      </c>
      <c r="L926" t="s">
        <v>53</v>
      </c>
      <c r="M926">
        <v>26</v>
      </c>
      <c r="N926">
        <v>289</v>
      </c>
      <c r="O926" t="s">
        <v>38</v>
      </c>
      <c r="P926">
        <v>110</v>
      </c>
      <c r="Q926">
        <v>170</v>
      </c>
      <c r="R926">
        <v>40</v>
      </c>
      <c r="S926">
        <v>280</v>
      </c>
      <c r="T926">
        <v>142</v>
      </c>
      <c r="U926" t="s">
        <v>35</v>
      </c>
      <c r="V926">
        <f t="shared" si="84"/>
        <v>8.9965397923875437E-2</v>
      </c>
      <c r="W926">
        <f t="shared" si="85"/>
        <v>-14</v>
      </c>
      <c r="X926">
        <f t="shared" si="86"/>
        <v>9</v>
      </c>
      <c r="Y926">
        <f t="shared" si="87"/>
        <v>0.41868512110726641</v>
      </c>
      <c r="Z926" s="7" t="str">
        <f t="shared" si="88"/>
        <v>High Sales</v>
      </c>
      <c r="AA926" s="7" t="str">
        <f t="shared" si="89"/>
        <v>High Margin</v>
      </c>
    </row>
    <row r="927" spans="1:27" x14ac:dyDescent="0.25">
      <c r="A927" t="s">
        <v>183</v>
      </c>
      <c r="B927">
        <v>81</v>
      </c>
      <c r="C927">
        <v>4</v>
      </c>
      <c r="D927" s="1">
        <v>42107</v>
      </c>
      <c r="E927">
        <v>984</v>
      </c>
      <c r="F927">
        <v>117</v>
      </c>
      <c r="G927" t="s">
        <v>21</v>
      </c>
      <c r="H927" t="s">
        <v>36</v>
      </c>
      <c r="I927">
        <v>22</v>
      </c>
      <c r="J927" t="s">
        <v>23</v>
      </c>
      <c r="K927" t="s">
        <v>24</v>
      </c>
      <c r="L927" t="s">
        <v>57</v>
      </c>
      <c r="M927">
        <v>84</v>
      </c>
      <c r="N927">
        <v>198</v>
      </c>
      <c r="O927" t="s">
        <v>38</v>
      </c>
      <c r="P927">
        <v>70</v>
      </c>
      <c r="Q927">
        <v>110</v>
      </c>
      <c r="R927">
        <v>80</v>
      </c>
      <c r="S927">
        <v>180</v>
      </c>
      <c r="T927">
        <v>33</v>
      </c>
      <c r="U927" t="s">
        <v>27</v>
      </c>
      <c r="V927">
        <f t="shared" si="84"/>
        <v>0.42424242424242425</v>
      </c>
      <c r="W927">
        <f t="shared" si="85"/>
        <v>4</v>
      </c>
      <c r="X927">
        <f t="shared" si="86"/>
        <v>18</v>
      </c>
      <c r="Y927">
        <f t="shared" si="87"/>
        <v>0.40909090909090912</v>
      </c>
      <c r="Z927" s="7" t="str">
        <f t="shared" si="88"/>
        <v>Low Sales</v>
      </c>
      <c r="AA927" s="7" t="str">
        <f t="shared" si="89"/>
        <v>High Margin</v>
      </c>
    </row>
    <row r="928" spans="1:27" x14ac:dyDescent="0.25">
      <c r="A928" t="s">
        <v>183</v>
      </c>
      <c r="B928">
        <v>225</v>
      </c>
      <c r="C928">
        <v>14</v>
      </c>
      <c r="D928" s="1">
        <v>42108</v>
      </c>
      <c r="E928">
        <v>1272</v>
      </c>
      <c r="F928">
        <v>265</v>
      </c>
      <c r="G928" t="s">
        <v>21</v>
      </c>
      <c r="H928" t="s">
        <v>36</v>
      </c>
      <c r="I928">
        <v>69</v>
      </c>
      <c r="J928" t="s">
        <v>23</v>
      </c>
      <c r="K928" t="s">
        <v>24</v>
      </c>
      <c r="L928" t="s">
        <v>25</v>
      </c>
      <c r="M928">
        <v>174</v>
      </c>
      <c r="N928">
        <v>490</v>
      </c>
      <c r="O928" t="s">
        <v>38</v>
      </c>
      <c r="P928">
        <v>210</v>
      </c>
      <c r="Q928">
        <v>240</v>
      </c>
      <c r="R928">
        <v>160</v>
      </c>
      <c r="S928">
        <v>450</v>
      </c>
      <c r="T928">
        <v>91</v>
      </c>
      <c r="U928" t="s">
        <v>27</v>
      </c>
      <c r="V928">
        <f t="shared" si="84"/>
        <v>0.35510204081632651</v>
      </c>
      <c r="W928">
        <f t="shared" si="85"/>
        <v>14</v>
      </c>
      <c r="X928">
        <f t="shared" si="86"/>
        <v>40</v>
      </c>
      <c r="Y928">
        <f t="shared" si="87"/>
        <v>0.45918367346938777</v>
      </c>
      <c r="Z928" s="7" t="str">
        <f t="shared" si="88"/>
        <v>High Sales</v>
      </c>
      <c r="AA928" s="7" t="str">
        <f t="shared" si="89"/>
        <v>High Margin</v>
      </c>
    </row>
    <row r="929" spans="1:27" x14ac:dyDescent="0.25">
      <c r="A929" t="s">
        <v>183</v>
      </c>
      <c r="B929">
        <v>118</v>
      </c>
      <c r="C929">
        <v>18</v>
      </c>
      <c r="D929" s="1">
        <v>42109</v>
      </c>
      <c r="E929">
        <v>930</v>
      </c>
      <c r="F929">
        <v>172</v>
      </c>
      <c r="G929" t="s">
        <v>21</v>
      </c>
      <c r="H929" t="s">
        <v>36</v>
      </c>
      <c r="I929">
        <v>33</v>
      </c>
      <c r="J929" t="s">
        <v>23</v>
      </c>
      <c r="K929" t="s">
        <v>32</v>
      </c>
      <c r="L929" t="s">
        <v>33</v>
      </c>
      <c r="M929">
        <v>128</v>
      </c>
      <c r="N929">
        <v>290</v>
      </c>
      <c r="O929" t="s">
        <v>38</v>
      </c>
      <c r="P929">
        <v>80</v>
      </c>
      <c r="Q929">
        <v>130</v>
      </c>
      <c r="R929">
        <v>110</v>
      </c>
      <c r="S929">
        <v>210</v>
      </c>
      <c r="T929">
        <v>44</v>
      </c>
      <c r="U929" t="s">
        <v>35</v>
      </c>
      <c r="V929">
        <f t="shared" si="84"/>
        <v>0.44137931034482758</v>
      </c>
      <c r="W929">
        <f t="shared" si="85"/>
        <v>18</v>
      </c>
      <c r="X929">
        <f t="shared" si="86"/>
        <v>80</v>
      </c>
      <c r="Y929">
        <f t="shared" si="87"/>
        <v>0.40689655172413791</v>
      </c>
      <c r="Z929" s="7" t="str">
        <f t="shared" si="88"/>
        <v>High Sales</v>
      </c>
      <c r="AA929" s="7" t="str">
        <f t="shared" si="89"/>
        <v>High Margin</v>
      </c>
    </row>
    <row r="930" spans="1:27" x14ac:dyDescent="0.25">
      <c r="A930" t="s">
        <v>83</v>
      </c>
      <c r="B930">
        <v>82</v>
      </c>
      <c r="C930">
        <v>-22</v>
      </c>
      <c r="D930" s="1">
        <v>42110</v>
      </c>
      <c r="E930">
        <v>601</v>
      </c>
      <c r="F930">
        <v>102</v>
      </c>
      <c r="G930" t="s">
        <v>39</v>
      </c>
      <c r="H930" t="s">
        <v>36</v>
      </c>
      <c r="I930">
        <v>31</v>
      </c>
      <c r="J930" t="s">
        <v>40</v>
      </c>
      <c r="K930" t="s">
        <v>45</v>
      </c>
      <c r="L930" t="s">
        <v>46</v>
      </c>
      <c r="M930">
        <v>38</v>
      </c>
      <c r="N930">
        <v>184</v>
      </c>
      <c r="O930" t="s">
        <v>49</v>
      </c>
      <c r="P930">
        <v>90</v>
      </c>
      <c r="Q930">
        <v>120</v>
      </c>
      <c r="R930">
        <v>60</v>
      </c>
      <c r="S930">
        <v>210</v>
      </c>
      <c r="T930">
        <v>64</v>
      </c>
      <c r="U930" t="s">
        <v>27</v>
      </c>
      <c r="V930">
        <f t="shared" si="84"/>
        <v>0.20652173913043478</v>
      </c>
      <c r="W930">
        <f t="shared" si="85"/>
        <v>-22</v>
      </c>
      <c r="X930">
        <f t="shared" si="86"/>
        <v>-26</v>
      </c>
      <c r="Y930">
        <f t="shared" si="87"/>
        <v>0.44565217391304346</v>
      </c>
      <c r="Z930" s="7" t="str">
        <f t="shared" si="88"/>
        <v>Low Sales</v>
      </c>
      <c r="AA930" s="7" t="str">
        <f t="shared" si="89"/>
        <v>High Margin</v>
      </c>
    </row>
    <row r="931" spans="1:27" x14ac:dyDescent="0.25">
      <c r="A931" t="s">
        <v>124</v>
      </c>
      <c r="B931">
        <v>94</v>
      </c>
      <c r="C931">
        <v>-24</v>
      </c>
      <c r="D931" s="1">
        <v>42111</v>
      </c>
      <c r="E931">
        <v>694</v>
      </c>
      <c r="F931">
        <v>130</v>
      </c>
      <c r="G931" t="s">
        <v>39</v>
      </c>
      <c r="H931" t="s">
        <v>36</v>
      </c>
      <c r="I931">
        <v>85</v>
      </c>
      <c r="J931" t="s">
        <v>40</v>
      </c>
      <c r="K931" t="s">
        <v>45</v>
      </c>
      <c r="L931" t="s">
        <v>46</v>
      </c>
      <c r="M931">
        <v>16</v>
      </c>
      <c r="N931">
        <v>224</v>
      </c>
      <c r="O931" t="s">
        <v>60</v>
      </c>
      <c r="P931">
        <v>110</v>
      </c>
      <c r="Q931">
        <v>150</v>
      </c>
      <c r="R931">
        <v>40</v>
      </c>
      <c r="S931">
        <v>260</v>
      </c>
      <c r="T931">
        <v>114</v>
      </c>
      <c r="U931" t="s">
        <v>27</v>
      </c>
      <c r="V931">
        <f t="shared" si="84"/>
        <v>7.1428571428571425E-2</v>
      </c>
      <c r="W931">
        <f t="shared" si="85"/>
        <v>-24</v>
      </c>
      <c r="X931">
        <f t="shared" si="86"/>
        <v>-36</v>
      </c>
      <c r="Y931">
        <f t="shared" si="87"/>
        <v>0.41964285714285715</v>
      </c>
      <c r="Z931" s="7" t="str">
        <f t="shared" si="88"/>
        <v>Low Sales</v>
      </c>
      <c r="AA931" s="7" t="str">
        <f t="shared" si="89"/>
        <v>High Margin</v>
      </c>
    </row>
    <row r="932" spans="1:27" x14ac:dyDescent="0.25">
      <c r="A932" t="s">
        <v>80</v>
      </c>
      <c r="B932">
        <v>181</v>
      </c>
      <c r="C932">
        <v>-12</v>
      </c>
      <c r="D932" s="1">
        <v>42112</v>
      </c>
      <c r="E932">
        <v>1283</v>
      </c>
      <c r="F932">
        <v>182</v>
      </c>
      <c r="G932" t="s">
        <v>39</v>
      </c>
      <c r="H932" t="s">
        <v>36</v>
      </c>
      <c r="I932">
        <v>50</v>
      </c>
      <c r="J932" t="s">
        <v>40</v>
      </c>
      <c r="K932" t="s">
        <v>41</v>
      </c>
      <c r="L932" t="s">
        <v>42</v>
      </c>
      <c r="M932">
        <v>108</v>
      </c>
      <c r="N932">
        <v>363</v>
      </c>
      <c r="O932" t="s">
        <v>56</v>
      </c>
      <c r="P932">
        <v>170</v>
      </c>
      <c r="Q932">
        <v>180</v>
      </c>
      <c r="R932">
        <v>120</v>
      </c>
      <c r="S932">
        <v>350</v>
      </c>
      <c r="T932">
        <v>74</v>
      </c>
      <c r="U932" t="s">
        <v>27</v>
      </c>
      <c r="V932">
        <f t="shared" si="84"/>
        <v>0.2975206611570248</v>
      </c>
      <c r="W932">
        <f t="shared" si="85"/>
        <v>-12</v>
      </c>
      <c r="X932">
        <f t="shared" si="86"/>
        <v>13</v>
      </c>
      <c r="Y932">
        <f t="shared" si="87"/>
        <v>0.49862258953168043</v>
      </c>
      <c r="Z932" s="7" t="str">
        <f t="shared" si="88"/>
        <v>High Sales</v>
      </c>
      <c r="AA932" s="7" t="str">
        <f t="shared" si="89"/>
        <v>High Margin</v>
      </c>
    </row>
    <row r="933" spans="1:27" x14ac:dyDescent="0.25">
      <c r="A933" t="s">
        <v>83</v>
      </c>
      <c r="B933">
        <v>69</v>
      </c>
      <c r="C933">
        <v>-11</v>
      </c>
      <c r="D933" s="1">
        <v>42113</v>
      </c>
      <c r="E933">
        <v>1060</v>
      </c>
      <c r="F933">
        <v>81</v>
      </c>
      <c r="G933" t="s">
        <v>39</v>
      </c>
      <c r="H933" t="s">
        <v>36</v>
      </c>
      <c r="I933">
        <v>21</v>
      </c>
      <c r="J933" t="s">
        <v>40</v>
      </c>
      <c r="K933" t="s">
        <v>45</v>
      </c>
      <c r="L933" t="s">
        <v>50</v>
      </c>
      <c r="M933">
        <v>39</v>
      </c>
      <c r="N933">
        <v>150</v>
      </c>
      <c r="O933" t="s">
        <v>49</v>
      </c>
      <c r="P933">
        <v>80</v>
      </c>
      <c r="Q933">
        <v>90</v>
      </c>
      <c r="R933">
        <v>50</v>
      </c>
      <c r="S933">
        <v>170</v>
      </c>
      <c r="T933">
        <v>42</v>
      </c>
      <c r="U933" t="s">
        <v>35</v>
      </c>
      <c r="V933">
        <f t="shared" si="84"/>
        <v>0.26</v>
      </c>
      <c r="W933">
        <f t="shared" si="85"/>
        <v>-11</v>
      </c>
      <c r="X933">
        <f t="shared" si="86"/>
        <v>-20</v>
      </c>
      <c r="Y933">
        <f t="shared" si="87"/>
        <v>0.46</v>
      </c>
      <c r="Z933" s="7" t="str">
        <f t="shared" si="88"/>
        <v>Low Sales</v>
      </c>
      <c r="AA933" s="7" t="str">
        <f t="shared" si="89"/>
        <v>High Margin</v>
      </c>
    </row>
    <row r="934" spans="1:27" x14ac:dyDescent="0.25">
      <c r="A934" t="s">
        <v>85</v>
      </c>
      <c r="B934">
        <v>53</v>
      </c>
      <c r="C934">
        <v>-26</v>
      </c>
      <c r="D934" s="1">
        <v>42114</v>
      </c>
      <c r="E934">
        <v>470</v>
      </c>
      <c r="F934">
        <v>75</v>
      </c>
      <c r="G934" t="s">
        <v>39</v>
      </c>
      <c r="H934" t="s">
        <v>36</v>
      </c>
      <c r="I934">
        <v>17</v>
      </c>
      <c r="J934" t="s">
        <v>40</v>
      </c>
      <c r="K934" t="s">
        <v>45</v>
      </c>
      <c r="L934" t="s">
        <v>52</v>
      </c>
      <c r="M934">
        <v>14</v>
      </c>
      <c r="N934">
        <v>128</v>
      </c>
      <c r="O934" t="s">
        <v>56</v>
      </c>
      <c r="P934">
        <v>60</v>
      </c>
      <c r="Q934">
        <v>90</v>
      </c>
      <c r="R934">
        <v>40</v>
      </c>
      <c r="S934">
        <v>150</v>
      </c>
      <c r="T934">
        <v>61</v>
      </c>
      <c r="U934" t="s">
        <v>35</v>
      </c>
      <c r="V934">
        <f t="shared" si="84"/>
        <v>0.109375</v>
      </c>
      <c r="W934">
        <f t="shared" si="85"/>
        <v>-26</v>
      </c>
      <c r="X934">
        <f t="shared" si="86"/>
        <v>-22</v>
      </c>
      <c r="Y934">
        <f t="shared" si="87"/>
        <v>0.4140625</v>
      </c>
      <c r="Z934" s="7" t="str">
        <f t="shared" si="88"/>
        <v>Low Sales</v>
      </c>
      <c r="AA934" s="7" t="str">
        <f t="shared" si="89"/>
        <v>High Margin</v>
      </c>
    </row>
    <row r="935" spans="1:27" x14ac:dyDescent="0.25">
      <c r="A935" t="s">
        <v>84</v>
      </c>
      <c r="B935">
        <v>63</v>
      </c>
      <c r="C935">
        <v>-20</v>
      </c>
      <c r="D935" s="1">
        <v>42115</v>
      </c>
      <c r="E935">
        <v>446</v>
      </c>
      <c r="F935">
        <v>93</v>
      </c>
      <c r="G935" t="s">
        <v>39</v>
      </c>
      <c r="H935" t="s">
        <v>36</v>
      </c>
      <c r="I935">
        <v>20</v>
      </c>
      <c r="J935" t="s">
        <v>40</v>
      </c>
      <c r="K935" t="s">
        <v>45</v>
      </c>
      <c r="L935" t="s">
        <v>52</v>
      </c>
      <c r="M935">
        <v>50</v>
      </c>
      <c r="N935">
        <v>156</v>
      </c>
      <c r="O935" t="s">
        <v>60</v>
      </c>
      <c r="P935">
        <v>70</v>
      </c>
      <c r="Q935">
        <v>110</v>
      </c>
      <c r="R935">
        <v>70</v>
      </c>
      <c r="S935">
        <v>180</v>
      </c>
      <c r="T935">
        <v>43</v>
      </c>
      <c r="U935" t="s">
        <v>35</v>
      </c>
      <c r="V935">
        <f t="shared" si="84"/>
        <v>0.32051282051282054</v>
      </c>
      <c r="W935">
        <f t="shared" si="85"/>
        <v>-20</v>
      </c>
      <c r="X935">
        <f t="shared" si="86"/>
        <v>-24</v>
      </c>
      <c r="Y935">
        <f t="shared" si="87"/>
        <v>0.40384615384615385</v>
      </c>
      <c r="Z935" s="7" t="str">
        <f t="shared" si="88"/>
        <v>Low Sales</v>
      </c>
      <c r="AA935" s="7" t="str">
        <f t="shared" si="89"/>
        <v>High Margin</v>
      </c>
    </row>
    <row r="936" spans="1:27" x14ac:dyDescent="0.25">
      <c r="A936" t="s">
        <v>76</v>
      </c>
      <c r="B936">
        <v>15</v>
      </c>
      <c r="C936">
        <v>-1</v>
      </c>
      <c r="D936" s="1">
        <v>42116</v>
      </c>
      <c r="E936">
        <v>848</v>
      </c>
      <c r="F936">
        <v>24</v>
      </c>
      <c r="G936" t="s">
        <v>39</v>
      </c>
      <c r="H936" t="s">
        <v>36</v>
      </c>
      <c r="I936">
        <v>4</v>
      </c>
      <c r="J936" t="s">
        <v>40</v>
      </c>
      <c r="K936" t="s">
        <v>41</v>
      </c>
      <c r="L936" t="s">
        <v>53</v>
      </c>
      <c r="M936">
        <v>9</v>
      </c>
      <c r="N936">
        <v>39</v>
      </c>
      <c r="O936" t="s">
        <v>48</v>
      </c>
      <c r="P936">
        <v>10</v>
      </c>
      <c r="Q936">
        <v>20</v>
      </c>
      <c r="R936">
        <v>10</v>
      </c>
      <c r="S936">
        <v>30</v>
      </c>
      <c r="T936">
        <v>15</v>
      </c>
      <c r="U936" t="s">
        <v>35</v>
      </c>
      <c r="V936">
        <f t="shared" si="84"/>
        <v>0.23076923076923078</v>
      </c>
      <c r="W936">
        <f t="shared" si="85"/>
        <v>-1</v>
      </c>
      <c r="X936">
        <f t="shared" si="86"/>
        <v>9</v>
      </c>
      <c r="Y936">
        <f t="shared" si="87"/>
        <v>0.38461538461538464</v>
      </c>
      <c r="Z936" s="7" t="str">
        <f t="shared" si="88"/>
        <v>Low Sales</v>
      </c>
      <c r="AA936" s="7" t="str">
        <f t="shared" si="89"/>
        <v>High Margin</v>
      </c>
    </row>
    <row r="937" spans="1:27" x14ac:dyDescent="0.25">
      <c r="A937" t="s">
        <v>77</v>
      </c>
      <c r="B937">
        <v>101</v>
      </c>
      <c r="C937">
        <v>-5</v>
      </c>
      <c r="D937" s="1">
        <v>42117</v>
      </c>
      <c r="E937">
        <v>552</v>
      </c>
      <c r="F937">
        <v>130</v>
      </c>
      <c r="G937" t="s">
        <v>39</v>
      </c>
      <c r="H937" t="s">
        <v>36</v>
      </c>
      <c r="I937">
        <v>33</v>
      </c>
      <c r="J937" t="s">
        <v>40</v>
      </c>
      <c r="K937" t="s">
        <v>41</v>
      </c>
      <c r="L937" t="s">
        <v>53</v>
      </c>
      <c r="M937">
        <v>85</v>
      </c>
      <c r="N937">
        <v>231</v>
      </c>
      <c r="O937" t="s">
        <v>49</v>
      </c>
      <c r="P937">
        <v>90</v>
      </c>
      <c r="Q937">
        <v>130</v>
      </c>
      <c r="R937">
        <v>90</v>
      </c>
      <c r="S937">
        <v>220</v>
      </c>
      <c r="T937">
        <v>45</v>
      </c>
      <c r="U937" t="s">
        <v>35</v>
      </c>
      <c r="V937">
        <f t="shared" si="84"/>
        <v>0.36796536796536794</v>
      </c>
      <c r="W937">
        <f t="shared" si="85"/>
        <v>-5</v>
      </c>
      <c r="X937">
        <f t="shared" si="86"/>
        <v>11</v>
      </c>
      <c r="Y937">
        <f t="shared" si="87"/>
        <v>0.43722943722943725</v>
      </c>
      <c r="Z937" s="7" t="str">
        <f t="shared" si="88"/>
        <v>Low Sales</v>
      </c>
      <c r="AA937" s="7" t="str">
        <f t="shared" si="89"/>
        <v>High Margin</v>
      </c>
    </row>
    <row r="938" spans="1:27" x14ac:dyDescent="0.25">
      <c r="A938" t="s">
        <v>76</v>
      </c>
      <c r="B938">
        <v>121</v>
      </c>
      <c r="C938">
        <v>6</v>
      </c>
      <c r="D938" s="1">
        <v>42118</v>
      </c>
      <c r="E938">
        <v>912</v>
      </c>
      <c r="F938">
        <v>168</v>
      </c>
      <c r="G938" t="s">
        <v>39</v>
      </c>
      <c r="H938" t="s">
        <v>36</v>
      </c>
      <c r="I938">
        <v>109</v>
      </c>
      <c r="J938" t="s">
        <v>23</v>
      </c>
      <c r="K938" t="s">
        <v>24</v>
      </c>
      <c r="L938" t="s">
        <v>57</v>
      </c>
      <c r="M938">
        <v>26</v>
      </c>
      <c r="N938">
        <v>289</v>
      </c>
      <c r="O938" t="s">
        <v>48</v>
      </c>
      <c r="P938">
        <v>110</v>
      </c>
      <c r="Q938">
        <v>150</v>
      </c>
      <c r="R938">
        <v>20</v>
      </c>
      <c r="S938">
        <v>260</v>
      </c>
      <c r="T938">
        <v>142</v>
      </c>
      <c r="U938" t="s">
        <v>27</v>
      </c>
      <c r="V938">
        <f t="shared" si="84"/>
        <v>8.9965397923875437E-2</v>
      </c>
      <c r="W938">
        <f t="shared" si="85"/>
        <v>6</v>
      </c>
      <c r="X938">
        <f t="shared" si="86"/>
        <v>29</v>
      </c>
      <c r="Y938">
        <f t="shared" si="87"/>
        <v>0.41868512110726641</v>
      </c>
      <c r="Z938" s="7" t="str">
        <f t="shared" si="88"/>
        <v>Low Sales</v>
      </c>
      <c r="AA938" s="7" t="str">
        <f t="shared" si="89"/>
        <v>High Margin</v>
      </c>
    </row>
    <row r="939" spans="1:27" x14ac:dyDescent="0.25">
      <c r="A939" t="s">
        <v>100</v>
      </c>
      <c r="B939">
        <v>130</v>
      </c>
      <c r="C939">
        <v>2</v>
      </c>
      <c r="D939" s="1">
        <v>42119</v>
      </c>
      <c r="E939">
        <v>1134</v>
      </c>
      <c r="F939">
        <v>195</v>
      </c>
      <c r="G939" t="s">
        <v>39</v>
      </c>
      <c r="H939" t="s">
        <v>36</v>
      </c>
      <c r="I939">
        <v>42</v>
      </c>
      <c r="J939" t="s">
        <v>23</v>
      </c>
      <c r="K939" t="s">
        <v>24</v>
      </c>
      <c r="L939" t="s">
        <v>57</v>
      </c>
      <c r="M939">
        <v>122</v>
      </c>
      <c r="N939">
        <v>325</v>
      </c>
      <c r="O939" t="s">
        <v>60</v>
      </c>
      <c r="P939">
        <v>120</v>
      </c>
      <c r="Q939">
        <v>180</v>
      </c>
      <c r="R939">
        <v>120</v>
      </c>
      <c r="S939">
        <v>300</v>
      </c>
      <c r="T939">
        <v>73</v>
      </c>
      <c r="U939" t="s">
        <v>27</v>
      </c>
      <c r="V939">
        <f t="shared" si="84"/>
        <v>0.37538461538461537</v>
      </c>
      <c r="W939">
        <f t="shared" si="85"/>
        <v>2</v>
      </c>
      <c r="X939">
        <f t="shared" si="86"/>
        <v>25</v>
      </c>
      <c r="Y939">
        <f t="shared" si="87"/>
        <v>0.4</v>
      </c>
      <c r="Z939" s="7" t="str">
        <f t="shared" si="88"/>
        <v>High Sales</v>
      </c>
      <c r="AA939" s="7" t="str">
        <f t="shared" si="89"/>
        <v>High Margin</v>
      </c>
    </row>
    <row r="940" spans="1:27" x14ac:dyDescent="0.25">
      <c r="A940" t="s">
        <v>116</v>
      </c>
      <c r="B940">
        <v>173</v>
      </c>
      <c r="C940">
        <v>8</v>
      </c>
      <c r="D940" s="1">
        <v>42120</v>
      </c>
      <c r="E940">
        <v>1150</v>
      </c>
      <c r="F940">
        <v>239</v>
      </c>
      <c r="G940" t="s">
        <v>39</v>
      </c>
      <c r="H940" t="s">
        <v>36</v>
      </c>
      <c r="I940">
        <v>57</v>
      </c>
      <c r="J940" t="s">
        <v>23</v>
      </c>
      <c r="K940" t="s">
        <v>24</v>
      </c>
      <c r="L940" t="s">
        <v>25</v>
      </c>
      <c r="M940">
        <v>138</v>
      </c>
      <c r="N940">
        <v>412</v>
      </c>
      <c r="O940" t="s">
        <v>48</v>
      </c>
      <c r="P940">
        <v>160</v>
      </c>
      <c r="Q940">
        <v>220</v>
      </c>
      <c r="R940">
        <v>130</v>
      </c>
      <c r="S940">
        <v>380</v>
      </c>
      <c r="T940">
        <v>101</v>
      </c>
      <c r="U940" t="s">
        <v>27</v>
      </c>
      <c r="V940">
        <f t="shared" si="84"/>
        <v>0.33495145631067963</v>
      </c>
      <c r="W940">
        <f t="shared" si="85"/>
        <v>8</v>
      </c>
      <c r="X940">
        <f t="shared" si="86"/>
        <v>32</v>
      </c>
      <c r="Y940">
        <f t="shared" si="87"/>
        <v>0.4199029126213592</v>
      </c>
      <c r="Z940" s="7" t="str">
        <f t="shared" si="88"/>
        <v>High Sales</v>
      </c>
      <c r="AA940" s="7" t="str">
        <f t="shared" si="89"/>
        <v>High Margin</v>
      </c>
    </row>
    <row r="941" spans="1:27" x14ac:dyDescent="0.25">
      <c r="A941" t="s">
        <v>85</v>
      </c>
      <c r="B941">
        <v>88</v>
      </c>
      <c r="C941">
        <v>0</v>
      </c>
      <c r="D941" s="1">
        <v>42121</v>
      </c>
      <c r="E941">
        <v>561</v>
      </c>
      <c r="F941">
        <v>112</v>
      </c>
      <c r="G941" t="s">
        <v>39</v>
      </c>
      <c r="H941" t="s">
        <v>36</v>
      </c>
      <c r="I941">
        <v>29</v>
      </c>
      <c r="J941" t="s">
        <v>23</v>
      </c>
      <c r="K941" t="s">
        <v>24</v>
      </c>
      <c r="L941" t="s">
        <v>25</v>
      </c>
      <c r="M941">
        <v>70</v>
      </c>
      <c r="N941">
        <v>200</v>
      </c>
      <c r="O941" t="s">
        <v>56</v>
      </c>
      <c r="P941">
        <v>80</v>
      </c>
      <c r="Q941">
        <v>100</v>
      </c>
      <c r="R941">
        <v>70</v>
      </c>
      <c r="S941">
        <v>180</v>
      </c>
      <c r="T941">
        <v>42</v>
      </c>
      <c r="U941" t="s">
        <v>27</v>
      </c>
      <c r="V941">
        <f t="shared" si="84"/>
        <v>0.35</v>
      </c>
      <c r="W941">
        <f t="shared" si="85"/>
        <v>0</v>
      </c>
      <c r="X941">
        <f t="shared" si="86"/>
        <v>20</v>
      </c>
      <c r="Y941">
        <f t="shared" si="87"/>
        <v>0.44</v>
      </c>
      <c r="Z941" s="7" t="str">
        <f t="shared" si="88"/>
        <v>Low Sales</v>
      </c>
      <c r="AA941" s="7" t="str">
        <f t="shared" si="89"/>
        <v>High Margin</v>
      </c>
    </row>
    <row r="942" spans="1:27" x14ac:dyDescent="0.25">
      <c r="A942" t="s">
        <v>116</v>
      </c>
      <c r="B942">
        <v>113</v>
      </c>
      <c r="C942">
        <v>7</v>
      </c>
      <c r="D942" s="1">
        <v>42122</v>
      </c>
      <c r="E942">
        <v>803</v>
      </c>
      <c r="F942">
        <v>165</v>
      </c>
      <c r="G942" t="s">
        <v>39</v>
      </c>
      <c r="H942" t="s">
        <v>36</v>
      </c>
      <c r="I942">
        <v>36</v>
      </c>
      <c r="J942" t="s">
        <v>23</v>
      </c>
      <c r="K942" t="s">
        <v>24</v>
      </c>
      <c r="L942" t="s">
        <v>28</v>
      </c>
      <c r="M942">
        <v>107</v>
      </c>
      <c r="N942">
        <v>278</v>
      </c>
      <c r="O942" t="s">
        <v>48</v>
      </c>
      <c r="P942">
        <v>100</v>
      </c>
      <c r="Q942">
        <v>150</v>
      </c>
      <c r="R942">
        <v>100</v>
      </c>
      <c r="S942">
        <v>250</v>
      </c>
      <c r="T942">
        <v>58</v>
      </c>
      <c r="U942" t="s">
        <v>27</v>
      </c>
      <c r="V942">
        <f t="shared" si="84"/>
        <v>0.38489208633093525</v>
      </c>
      <c r="W942">
        <f t="shared" si="85"/>
        <v>7</v>
      </c>
      <c r="X942">
        <f t="shared" si="86"/>
        <v>28</v>
      </c>
      <c r="Y942">
        <f t="shared" si="87"/>
        <v>0.40647482014388492</v>
      </c>
      <c r="Z942" s="7" t="str">
        <f t="shared" si="88"/>
        <v>Low Sales</v>
      </c>
      <c r="AA942" s="7" t="str">
        <f t="shared" si="89"/>
        <v>High Margin</v>
      </c>
    </row>
    <row r="943" spans="1:27" x14ac:dyDescent="0.25">
      <c r="A943" t="s">
        <v>116</v>
      </c>
      <c r="B943">
        <v>228</v>
      </c>
      <c r="C943">
        <v>56</v>
      </c>
      <c r="D943" s="1">
        <v>42123</v>
      </c>
      <c r="E943">
        <v>1691</v>
      </c>
      <c r="F943">
        <v>304</v>
      </c>
      <c r="G943" t="s">
        <v>39</v>
      </c>
      <c r="H943" t="s">
        <v>36</v>
      </c>
      <c r="I943">
        <v>75</v>
      </c>
      <c r="J943" t="s">
        <v>23</v>
      </c>
      <c r="K943" t="s">
        <v>32</v>
      </c>
      <c r="L943" t="s">
        <v>33</v>
      </c>
      <c r="M943">
        <v>196</v>
      </c>
      <c r="N943">
        <v>532</v>
      </c>
      <c r="O943" t="s">
        <v>48</v>
      </c>
      <c r="P943">
        <v>160</v>
      </c>
      <c r="Q943">
        <v>220</v>
      </c>
      <c r="R943">
        <v>140</v>
      </c>
      <c r="S943">
        <v>380</v>
      </c>
      <c r="T943">
        <v>108</v>
      </c>
      <c r="U943" t="s">
        <v>35</v>
      </c>
      <c r="V943">
        <f t="shared" si="84"/>
        <v>0.36842105263157893</v>
      </c>
      <c r="W943">
        <f t="shared" si="85"/>
        <v>56</v>
      </c>
      <c r="X943">
        <f t="shared" si="86"/>
        <v>152</v>
      </c>
      <c r="Y943">
        <f t="shared" si="87"/>
        <v>0.42857142857142855</v>
      </c>
      <c r="Z943" s="7" t="str">
        <f t="shared" si="88"/>
        <v>High Sales</v>
      </c>
      <c r="AA943" s="7" t="str">
        <f t="shared" si="89"/>
        <v>High Margin</v>
      </c>
    </row>
    <row r="944" spans="1:27" x14ac:dyDescent="0.25">
      <c r="A944" t="s">
        <v>116</v>
      </c>
      <c r="B944">
        <v>211</v>
      </c>
      <c r="C944">
        <v>48</v>
      </c>
      <c r="D944" s="1">
        <v>42124</v>
      </c>
      <c r="E944">
        <v>1778</v>
      </c>
      <c r="F944">
        <v>212</v>
      </c>
      <c r="G944" t="s">
        <v>39</v>
      </c>
      <c r="H944" t="s">
        <v>36</v>
      </c>
      <c r="I944">
        <v>59</v>
      </c>
      <c r="J944" t="s">
        <v>23</v>
      </c>
      <c r="K944" t="s">
        <v>32</v>
      </c>
      <c r="L944" t="s">
        <v>61</v>
      </c>
      <c r="M944">
        <v>128</v>
      </c>
      <c r="N944">
        <v>423</v>
      </c>
      <c r="O944" t="s">
        <v>48</v>
      </c>
      <c r="P944">
        <v>150</v>
      </c>
      <c r="Q944">
        <v>150</v>
      </c>
      <c r="R944">
        <v>80</v>
      </c>
      <c r="S944">
        <v>300</v>
      </c>
      <c r="T944">
        <v>84</v>
      </c>
      <c r="U944" t="s">
        <v>35</v>
      </c>
      <c r="V944">
        <f t="shared" si="84"/>
        <v>0.30260047281323876</v>
      </c>
      <c r="W944">
        <f t="shared" si="85"/>
        <v>48</v>
      </c>
      <c r="X944">
        <f t="shared" si="86"/>
        <v>123</v>
      </c>
      <c r="Y944">
        <f t="shared" si="87"/>
        <v>0.49881796690307328</v>
      </c>
      <c r="Z944" s="7" t="str">
        <f t="shared" si="88"/>
        <v>High Sales</v>
      </c>
      <c r="AA944" s="7" t="str">
        <f t="shared" si="89"/>
        <v>High Margin</v>
      </c>
    </row>
    <row r="945" spans="1:27" x14ac:dyDescent="0.25">
      <c r="A945" t="s">
        <v>85</v>
      </c>
      <c r="B945">
        <v>78</v>
      </c>
      <c r="C945">
        <v>12</v>
      </c>
      <c r="D945" s="1">
        <v>42125</v>
      </c>
      <c r="E945">
        <v>798</v>
      </c>
      <c r="F945">
        <v>119</v>
      </c>
      <c r="G945" t="s">
        <v>39</v>
      </c>
      <c r="H945" t="s">
        <v>36</v>
      </c>
      <c r="I945">
        <v>25</v>
      </c>
      <c r="J945" t="s">
        <v>23</v>
      </c>
      <c r="K945" t="s">
        <v>32</v>
      </c>
      <c r="L945" t="s">
        <v>61</v>
      </c>
      <c r="M945">
        <v>62</v>
      </c>
      <c r="N945">
        <v>197</v>
      </c>
      <c r="O945" t="s">
        <v>56</v>
      </c>
      <c r="P945">
        <v>50</v>
      </c>
      <c r="Q945">
        <v>90</v>
      </c>
      <c r="R945">
        <v>50</v>
      </c>
      <c r="S945">
        <v>140</v>
      </c>
      <c r="T945">
        <v>57</v>
      </c>
      <c r="U945" t="s">
        <v>35</v>
      </c>
      <c r="V945">
        <f t="shared" si="84"/>
        <v>0.31472081218274112</v>
      </c>
      <c r="W945">
        <f t="shared" si="85"/>
        <v>12</v>
      </c>
      <c r="X945">
        <f t="shared" si="86"/>
        <v>57</v>
      </c>
      <c r="Y945">
        <f t="shared" si="87"/>
        <v>0.39593908629441626</v>
      </c>
      <c r="Z945" s="7" t="str">
        <f t="shared" si="88"/>
        <v>Low Sales</v>
      </c>
      <c r="AA945" s="7" t="str">
        <f t="shared" si="89"/>
        <v>High Margin</v>
      </c>
    </row>
    <row r="946" spans="1:27" x14ac:dyDescent="0.25">
      <c r="A946" t="s">
        <v>116</v>
      </c>
      <c r="B946">
        <v>245</v>
      </c>
      <c r="C946">
        <v>-60</v>
      </c>
      <c r="D946" s="1">
        <v>42126</v>
      </c>
      <c r="E946">
        <v>7653</v>
      </c>
      <c r="F946">
        <v>-245</v>
      </c>
      <c r="G946" t="s">
        <v>39</v>
      </c>
      <c r="H946" t="s">
        <v>36</v>
      </c>
      <c r="I946">
        <v>93</v>
      </c>
      <c r="J946" t="s">
        <v>23</v>
      </c>
      <c r="K946" t="s">
        <v>32</v>
      </c>
      <c r="L946" t="s">
        <v>37</v>
      </c>
      <c r="M946">
        <v>-340</v>
      </c>
      <c r="N946">
        <v>32</v>
      </c>
      <c r="O946" t="s">
        <v>48</v>
      </c>
      <c r="P946">
        <v>180</v>
      </c>
      <c r="Q946">
        <v>-180</v>
      </c>
      <c r="R946">
        <v>-280</v>
      </c>
      <c r="S946">
        <v>0</v>
      </c>
      <c r="T946">
        <v>127</v>
      </c>
      <c r="U946" t="s">
        <v>35</v>
      </c>
      <c r="V946">
        <f t="shared" si="84"/>
        <v>-10.625</v>
      </c>
      <c r="W946">
        <f t="shared" si="85"/>
        <v>-60</v>
      </c>
      <c r="X946">
        <f t="shared" si="86"/>
        <v>32</v>
      </c>
      <c r="Y946">
        <f t="shared" si="87"/>
        <v>7.65625</v>
      </c>
      <c r="Z946" s="7" t="str">
        <f t="shared" si="88"/>
        <v>Low Sales</v>
      </c>
      <c r="AA946" s="7" t="str">
        <f t="shared" si="89"/>
        <v>Low Margin</v>
      </c>
    </row>
    <row r="947" spans="1:27" x14ac:dyDescent="0.25">
      <c r="A947" t="s">
        <v>85</v>
      </c>
      <c r="B947">
        <v>102</v>
      </c>
      <c r="C947">
        <v>19</v>
      </c>
      <c r="D947" s="1">
        <v>42127</v>
      </c>
      <c r="E947">
        <v>666</v>
      </c>
      <c r="F947">
        <v>143</v>
      </c>
      <c r="G947" t="s">
        <v>39</v>
      </c>
      <c r="H947" t="s">
        <v>36</v>
      </c>
      <c r="I947">
        <v>31</v>
      </c>
      <c r="J947" t="s">
        <v>23</v>
      </c>
      <c r="K947" t="s">
        <v>32</v>
      </c>
      <c r="L947" t="s">
        <v>37</v>
      </c>
      <c r="M947">
        <v>89</v>
      </c>
      <c r="N947">
        <v>245</v>
      </c>
      <c r="O947" t="s">
        <v>56</v>
      </c>
      <c r="P947">
        <v>70</v>
      </c>
      <c r="Q947">
        <v>100</v>
      </c>
      <c r="R947">
        <v>70</v>
      </c>
      <c r="S947">
        <v>170</v>
      </c>
      <c r="T947">
        <v>54</v>
      </c>
      <c r="U947" t="s">
        <v>35</v>
      </c>
      <c r="V947">
        <f t="shared" si="84"/>
        <v>0.36326530612244901</v>
      </c>
      <c r="W947">
        <f t="shared" si="85"/>
        <v>19</v>
      </c>
      <c r="X947">
        <f t="shared" si="86"/>
        <v>75</v>
      </c>
      <c r="Y947">
        <f t="shared" si="87"/>
        <v>0.41632653061224489</v>
      </c>
      <c r="Z947" s="7" t="str">
        <f t="shared" si="88"/>
        <v>Low Sales</v>
      </c>
      <c r="AA947" s="7" t="str">
        <f t="shared" si="89"/>
        <v>High Margin</v>
      </c>
    </row>
    <row r="948" spans="1:27" x14ac:dyDescent="0.25">
      <c r="A948" t="s">
        <v>207</v>
      </c>
      <c r="B948">
        <v>224</v>
      </c>
      <c r="C948">
        <v>1</v>
      </c>
      <c r="D948" s="1">
        <v>42128</v>
      </c>
      <c r="E948">
        <v>4216</v>
      </c>
      <c r="F948">
        <v>-32</v>
      </c>
      <c r="G948" t="s">
        <v>21</v>
      </c>
      <c r="H948" t="s">
        <v>36</v>
      </c>
      <c r="I948">
        <v>73</v>
      </c>
      <c r="J948" t="s">
        <v>40</v>
      </c>
      <c r="K948" t="s">
        <v>45</v>
      </c>
      <c r="L948" t="s">
        <v>46</v>
      </c>
      <c r="M948">
        <v>-149</v>
      </c>
      <c r="N948">
        <v>192</v>
      </c>
      <c r="O948" t="s">
        <v>38</v>
      </c>
      <c r="P948">
        <v>260</v>
      </c>
      <c r="Q948">
        <v>-40</v>
      </c>
      <c r="R948">
        <v>-150</v>
      </c>
      <c r="S948">
        <v>220</v>
      </c>
      <c r="T948">
        <v>117</v>
      </c>
      <c r="U948" t="s">
        <v>27</v>
      </c>
      <c r="V948">
        <f t="shared" si="84"/>
        <v>-0.77604166666666663</v>
      </c>
      <c r="W948">
        <f t="shared" si="85"/>
        <v>1</v>
      </c>
      <c r="X948">
        <f t="shared" si="86"/>
        <v>-28</v>
      </c>
      <c r="Y948">
        <f t="shared" si="87"/>
        <v>1.1666666666666667</v>
      </c>
      <c r="Z948" s="7" t="str">
        <f t="shared" si="88"/>
        <v>Low Sales</v>
      </c>
      <c r="AA948" s="7" t="str">
        <f t="shared" si="89"/>
        <v>Low Margin</v>
      </c>
    </row>
    <row r="949" spans="1:27" x14ac:dyDescent="0.25">
      <c r="A949" t="s">
        <v>132</v>
      </c>
      <c r="B949">
        <v>247</v>
      </c>
      <c r="C949">
        <v>6</v>
      </c>
      <c r="D949" s="1">
        <v>42129</v>
      </c>
      <c r="E949">
        <v>1744</v>
      </c>
      <c r="F949">
        <v>329</v>
      </c>
      <c r="G949" t="s">
        <v>21</v>
      </c>
      <c r="H949" t="s">
        <v>36</v>
      </c>
      <c r="I949">
        <v>81</v>
      </c>
      <c r="J949" t="s">
        <v>40</v>
      </c>
      <c r="K949" t="s">
        <v>41</v>
      </c>
      <c r="L949" t="s">
        <v>42</v>
      </c>
      <c r="M949">
        <v>216</v>
      </c>
      <c r="N949">
        <v>576</v>
      </c>
      <c r="O949" t="s">
        <v>38</v>
      </c>
      <c r="P949">
        <v>240</v>
      </c>
      <c r="Q949">
        <v>310</v>
      </c>
      <c r="R949">
        <v>210</v>
      </c>
      <c r="S949">
        <v>550</v>
      </c>
      <c r="T949">
        <v>113</v>
      </c>
      <c r="U949" t="s">
        <v>27</v>
      </c>
      <c r="V949">
        <f t="shared" si="84"/>
        <v>0.375</v>
      </c>
      <c r="W949">
        <f t="shared" si="85"/>
        <v>6</v>
      </c>
      <c r="X949">
        <f t="shared" si="86"/>
        <v>26</v>
      </c>
      <c r="Y949">
        <f t="shared" si="87"/>
        <v>0.42881944444444442</v>
      </c>
      <c r="Z949" s="7" t="str">
        <f t="shared" si="88"/>
        <v>High Sales</v>
      </c>
      <c r="AA949" s="7" t="str">
        <f t="shared" si="89"/>
        <v>High Margin</v>
      </c>
    </row>
    <row r="950" spans="1:27" x14ac:dyDescent="0.25">
      <c r="A950" t="s">
        <v>206</v>
      </c>
      <c r="B950">
        <v>127</v>
      </c>
      <c r="C950">
        <v>2</v>
      </c>
      <c r="D950" s="1">
        <v>42130</v>
      </c>
      <c r="E950">
        <v>2947</v>
      </c>
      <c r="F950">
        <v>-25</v>
      </c>
      <c r="G950" t="s">
        <v>21</v>
      </c>
      <c r="H950" t="s">
        <v>36</v>
      </c>
      <c r="I950">
        <v>40</v>
      </c>
      <c r="J950" t="s">
        <v>40</v>
      </c>
      <c r="K950" t="s">
        <v>45</v>
      </c>
      <c r="L950" t="s">
        <v>50</v>
      </c>
      <c r="M950">
        <v>-88</v>
      </c>
      <c r="N950">
        <v>102</v>
      </c>
      <c r="O950" t="s">
        <v>38</v>
      </c>
      <c r="P950">
        <v>150</v>
      </c>
      <c r="Q950">
        <v>-30</v>
      </c>
      <c r="R950">
        <v>-90</v>
      </c>
      <c r="S950">
        <v>120</v>
      </c>
      <c r="T950">
        <v>63</v>
      </c>
      <c r="U950" t="s">
        <v>35</v>
      </c>
      <c r="V950">
        <f t="shared" si="84"/>
        <v>-0.86274509803921573</v>
      </c>
      <c r="W950">
        <f t="shared" si="85"/>
        <v>2</v>
      </c>
      <c r="X950">
        <f t="shared" si="86"/>
        <v>-18</v>
      </c>
      <c r="Y950">
        <f t="shared" si="87"/>
        <v>1.2450980392156863</v>
      </c>
      <c r="Z950" s="7" t="str">
        <f t="shared" si="88"/>
        <v>Low Sales</v>
      </c>
      <c r="AA950" s="7" t="str">
        <f t="shared" si="89"/>
        <v>Low Margin</v>
      </c>
    </row>
    <row r="951" spans="1:27" x14ac:dyDescent="0.25">
      <c r="A951" t="s">
        <v>139</v>
      </c>
      <c r="B951">
        <v>279</v>
      </c>
      <c r="C951">
        <v>-79</v>
      </c>
      <c r="D951" s="1">
        <v>42131</v>
      </c>
      <c r="E951">
        <v>2642</v>
      </c>
      <c r="F951">
        <v>420</v>
      </c>
      <c r="G951" t="s">
        <v>21</v>
      </c>
      <c r="H951" t="s">
        <v>36</v>
      </c>
      <c r="I951">
        <v>97</v>
      </c>
      <c r="J951" t="s">
        <v>40</v>
      </c>
      <c r="K951" t="s">
        <v>45</v>
      </c>
      <c r="L951" t="s">
        <v>52</v>
      </c>
      <c r="M951">
        <v>271</v>
      </c>
      <c r="N951">
        <v>699</v>
      </c>
      <c r="O951" t="s">
        <v>38</v>
      </c>
      <c r="P951">
        <v>330</v>
      </c>
      <c r="Q951">
        <v>500</v>
      </c>
      <c r="R951">
        <v>350</v>
      </c>
      <c r="S951">
        <v>830</v>
      </c>
      <c r="T951">
        <v>149</v>
      </c>
      <c r="U951" t="s">
        <v>35</v>
      </c>
      <c r="V951">
        <f t="shared" si="84"/>
        <v>0.38769670958512159</v>
      </c>
      <c r="W951">
        <f t="shared" si="85"/>
        <v>-79</v>
      </c>
      <c r="X951">
        <f t="shared" si="86"/>
        <v>-131</v>
      </c>
      <c r="Y951">
        <f t="shared" si="87"/>
        <v>0.39914163090128757</v>
      </c>
      <c r="Z951" s="7" t="str">
        <f t="shared" si="88"/>
        <v>High Sales</v>
      </c>
      <c r="AA951" s="7" t="str">
        <f t="shared" si="89"/>
        <v>High Margin</v>
      </c>
    </row>
    <row r="952" spans="1:27" x14ac:dyDescent="0.25">
      <c r="A952" t="s">
        <v>212</v>
      </c>
      <c r="B952">
        <v>250</v>
      </c>
      <c r="C952">
        <v>-3</v>
      </c>
      <c r="D952" s="1">
        <v>42132</v>
      </c>
      <c r="E952">
        <v>1820</v>
      </c>
      <c r="F952">
        <v>251</v>
      </c>
      <c r="G952" t="s">
        <v>21</v>
      </c>
      <c r="H952" t="s">
        <v>36</v>
      </c>
      <c r="I952">
        <v>70</v>
      </c>
      <c r="J952" t="s">
        <v>40</v>
      </c>
      <c r="K952" t="s">
        <v>41</v>
      </c>
      <c r="L952" t="s">
        <v>54</v>
      </c>
      <c r="M952">
        <v>157</v>
      </c>
      <c r="N952">
        <v>501</v>
      </c>
      <c r="O952" t="s">
        <v>38</v>
      </c>
      <c r="P952">
        <v>240</v>
      </c>
      <c r="Q952">
        <v>240</v>
      </c>
      <c r="R952">
        <v>160</v>
      </c>
      <c r="S952">
        <v>480</v>
      </c>
      <c r="T952">
        <v>94</v>
      </c>
      <c r="U952" t="s">
        <v>35</v>
      </c>
      <c r="V952">
        <f t="shared" si="84"/>
        <v>0.31337325349301398</v>
      </c>
      <c r="W952">
        <f t="shared" si="85"/>
        <v>-3</v>
      </c>
      <c r="X952">
        <f t="shared" si="86"/>
        <v>21</v>
      </c>
      <c r="Y952">
        <f t="shared" si="87"/>
        <v>0.49900199600798401</v>
      </c>
      <c r="Z952" s="7" t="str">
        <f t="shared" si="88"/>
        <v>High Sales</v>
      </c>
      <c r="AA952" s="7" t="str">
        <f t="shared" si="89"/>
        <v>High Margin</v>
      </c>
    </row>
    <row r="953" spans="1:27" x14ac:dyDescent="0.25">
      <c r="A953" t="s">
        <v>160</v>
      </c>
      <c r="B953">
        <v>135</v>
      </c>
      <c r="C953">
        <v>-9</v>
      </c>
      <c r="D953" s="1">
        <v>42133</v>
      </c>
      <c r="E953">
        <v>940</v>
      </c>
      <c r="F953">
        <v>187</v>
      </c>
      <c r="G953" t="s">
        <v>21</v>
      </c>
      <c r="H953" t="s">
        <v>36</v>
      </c>
      <c r="I953">
        <v>122</v>
      </c>
      <c r="J953" t="s">
        <v>40</v>
      </c>
      <c r="K953" t="s">
        <v>41</v>
      </c>
      <c r="L953" t="s">
        <v>53</v>
      </c>
      <c r="M953">
        <v>31</v>
      </c>
      <c r="N953">
        <v>322</v>
      </c>
      <c r="O953" t="s">
        <v>38</v>
      </c>
      <c r="P953">
        <v>130</v>
      </c>
      <c r="Q953">
        <v>180</v>
      </c>
      <c r="R953">
        <v>40</v>
      </c>
      <c r="S953">
        <v>310</v>
      </c>
      <c r="T953">
        <v>156</v>
      </c>
      <c r="U953" t="s">
        <v>35</v>
      </c>
      <c r="V953">
        <f t="shared" si="84"/>
        <v>9.627329192546584E-2</v>
      </c>
      <c r="W953">
        <f t="shared" si="85"/>
        <v>-9</v>
      </c>
      <c r="X953">
        <f t="shared" si="86"/>
        <v>12</v>
      </c>
      <c r="Y953">
        <f t="shared" si="87"/>
        <v>0.41925465838509318</v>
      </c>
      <c r="Z953" s="7" t="str">
        <f t="shared" si="88"/>
        <v>High Sales</v>
      </c>
      <c r="AA953" s="7" t="str">
        <f t="shared" si="89"/>
        <v>High Margin</v>
      </c>
    </row>
    <row r="954" spans="1:27" x14ac:dyDescent="0.25">
      <c r="A954" t="s">
        <v>149</v>
      </c>
      <c r="B954">
        <v>86</v>
      </c>
      <c r="C954">
        <v>9</v>
      </c>
      <c r="D954" s="1">
        <v>42134</v>
      </c>
      <c r="E954">
        <v>1003</v>
      </c>
      <c r="F954">
        <v>124</v>
      </c>
      <c r="G954" t="s">
        <v>21</v>
      </c>
      <c r="H954" t="s">
        <v>36</v>
      </c>
      <c r="I954">
        <v>24</v>
      </c>
      <c r="J954" t="s">
        <v>23</v>
      </c>
      <c r="K954" t="s">
        <v>24</v>
      </c>
      <c r="L954" t="s">
        <v>57</v>
      </c>
      <c r="M954">
        <v>89</v>
      </c>
      <c r="N954">
        <v>210</v>
      </c>
      <c r="O954" t="s">
        <v>38</v>
      </c>
      <c r="P954">
        <v>80</v>
      </c>
      <c r="Q954">
        <v>110</v>
      </c>
      <c r="R954">
        <v>80</v>
      </c>
      <c r="S954">
        <v>190</v>
      </c>
      <c r="T954">
        <v>35</v>
      </c>
      <c r="U954" t="s">
        <v>27</v>
      </c>
      <c r="V954">
        <f t="shared" si="84"/>
        <v>0.4238095238095238</v>
      </c>
      <c r="W954">
        <f t="shared" si="85"/>
        <v>9</v>
      </c>
      <c r="X954">
        <f t="shared" si="86"/>
        <v>20</v>
      </c>
      <c r="Y954">
        <f t="shared" si="87"/>
        <v>0.40952380952380951</v>
      </c>
      <c r="Z954" s="7" t="str">
        <f t="shared" si="88"/>
        <v>Low Sales</v>
      </c>
      <c r="AA954" s="7" t="str">
        <f t="shared" si="89"/>
        <v>High Margin</v>
      </c>
    </row>
    <row r="955" spans="1:27" x14ac:dyDescent="0.25">
      <c r="A955" t="s">
        <v>213</v>
      </c>
      <c r="B955">
        <v>241</v>
      </c>
      <c r="C955">
        <v>18</v>
      </c>
      <c r="D955" s="1">
        <v>42135</v>
      </c>
      <c r="E955">
        <v>1321</v>
      </c>
      <c r="F955">
        <v>284</v>
      </c>
      <c r="G955" t="s">
        <v>21</v>
      </c>
      <c r="H955" t="s">
        <v>36</v>
      </c>
      <c r="I955">
        <v>74</v>
      </c>
      <c r="J955" t="s">
        <v>23</v>
      </c>
      <c r="K955" t="s">
        <v>24</v>
      </c>
      <c r="L955" t="s">
        <v>25</v>
      </c>
      <c r="M955">
        <v>188</v>
      </c>
      <c r="N955">
        <v>525</v>
      </c>
      <c r="O955" t="s">
        <v>38</v>
      </c>
      <c r="P955">
        <v>220</v>
      </c>
      <c r="Q955">
        <v>260</v>
      </c>
      <c r="R955">
        <v>170</v>
      </c>
      <c r="S955">
        <v>480</v>
      </c>
      <c r="T955">
        <v>96</v>
      </c>
      <c r="U955" t="s">
        <v>27</v>
      </c>
      <c r="V955">
        <f t="shared" si="84"/>
        <v>0.35809523809523808</v>
      </c>
      <c r="W955">
        <f t="shared" si="85"/>
        <v>18</v>
      </c>
      <c r="X955">
        <f t="shared" si="86"/>
        <v>45</v>
      </c>
      <c r="Y955">
        <f t="shared" si="87"/>
        <v>0.45904761904761904</v>
      </c>
      <c r="Z955" s="7" t="str">
        <f t="shared" si="88"/>
        <v>High Sales</v>
      </c>
      <c r="AA955" s="7" t="str">
        <f t="shared" si="89"/>
        <v>High Margin</v>
      </c>
    </row>
    <row r="956" spans="1:27" x14ac:dyDescent="0.25">
      <c r="A956" t="s">
        <v>212</v>
      </c>
      <c r="B956">
        <v>123</v>
      </c>
      <c r="C956">
        <v>24</v>
      </c>
      <c r="D956" s="1">
        <v>42136</v>
      </c>
      <c r="E956">
        <v>959</v>
      </c>
      <c r="F956">
        <v>179</v>
      </c>
      <c r="G956" t="s">
        <v>21</v>
      </c>
      <c r="H956" t="s">
        <v>36</v>
      </c>
      <c r="I956">
        <v>34</v>
      </c>
      <c r="J956" t="s">
        <v>23</v>
      </c>
      <c r="K956" t="s">
        <v>32</v>
      </c>
      <c r="L956" t="s">
        <v>33</v>
      </c>
      <c r="M956">
        <v>134</v>
      </c>
      <c r="N956">
        <v>302</v>
      </c>
      <c r="O956" t="s">
        <v>38</v>
      </c>
      <c r="P956">
        <v>90</v>
      </c>
      <c r="Q956">
        <v>130</v>
      </c>
      <c r="R956">
        <v>110</v>
      </c>
      <c r="S956">
        <v>220</v>
      </c>
      <c r="T956">
        <v>45</v>
      </c>
      <c r="U956" t="s">
        <v>35</v>
      </c>
      <c r="V956">
        <f t="shared" si="84"/>
        <v>0.44370860927152317</v>
      </c>
      <c r="W956">
        <f t="shared" si="85"/>
        <v>24</v>
      </c>
      <c r="X956">
        <f t="shared" si="86"/>
        <v>82</v>
      </c>
      <c r="Y956">
        <f t="shared" si="87"/>
        <v>0.40728476821192056</v>
      </c>
      <c r="Z956" s="7" t="str">
        <f t="shared" si="88"/>
        <v>High Sales</v>
      </c>
      <c r="AA956" s="7" t="str">
        <f t="shared" si="89"/>
        <v>High Margin</v>
      </c>
    </row>
    <row r="957" spans="1:27" x14ac:dyDescent="0.25">
      <c r="A957" t="s">
        <v>77</v>
      </c>
      <c r="B957">
        <v>68</v>
      </c>
      <c r="C957">
        <v>-24</v>
      </c>
      <c r="D957" s="1">
        <v>42137</v>
      </c>
      <c r="E957">
        <v>619</v>
      </c>
      <c r="F957">
        <v>85</v>
      </c>
      <c r="G957" t="s">
        <v>39</v>
      </c>
      <c r="H957" t="s">
        <v>36</v>
      </c>
      <c r="I957">
        <v>25</v>
      </c>
      <c r="J957" t="s">
        <v>40</v>
      </c>
      <c r="K957" t="s">
        <v>45</v>
      </c>
      <c r="L957" t="s">
        <v>46</v>
      </c>
      <c r="M957">
        <v>26</v>
      </c>
      <c r="N957">
        <v>153</v>
      </c>
      <c r="O957" t="s">
        <v>49</v>
      </c>
      <c r="P957">
        <v>80</v>
      </c>
      <c r="Q957">
        <v>100</v>
      </c>
      <c r="R957">
        <v>50</v>
      </c>
      <c r="S957">
        <v>180</v>
      </c>
      <c r="T957">
        <v>59</v>
      </c>
      <c r="U957" t="s">
        <v>27</v>
      </c>
      <c r="V957">
        <f t="shared" si="84"/>
        <v>0.16993464052287582</v>
      </c>
      <c r="W957">
        <f t="shared" si="85"/>
        <v>-24</v>
      </c>
      <c r="X957">
        <f t="shared" si="86"/>
        <v>-27</v>
      </c>
      <c r="Y957">
        <f t="shared" si="87"/>
        <v>0.44444444444444442</v>
      </c>
      <c r="Z957" s="7" t="str">
        <f t="shared" si="88"/>
        <v>Low Sales</v>
      </c>
      <c r="AA957" s="7" t="str">
        <f t="shared" si="89"/>
        <v>High Margin</v>
      </c>
    </row>
    <row r="958" spans="1:27" x14ac:dyDescent="0.25">
      <c r="A958" t="s">
        <v>98</v>
      </c>
      <c r="B958">
        <v>105</v>
      </c>
      <c r="C958">
        <v>-30</v>
      </c>
      <c r="D958" s="1">
        <v>42138</v>
      </c>
      <c r="E958">
        <v>716</v>
      </c>
      <c r="F958">
        <v>145</v>
      </c>
      <c r="G958" t="s">
        <v>39</v>
      </c>
      <c r="H958" t="s">
        <v>36</v>
      </c>
      <c r="I958">
        <v>95</v>
      </c>
      <c r="J958" t="s">
        <v>40</v>
      </c>
      <c r="K958" t="s">
        <v>45</v>
      </c>
      <c r="L958" t="s">
        <v>46</v>
      </c>
      <c r="M958">
        <v>20</v>
      </c>
      <c r="N958">
        <v>250</v>
      </c>
      <c r="O958" t="s">
        <v>60</v>
      </c>
      <c r="P958">
        <v>120</v>
      </c>
      <c r="Q958">
        <v>170</v>
      </c>
      <c r="R958">
        <v>50</v>
      </c>
      <c r="S958">
        <v>290</v>
      </c>
      <c r="T958">
        <v>125</v>
      </c>
      <c r="U958" t="s">
        <v>27</v>
      </c>
      <c r="V958">
        <f t="shared" si="84"/>
        <v>0.08</v>
      </c>
      <c r="W958">
        <f t="shared" si="85"/>
        <v>-30</v>
      </c>
      <c r="X958">
        <f t="shared" si="86"/>
        <v>-40</v>
      </c>
      <c r="Y958">
        <f t="shared" si="87"/>
        <v>0.42</v>
      </c>
      <c r="Z958" s="7" t="str">
        <f t="shared" si="88"/>
        <v>Low Sales</v>
      </c>
      <c r="AA958" s="7" t="str">
        <f t="shared" si="89"/>
        <v>High Margin</v>
      </c>
    </row>
    <row r="959" spans="1:27" x14ac:dyDescent="0.25">
      <c r="A959" t="s">
        <v>85</v>
      </c>
      <c r="B959">
        <v>153</v>
      </c>
      <c r="C959">
        <v>7</v>
      </c>
      <c r="D959" s="1">
        <v>42139</v>
      </c>
      <c r="E959">
        <v>1319</v>
      </c>
      <c r="F959">
        <v>153</v>
      </c>
      <c r="G959" t="s">
        <v>39</v>
      </c>
      <c r="H959" t="s">
        <v>36</v>
      </c>
      <c r="I959">
        <v>42</v>
      </c>
      <c r="J959" t="s">
        <v>40</v>
      </c>
      <c r="K959" t="s">
        <v>41</v>
      </c>
      <c r="L959" t="s">
        <v>42</v>
      </c>
      <c r="M959">
        <v>87</v>
      </c>
      <c r="N959">
        <v>306</v>
      </c>
      <c r="O959" t="s">
        <v>56</v>
      </c>
      <c r="P959">
        <v>150</v>
      </c>
      <c r="Q959">
        <v>140</v>
      </c>
      <c r="R959">
        <v>80</v>
      </c>
      <c r="S959">
        <v>290</v>
      </c>
      <c r="T959">
        <v>66</v>
      </c>
      <c r="U959" t="s">
        <v>27</v>
      </c>
      <c r="V959">
        <f t="shared" si="84"/>
        <v>0.28431372549019607</v>
      </c>
      <c r="W959">
        <f t="shared" si="85"/>
        <v>7</v>
      </c>
      <c r="X959">
        <f t="shared" si="86"/>
        <v>16</v>
      </c>
      <c r="Y959">
        <f t="shared" si="87"/>
        <v>0.5</v>
      </c>
      <c r="Z959" s="7" t="str">
        <f t="shared" si="88"/>
        <v>High Sales</v>
      </c>
      <c r="AA959" s="7" t="str">
        <f t="shared" si="89"/>
        <v>High Margin</v>
      </c>
    </row>
    <row r="960" spans="1:27" x14ac:dyDescent="0.25">
      <c r="A960" t="s">
        <v>124</v>
      </c>
      <c r="B960">
        <v>80</v>
      </c>
      <c r="C960">
        <v>-9</v>
      </c>
      <c r="D960" s="1">
        <v>42140</v>
      </c>
      <c r="E960">
        <v>1079</v>
      </c>
      <c r="F960">
        <v>96</v>
      </c>
      <c r="G960" t="s">
        <v>39</v>
      </c>
      <c r="H960" t="s">
        <v>36</v>
      </c>
      <c r="I960">
        <v>24</v>
      </c>
      <c r="J960" t="s">
        <v>40</v>
      </c>
      <c r="K960" t="s">
        <v>41</v>
      </c>
      <c r="L960" t="s">
        <v>42</v>
      </c>
      <c r="M960">
        <v>51</v>
      </c>
      <c r="N960">
        <v>176</v>
      </c>
      <c r="O960" t="s">
        <v>60</v>
      </c>
      <c r="P960">
        <v>70</v>
      </c>
      <c r="Q960">
        <v>100</v>
      </c>
      <c r="R960">
        <v>60</v>
      </c>
      <c r="S960">
        <v>170</v>
      </c>
      <c r="T960">
        <v>45</v>
      </c>
      <c r="U960" t="s">
        <v>27</v>
      </c>
      <c r="V960">
        <f t="shared" si="84"/>
        <v>0.28977272727272729</v>
      </c>
      <c r="W960">
        <f t="shared" si="85"/>
        <v>-9</v>
      </c>
      <c r="X960">
        <f t="shared" si="86"/>
        <v>6</v>
      </c>
      <c r="Y960">
        <f t="shared" si="87"/>
        <v>0.45454545454545453</v>
      </c>
      <c r="Z960" s="7" t="str">
        <f t="shared" si="88"/>
        <v>Low Sales</v>
      </c>
      <c r="AA960" s="7" t="str">
        <f t="shared" si="89"/>
        <v>High Margin</v>
      </c>
    </row>
    <row r="961" spans="1:27" x14ac:dyDescent="0.25">
      <c r="A961" t="s">
        <v>77</v>
      </c>
      <c r="B961">
        <v>63</v>
      </c>
      <c r="C961">
        <v>-14</v>
      </c>
      <c r="D961" s="1">
        <v>42141</v>
      </c>
      <c r="E961">
        <v>1075</v>
      </c>
      <c r="F961">
        <v>76</v>
      </c>
      <c r="G961" t="s">
        <v>39</v>
      </c>
      <c r="H961" t="s">
        <v>36</v>
      </c>
      <c r="I961">
        <v>19</v>
      </c>
      <c r="J961" t="s">
        <v>40</v>
      </c>
      <c r="K961" t="s">
        <v>45</v>
      </c>
      <c r="L961" t="s">
        <v>50</v>
      </c>
      <c r="M961">
        <v>36</v>
      </c>
      <c r="N961">
        <v>139</v>
      </c>
      <c r="O961" t="s">
        <v>49</v>
      </c>
      <c r="P961">
        <v>70</v>
      </c>
      <c r="Q961">
        <v>90</v>
      </c>
      <c r="R961">
        <v>50</v>
      </c>
      <c r="S961">
        <v>160</v>
      </c>
      <c r="T961">
        <v>40</v>
      </c>
      <c r="U961" t="s">
        <v>35</v>
      </c>
      <c r="V961">
        <f t="shared" si="84"/>
        <v>0.25899280575539568</v>
      </c>
      <c r="W961">
        <f t="shared" si="85"/>
        <v>-14</v>
      </c>
      <c r="X961">
        <f t="shared" si="86"/>
        <v>-21</v>
      </c>
      <c r="Y961">
        <f t="shared" si="87"/>
        <v>0.45323741007194246</v>
      </c>
      <c r="Z961" s="7" t="str">
        <f t="shared" si="88"/>
        <v>Low Sales</v>
      </c>
      <c r="AA961" s="7" t="str">
        <f t="shared" si="89"/>
        <v>High Margin</v>
      </c>
    </row>
    <row r="962" spans="1:27" x14ac:dyDescent="0.25">
      <c r="A962" t="s">
        <v>124</v>
      </c>
      <c r="B962">
        <v>72</v>
      </c>
      <c r="C962">
        <v>-22</v>
      </c>
      <c r="D962" s="1">
        <v>42142</v>
      </c>
      <c r="E962">
        <v>461</v>
      </c>
      <c r="F962">
        <v>104</v>
      </c>
      <c r="G962" t="s">
        <v>39</v>
      </c>
      <c r="H962" t="s">
        <v>36</v>
      </c>
      <c r="I962">
        <v>23</v>
      </c>
      <c r="J962" t="s">
        <v>40</v>
      </c>
      <c r="K962" t="s">
        <v>45</v>
      </c>
      <c r="L962" t="s">
        <v>52</v>
      </c>
      <c r="M962">
        <v>58</v>
      </c>
      <c r="N962">
        <v>176</v>
      </c>
      <c r="O962" t="s">
        <v>60</v>
      </c>
      <c r="P962">
        <v>80</v>
      </c>
      <c r="Q962">
        <v>120</v>
      </c>
      <c r="R962">
        <v>80</v>
      </c>
      <c r="S962">
        <v>200</v>
      </c>
      <c r="T962">
        <v>46</v>
      </c>
      <c r="U962" t="s">
        <v>35</v>
      </c>
      <c r="V962">
        <f t="shared" ref="V962:V1025" si="90">M962/N962</f>
        <v>0.32954545454545453</v>
      </c>
      <c r="W962">
        <f t="shared" ref="W962:W1025" si="91">M962-R962</f>
        <v>-22</v>
      </c>
      <c r="X962">
        <f t="shared" ref="X962:X1025" si="92">N962-S962</f>
        <v>-24</v>
      </c>
      <c r="Y962">
        <f t="shared" ref="Y962:Y1025" si="93">B962/N962</f>
        <v>0.40909090909090912</v>
      </c>
      <c r="Z962" s="7" t="str">
        <f t="shared" ref="Z962:Z1025" si="94">IF(N962&gt;=AVERAGE(N962:N2023),"High Sales","Low Sales")</f>
        <v>Low Sales</v>
      </c>
      <c r="AA962" s="7" t="str">
        <f t="shared" ref="AA962:AA1025" si="95">IF(V962&gt;=AVERAGE(V962:V2023), "High Margin", "Low Margin")</f>
        <v>High Margin</v>
      </c>
    </row>
    <row r="963" spans="1:27" x14ac:dyDescent="0.25">
      <c r="A963" t="s">
        <v>76</v>
      </c>
      <c r="B963">
        <v>16</v>
      </c>
      <c r="C963">
        <v>0</v>
      </c>
      <c r="D963" s="1">
        <v>42143</v>
      </c>
      <c r="E963">
        <v>851</v>
      </c>
      <c r="F963">
        <v>25</v>
      </c>
      <c r="G963" t="s">
        <v>39</v>
      </c>
      <c r="H963" t="s">
        <v>36</v>
      </c>
      <c r="I963">
        <v>4</v>
      </c>
      <c r="J963" t="s">
        <v>40</v>
      </c>
      <c r="K963" t="s">
        <v>41</v>
      </c>
      <c r="L963" t="s">
        <v>53</v>
      </c>
      <c r="M963">
        <v>10</v>
      </c>
      <c r="N963">
        <v>41</v>
      </c>
      <c r="O963" t="s">
        <v>48</v>
      </c>
      <c r="P963">
        <v>10</v>
      </c>
      <c r="Q963">
        <v>20</v>
      </c>
      <c r="R963">
        <v>10</v>
      </c>
      <c r="S963">
        <v>30</v>
      </c>
      <c r="T963">
        <v>15</v>
      </c>
      <c r="U963" t="s">
        <v>35</v>
      </c>
      <c r="V963">
        <f t="shared" si="90"/>
        <v>0.24390243902439024</v>
      </c>
      <c r="W963">
        <f t="shared" si="91"/>
        <v>0</v>
      </c>
      <c r="X963">
        <f t="shared" si="92"/>
        <v>11</v>
      </c>
      <c r="Y963">
        <f t="shared" si="93"/>
        <v>0.3902439024390244</v>
      </c>
      <c r="Z963" s="7" t="str">
        <f t="shared" si="94"/>
        <v>Low Sales</v>
      </c>
      <c r="AA963" s="7" t="str">
        <f t="shared" si="95"/>
        <v>High Margin</v>
      </c>
    </row>
    <row r="964" spans="1:27" x14ac:dyDescent="0.25">
      <c r="A964" t="s">
        <v>77</v>
      </c>
      <c r="B964">
        <v>94</v>
      </c>
      <c r="C964">
        <v>7</v>
      </c>
      <c r="D964" s="1">
        <v>42144</v>
      </c>
      <c r="E964">
        <v>540</v>
      </c>
      <c r="F964">
        <v>120</v>
      </c>
      <c r="G964" t="s">
        <v>39</v>
      </c>
      <c r="H964" t="s">
        <v>36</v>
      </c>
      <c r="I964">
        <v>31</v>
      </c>
      <c r="J964" t="s">
        <v>40</v>
      </c>
      <c r="K964" t="s">
        <v>41</v>
      </c>
      <c r="L964" t="s">
        <v>53</v>
      </c>
      <c r="M964">
        <v>77</v>
      </c>
      <c r="N964">
        <v>214</v>
      </c>
      <c r="O964" t="s">
        <v>49</v>
      </c>
      <c r="P964">
        <v>90</v>
      </c>
      <c r="Q964">
        <v>110</v>
      </c>
      <c r="R964">
        <v>70</v>
      </c>
      <c r="S964">
        <v>200</v>
      </c>
      <c r="T964">
        <v>43</v>
      </c>
      <c r="U964" t="s">
        <v>35</v>
      </c>
      <c r="V964">
        <f t="shared" si="90"/>
        <v>0.35981308411214952</v>
      </c>
      <c r="W964">
        <f t="shared" si="91"/>
        <v>7</v>
      </c>
      <c r="X964">
        <f t="shared" si="92"/>
        <v>14</v>
      </c>
      <c r="Y964">
        <f t="shared" si="93"/>
        <v>0.43925233644859812</v>
      </c>
      <c r="Z964" s="7" t="str">
        <f t="shared" si="94"/>
        <v>Low Sales</v>
      </c>
      <c r="AA964" s="7" t="str">
        <f t="shared" si="95"/>
        <v>High Margin</v>
      </c>
    </row>
    <row r="965" spans="1:27" x14ac:dyDescent="0.25">
      <c r="A965" t="s">
        <v>116</v>
      </c>
      <c r="B965">
        <v>135</v>
      </c>
      <c r="C965">
        <v>2</v>
      </c>
      <c r="D965" s="1">
        <v>42145</v>
      </c>
      <c r="E965">
        <v>940</v>
      </c>
      <c r="F965">
        <v>187</v>
      </c>
      <c r="G965" t="s">
        <v>39</v>
      </c>
      <c r="H965" t="s">
        <v>36</v>
      </c>
      <c r="I965">
        <v>122</v>
      </c>
      <c r="J965" t="s">
        <v>23</v>
      </c>
      <c r="K965" t="s">
        <v>24</v>
      </c>
      <c r="L965" t="s">
        <v>57</v>
      </c>
      <c r="M965">
        <v>32</v>
      </c>
      <c r="N965">
        <v>322</v>
      </c>
      <c r="O965" t="s">
        <v>48</v>
      </c>
      <c r="P965">
        <v>120</v>
      </c>
      <c r="Q965">
        <v>170</v>
      </c>
      <c r="R965">
        <v>30</v>
      </c>
      <c r="S965">
        <v>290</v>
      </c>
      <c r="T965">
        <v>155</v>
      </c>
      <c r="U965" t="s">
        <v>27</v>
      </c>
      <c r="V965">
        <f t="shared" si="90"/>
        <v>9.9378881987577633E-2</v>
      </c>
      <c r="W965">
        <f t="shared" si="91"/>
        <v>2</v>
      </c>
      <c r="X965">
        <f t="shared" si="92"/>
        <v>32</v>
      </c>
      <c r="Y965">
        <f t="shared" si="93"/>
        <v>0.41925465838509318</v>
      </c>
      <c r="Z965" s="7" t="str">
        <f t="shared" si="94"/>
        <v>High Sales</v>
      </c>
      <c r="AA965" s="7" t="str">
        <f t="shared" si="95"/>
        <v>High Margin</v>
      </c>
    </row>
    <row r="966" spans="1:27" x14ac:dyDescent="0.25">
      <c r="A966" t="s">
        <v>98</v>
      </c>
      <c r="B966">
        <v>115</v>
      </c>
      <c r="C966">
        <v>-5</v>
      </c>
      <c r="D966" s="1">
        <v>42146</v>
      </c>
      <c r="E966">
        <v>1166</v>
      </c>
      <c r="F966">
        <v>174</v>
      </c>
      <c r="G966" t="s">
        <v>39</v>
      </c>
      <c r="H966" t="s">
        <v>36</v>
      </c>
      <c r="I966">
        <v>37</v>
      </c>
      <c r="J966" t="s">
        <v>23</v>
      </c>
      <c r="K966" t="s">
        <v>24</v>
      </c>
      <c r="L966" t="s">
        <v>57</v>
      </c>
      <c r="M966">
        <v>105</v>
      </c>
      <c r="N966">
        <v>289</v>
      </c>
      <c r="O966" t="s">
        <v>60</v>
      </c>
      <c r="P966">
        <v>100</v>
      </c>
      <c r="Q966">
        <v>160</v>
      </c>
      <c r="R966">
        <v>110</v>
      </c>
      <c r="S966">
        <v>260</v>
      </c>
      <c r="T966">
        <v>69</v>
      </c>
      <c r="U966" t="s">
        <v>27</v>
      </c>
      <c r="V966">
        <f t="shared" si="90"/>
        <v>0.36332179930795849</v>
      </c>
      <c r="W966">
        <f t="shared" si="91"/>
        <v>-5</v>
      </c>
      <c r="X966">
        <f t="shared" si="92"/>
        <v>29</v>
      </c>
      <c r="Y966">
        <f t="shared" si="93"/>
        <v>0.39792387543252594</v>
      </c>
      <c r="Z966" s="7" t="str">
        <f t="shared" si="94"/>
        <v>Low Sales</v>
      </c>
      <c r="AA966" s="7" t="str">
        <f t="shared" si="95"/>
        <v>High Margin</v>
      </c>
    </row>
    <row r="967" spans="1:27" x14ac:dyDescent="0.25">
      <c r="A967" t="s">
        <v>76</v>
      </c>
      <c r="B967">
        <v>224</v>
      </c>
      <c r="C967">
        <v>24</v>
      </c>
      <c r="D967" s="1">
        <v>42147</v>
      </c>
      <c r="E967">
        <v>1191</v>
      </c>
      <c r="F967">
        <v>310</v>
      </c>
      <c r="G967" t="s">
        <v>39</v>
      </c>
      <c r="H967" t="s">
        <v>36</v>
      </c>
      <c r="I967">
        <v>73</v>
      </c>
      <c r="J967" t="s">
        <v>23</v>
      </c>
      <c r="K967" t="s">
        <v>24</v>
      </c>
      <c r="L967" t="s">
        <v>25</v>
      </c>
      <c r="M967">
        <v>194</v>
      </c>
      <c r="N967">
        <v>534</v>
      </c>
      <c r="O967" t="s">
        <v>48</v>
      </c>
      <c r="P967">
        <v>210</v>
      </c>
      <c r="Q967">
        <v>280</v>
      </c>
      <c r="R967">
        <v>170</v>
      </c>
      <c r="S967">
        <v>490</v>
      </c>
      <c r="T967">
        <v>116</v>
      </c>
      <c r="U967" t="s">
        <v>27</v>
      </c>
      <c r="V967">
        <f t="shared" si="90"/>
        <v>0.36329588014981273</v>
      </c>
      <c r="W967">
        <f t="shared" si="91"/>
        <v>24</v>
      </c>
      <c r="X967">
        <f t="shared" si="92"/>
        <v>44</v>
      </c>
      <c r="Y967">
        <f t="shared" si="93"/>
        <v>0.41947565543071164</v>
      </c>
      <c r="Z967" s="7" t="str">
        <f t="shared" si="94"/>
        <v>High Sales</v>
      </c>
      <c r="AA967" s="7" t="str">
        <f t="shared" si="95"/>
        <v>High Margin</v>
      </c>
    </row>
    <row r="968" spans="1:27" x14ac:dyDescent="0.25">
      <c r="A968" t="s">
        <v>117</v>
      </c>
      <c r="B968">
        <v>81</v>
      </c>
      <c r="C968">
        <v>-4</v>
      </c>
      <c r="D968" s="1">
        <v>42148</v>
      </c>
      <c r="E968">
        <v>551</v>
      </c>
      <c r="F968">
        <v>104</v>
      </c>
      <c r="G968" t="s">
        <v>39</v>
      </c>
      <c r="H968" t="s">
        <v>36</v>
      </c>
      <c r="I968">
        <v>26</v>
      </c>
      <c r="J968" t="s">
        <v>23</v>
      </c>
      <c r="K968" t="s">
        <v>24</v>
      </c>
      <c r="L968" t="s">
        <v>25</v>
      </c>
      <c r="M968">
        <v>66</v>
      </c>
      <c r="N968">
        <v>185</v>
      </c>
      <c r="O968" t="s">
        <v>56</v>
      </c>
      <c r="P968">
        <v>70</v>
      </c>
      <c r="Q968">
        <v>100</v>
      </c>
      <c r="R968">
        <v>70</v>
      </c>
      <c r="S968">
        <v>170</v>
      </c>
      <c r="T968">
        <v>38</v>
      </c>
      <c r="U968" t="s">
        <v>27</v>
      </c>
      <c r="V968">
        <f t="shared" si="90"/>
        <v>0.35675675675675678</v>
      </c>
      <c r="W968">
        <f t="shared" si="91"/>
        <v>-4</v>
      </c>
      <c r="X968">
        <f t="shared" si="92"/>
        <v>15</v>
      </c>
      <c r="Y968">
        <f t="shared" si="93"/>
        <v>0.43783783783783786</v>
      </c>
      <c r="Z968" s="7" t="str">
        <f t="shared" si="94"/>
        <v>Low Sales</v>
      </c>
      <c r="AA968" s="7" t="str">
        <f t="shared" si="95"/>
        <v>High Margin</v>
      </c>
    </row>
    <row r="969" spans="1:27" x14ac:dyDescent="0.25">
      <c r="A969" t="s">
        <v>76</v>
      </c>
      <c r="B969">
        <v>127</v>
      </c>
      <c r="C969">
        <v>2</v>
      </c>
      <c r="D969" s="1">
        <v>42149</v>
      </c>
      <c r="E969">
        <v>830</v>
      </c>
      <c r="F969">
        <v>185</v>
      </c>
      <c r="G969" t="s">
        <v>39</v>
      </c>
      <c r="H969" t="s">
        <v>36</v>
      </c>
      <c r="I969">
        <v>40</v>
      </c>
      <c r="J969" t="s">
        <v>23</v>
      </c>
      <c r="K969" t="s">
        <v>24</v>
      </c>
      <c r="L969" t="s">
        <v>28</v>
      </c>
      <c r="M969">
        <v>122</v>
      </c>
      <c r="N969">
        <v>312</v>
      </c>
      <c r="O969" t="s">
        <v>48</v>
      </c>
      <c r="P969">
        <v>120</v>
      </c>
      <c r="Q969">
        <v>170</v>
      </c>
      <c r="R969">
        <v>120</v>
      </c>
      <c r="S969">
        <v>290</v>
      </c>
      <c r="T969">
        <v>63</v>
      </c>
      <c r="U969" t="s">
        <v>27</v>
      </c>
      <c r="V969">
        <f t="shared" si="90"/>
        <v>0.39102564102564102</v>
      </c>
      <c r="W969">
        <f t="shared" si="91"/>
        <v>2</v>
      </c>
      <c r="X969">
        <f t="shared" si="92"/>
        <v>22</v>
      </c>
      <c r="Y969">
        <f t="shared" si="93"/>
        <v>0.40705128205128205</v>
      </c>
      <c r="Z969" s="7" t="str">
        <f t="shared" si="94"/>
        <v>High Sales</v>
      </c>
      <c r="AA969" s="7" t="str">
        <f t="shared" si="95"/>
        <v>High Margin</v>
      </c>
    </row>
    <row r="970" spans="1:27" x14ac:dyDescent="0.25">
      <c r="A970" t="s">
        <v>116</v>
      </c>
      <c r="B970">
        <v>247</v>
      </c>
      <c r="C970">
        <v>65</v>
      </c>
      <c r="D970" s="1">
        <v>42150</v>
      </c>
      <c r="E970">
        <v>1744</v>
      </c>
      <c r="F970">
        <v>329</v>
      </c>
      <c r="G970" t="s">
        <v>39</v>
      </c>
      <c r="H970" t="s">
        <v>36</v>
      </c>
      <c r="I970">
        <v>81</v>
      </c>
      <c r="J970" t="s">
        <v>23</v>
      </c>
      <c r="K970" t="s">
        <v>32</v>
      </c>
      <c r="L970" t="s">
        <v>33</v>
      </c>
      <c r="M970">
        <v>215</v>
      </c>
      <c r="N970">
        <v>576</v>
      </c>
      <c r="O970" t="s">
        <v>48</v>
      </c>
      <c r="P970">
        <v>180</v>
      </c>
      <c r="Q970">
        <v>240</v>
      </c>
      <c r="R970">
        <v>150</v>
      </c>
      <c r="S970">
        <v>420</v>
      </c>
      <c r="T970">
        <v>114</v>
      </c>
      <c r="U970" t="s">
        <v>35</v>
      </c>
      <c r="V970">
        <f t="shared" si="90"/>
        <v>0.3732638888888889</v>
      </c>
      <c r="W970">
        <f t="shared" si="91"/>
        <v>65</v>
      </c>
      <c r="X970">
        <f t="shared" si="92"/>
        <v>156</v>
      </c>
      <c r="Y970">
        <f t="shared" si="93"/>
        <v>0.42881944444444442</v>
      </c>
      <c r="Z970" s="7" t="str">
        <f t="shared" si="94"/>
        <v>High Sales</v>
      </c>
      <c r="AA970" s="7" t="str">
        <f t="shared" si="95"/>
        <v>High Margin</v>
      </c>
    </row>
    <row r="971" spans="1:27" x14ac:dyDescent="0.25">
      <c r="A971" t="s">
        <v>116</v>
      </c>
      <c r="B971">
        <v>250</v>
      </c>
      <c r="C971">
        <v>57</v>
      </c>
      <c r="D971" s="1">
        <v>42151</v>
      </c>
      <c r="E971">
        <v>1820</v>
      </c>
      <c r="F971">
        <v>251</v>
      </c>
      <c r="G971" t="s">
        <v>39</v>
      </c>
      <c r="H971" t="s">
        <v>36</v>
      </c>
      <c r="I971">
        <v>70</v>
      </c>
      <c r="J971" t="s">
        <v>23</v>
      </c>
      <c r="K971" t="s">
        <v>32</v>
      </c>
      <c r="L971" t="s">
        <v>61</v>
      </c>
      <c r="M971">
        <v>157</v>
      </c>
      <c r="N971">
        <v>501</v>
      </c>
      <c r="O971" t="s">
        <v>48</v>
      </c>
      <c r="P971">
        <v>180</v>
      </c>
      <c r="Q971">
        <v>180</v>
      </c>
      <c r="R971">
        <v>100</v>
      </c>
      <c r="S971">
        <v>360</v>
      </c>
      <c r="T971">
        <v>94</v>
      </c>
      <c r="U971" t="s">
        <v>35</v>
      </c>
      <c r="V971">
        <f t="shared" si="90"/>
        <v>0.31337325349301398</v>
      </c>
      <c r="W971">
        <f t="shared" si="91"/>
        <v>57</v>
      </c>
      <c r="X971">
        <f t="shared" si="92"/>
        <v>141</v>
      </c>
      <c r="Y971">
        <f t="shared" si="93"/>
        <v>0.49900199600798401</v>
      </c>
      <c r="Z971" s="7" t="str">
        <f t="shared" si="94"/>
        <v>High Sales</v>
      </c>
      <c r="AA971" s="7" t="str">
        <f t="shared" si="95"/>
        <v>High Margin</v>
      </c>
    </row>
    <row r="972" spans="1:27" x14ac:dyDescent="0.25">
      <c r="A972" t="s">
        <v>85</v>
      </c>
      <c r="B972">
        <v>88</v>
      </c>
      <c r="C972">
        <v>13</v>
      </c>
      <c r="D972" s="1">
        <v>42152</v>
      </c>
      <c r="E972">
        <v>817</v>
      </c>
      <c r="F972">
        <v>133</v>
      </c>
      <c r="G972" t="s">
        <v>39</v>
      </c>
      <c r="H972" t="s">
        <v>36</v>
      </c>
      <c r="I972">
        <v>29</v>
      </c>
      <c r="J972" t="s">
        <v>23</v>
      </c>
      <c r="K972" t="s">
        <v>32</v>
      </c>
      <c r="L972" t="s">
        <v>61</v>
      </c>
      <c r="M972">
        <v>73</v>
      </c>
      <c r="N972">
        <v>221</v>
      </c>
      <c r="O972" t="s">
        <v>56</v>
      </c>
      <c r="P972">
        <v>60</v>
      </c>
      <c r="Q972">
        <v>100</v>
      </c>
      <c r="R972">
        <v>60</v>
      </c>
      <c r="S972">
        <v>160</v>
      </c>
      <c r="T972">
        <v>60</v>
      </c>
      <c r="U972" t="s">
        <v>35</v>
      </c>
      <c r="V972">
        <f t="shared" si="90"/>
        <v>0.33031674208144796</v>
      </c>
      <c r="W972">
        <f t="shared" si="91"/>
        <v>13</v>
      </c>
      <c r="X972">
        <f t="shared" si="92"/>
        <v>61</v>
      </c>
      <c r="Y972">
        <f t="shared" si="93"/>
        <v>0.39819004524886875</v>
      </c>
      <c r="Z972" s="7" t="str">
        <f t="shared" si="94"/>
        <v>Low Sales</v>
      </c>
      <c r="AA972" s="7" t="str">
        <f t="shared" si="95"/>
        <v>High Margin</v>
      </c>
    </row>
    <row r="973" spans="1:27" x14ac:dyDescent="0.25">
      <c r="A973" t="s">
        <v>76</v>
      </c>
      <c r="B973">
        <v>294</v>
      </c>
      <c r="C973">
        <v>-88</v>
      </c>
      <c r="D973" s="1">
        <v>42153</v>
      </c>
      <c r="E973">
        <v>8252</v>
      </c>
      <c r="F973">
        <v>-294</v>
      </c>
      <c r="G973" t="s">
        <v>39</v>
      </c>
      <c r="H973" t="s">
        <v>36</v>
      </c>
      <c r="I973">
        <v>111</v>
      </c>
      <c r="J973" t="s">
        <v>23</v>
      </c>
      <c r="K973" t="s">
        <v>32</v>
      </c>
      <c r="L973" t="s">
        <v>37</v>
      </c>
      <c r="M973">
        <v>-408</v>
      </c>
      <c r="N973">
        <v>31</v>
      </c>
      <c r="O973" t="s">
        <v>48</v>
      </c>
      <c r="P973">
        <v>210</v>
      </c>
      <c r="Q973">
        <v>-210</v>
      </c>
      <c r="R973">
        <v>-320</v>
      </c>
      <c r="S973">
        <v>0</v>
      </c>
      <c r="T973">
        <v>145</v>
      </c>
      <c r="U973" t="s">
        <v>35</v>
      </c>
      <c r="V973">
        <f t="shared" si="90"/>
        <v>-13.161290322580646</v>
      </c>
      <c r="W973">
        <f t="shared" si="91"/>
        <v>-88</v>
      </c>
      <c r="X973">
        <f t="shared" si="92"/>
        <v>31</v>
      </c>
      <c r="Y973">
        <f t="shared" si="93"/>
        <v>9.4838709677419359</v>
      </c>
      <c r="Z973" s="7" t="str">
        <f t="shared" si="94"/>
        <v>Low Sales</v>
      </c>
      <c r="AA973" s="7" t="str">
        <f t="shared" si="95"/>
        <v>Low Margin</v>
      </c>
    </row>
    <row r="974" spans="1:27" x14ac:dyDescent="0.25">
      <c r="A974" t="s">
        <v>80</v>
      </c>
      <c r="B974">
        <v>134</v>
      </c>
      <c r="C974">
        <v>21</v>
      </c>
      <c r="D974" s="1">
        <v>42154</v>
      </c>
      <c r="E974">
        <v>690</v>
      </c>
      <c r="F974">
        <v>186</v>
      </c>
      <c r="G974" t="s">
        <v>39</v>
      </c>
      <c r="H974" t="s">
        <v>36</v>
      </c>
      <c r="I974">
        <v>41</v>
      </c>
      <c r="J974" t="s">
        <v>23</v>
      </c>
      <c r="K974" t="s">
        <v>32</v>
      </c>
      <c r="L974" t="s">
        <v>37</v>
      </c>
      <c r="M974">
        <v>121</v>
      </c>
      <c r="N974">
        <v>320</v>
      </c>
      <c r="O974" t="s">
        <v>56</v>
      </c>
      <c r="P974">
        <v>90</v>
      </c>
      <c r="Q974">
        <v>140</v>
      </c>
      <c r="R974">
        <v>100</v>
      </c>
      <c r="S974">
        <v>230</v>
      </c>
      <c r="T974">
        <v>65</v>
      </c>
      <c r="U974" t="s">
        <v>35</v>
      </c>
      <c r="V974">
        <f t="shared" si="90"/>
        <v>0.37812499999999999</v>
      </c>
      <c r="W974">
        <f t="shared" si="91"/>
        <v>21</v>
      </c>
      <c r="X974">
        <f t="shared" si="92"/>
        <v>90</v>
      </c>
      <c r="Y974">
        <f t="shared" si="93"/>
        <v>0.41875000000000001</v>
      </c>
      <c r="Z974" s="7" t="str">
        <f t="shared" si="94"/>
        <v>High Sales</v>
      </c>
      <c r="AA974" s="7" t="str">
        <f t="shared" si="95"/>
        <v>High Margin</v>
      </c>
    </row>
    <row r="975" spans="1:27" x14ac:dyDescent="0.25">
      <c r="A975" t="s">
        <v>77</v>
      </c>
      <c r="B975">
        <v>20</v>
      </c>
      <c r="C975">
        <v>-15</v>
      </c>
      <c r="D975" s="1">
        <v>42155</v>
      </c>
      <c r="E975">
        <v>218</v>
      </c>
      <c r="F975">
        <v>25</v>
      </c>
      <c r="G975" t="s">
        <v>39</v>
      </c>
      <c r="H975" t="s">
        <v>36</v>
      </c>
      <c r="I975">
        <v>7</v>
      </c>
      <c r="J975" t="s">
        <v>23</v>
      </c>
      <c r="K975" t="s">
        <v>32</v>
      </c>
      <c r="L975" t="s">
        <v>37</v>
      </c>
      <c r="M975">
        <v>-15</v>
      </c>
      <c r="N975">
        <v>45</v>
      </c>
      <c r="O975" t="s">
        <v>49</v>
      </c>
      <c r="P975">
        <v>10</v>
      </c>
      <c r="Q975">
        <v>20</v>
      </c>
      <c r="R975">
        <v>0</v>
      </c>
      <c r="S975">
        <v>30</v>
      </c>
      <c r="T975">
        <v>40</v>
      </c>
      <c r="U975" t="s">
        <v>35</v>
      </c>
      <c r="V975">
        <f t="shared" si="90"/>
        <v>-0.33333333333333331</v>
      </c>
      <c r="W975">
        <f t="shared" si="91"/>
        <v>-15</v>
      </c>
      <c r="X975">
        <f t="shared" si="92"/>
        <v>15</v>
      </c>
      <c r="Y975">
        <f t="shared" si="93"/>
        <v>0.44444444444444442</v>
      </c>
      <c r="Z975" s="7" t="str">
        <f t="shared" si="94"/>
        <v>Low Sales</v>
      </c>
      <c r="AA975" s="7" t="str">
        <f t="shared" si="95"/>
        <v>High Margin</v>
      </c>
    </row>
    <row r="976" spans="1:27" x14ac:dyDescent="0.25">
      <c r="A976" t="s">
        <v>141</v>
      </c>
      <c r="B976">
        <v>154</v>
      </c>
      <c r="C976">
        <v>-74</v>
      </c>
      <c r="D976" s="1">
        <v>42156</v>
      </c>
      <c r="E976">
        <v>3654</v>
      </c>
      <c r="F976">
        <v>-24</v>
      </c>
      <c r="G976" t="s">
        <v>21</v>
      </c>
      <c r="H976" t="s">
        <v>36</v>
      </c>
      <c r="I976">
        <v>50</v>
      </c>
      <c r="J976" t="s">
        <v>40</v>
      </c>
      <c r="K976" t="s">
        <v>45</v>
      </c>
      <c r="L976" t="s">
        <v>46</v>
      </c>
      <c r="M976">
        <v>-174</v>
      </c>
      <c r="N976">
        <v>139</v>
      </c>
      <c r="O976" t="s">
        <v>38</v>
      </c>
      <c r="P976">
        <v>220</v>
      </c>
      <c r="Q976">
        <v>-30</v>
      </c>
      <c r="R976">
        <v>-100</v>
      </c>
      <c r="S976">
        <v>190</v>
      </c>
      <c r="T976">
        <v>93</v>
      </c>
      <c r="U976" t="s">
        <v>27</v>
      </c>
      <c r="V976">
        <f t="shared" si="90"/>
        <v>-1.2517985611510791</v>
      </c>
      <c r="W976">
        <f t="shared" si="91"/>
        <v>-74</v>
      </c>
      <c r="X976">
        <f t="shared" si="92"/>
        <v>-51</v>
      </c>
      <c r="Y976">
        <f t="shared" si="93"/>
        <v>1.1079136690647482</v>
      </c>
      <c r="Z976" s="7" t="str">
        <f t="shared" si="94"/>
        <v>Low Sales</v>
      </c>
      <c r="AA976" s="7" t="str">
        <f t="shared" si="95"/>
        <v>Low Margin</v>
      </c>
    </row>
    <row r="977" spans="1:27" x14ac:dyDescent="0.25">
      <c r="A977" t="s">
        <v>213</v>
      </c>
      <c r="B977">
        <v>257</v>
      </c>
      <c r="C977">
        <v>94</v>
      </c>
      <c r="D977" s="1">
        <v>42157</v>
      </c>
      <c r="E977">
        <v>1662</v>
      </c>
      <c r="F977">
        <v>341</v>
      </c>
      <c r="G977" t="s">
        <v>21</v>
      </c>
      <c r="H977" t="s">
        <v>36</v>
      </c>
      <c r="I977">
        <v>84</v>
      </c>
      <c r="J977" t="s">
        <v>40</v>
      </c>
      <c r="K977" t="s">
        <v>41</v>
      </c>
      <c r="L977" t="s">
        <v>42</v>
      </c>
      <c r="M977">
        <v>334</v>
      </c>
      <c r="N977">
        <v>637</v>
      </c>
      <c r="O977" t="s">
        <v>38</v>
      </c>
      <c r="P977">
        <v>230</v>
      </c>
      <c r="Q977">
        <v>320</v>
      </c>
      <c r="R977">
        <v>240</v>
      </c>
      <c r="S977">
        <v>550</v>
      </c>
      <c r="T977">
        <v>116</v>
      </c>
      <c r="U977" t="s">
        <v>27</v>
      </c>
      <c r="V977">
        <f t="shared" si="90"/>
        <v>0.52433281004709575</v>
      </c>
      <c r="W977">
        <f t="shared" si="91"/>
        <v>94</v>
      </c>
      <c r="X977">
        <f t="shared" si="92"/>
        <v>87</v>
      </c>
      <c r="Y977">
        <f t="shared" si="93"/>
        <v>0.40345368916797486</v>
      </c>
      <c r="Z977" s="7" t="str">
        <f t="shared" si="94"/>
        <v>High Sales</v>
      </c>
      <c r="AA977" s="7" t="str">
        <f t="shared" si="95"/>
        <v>High Margin</v>
      </c>
    </row>
    <row r="978" spans="1:27" x14ac:dyDescent="0.25">
      <c r="A978" t="s">
        <v>210</v>
      </c>
      <c r="B978">
        <v>122</v>
      </c>
      <c r="C978">
        <v>-50</v>
      </c>
      <c r="D978" s="1">
        <v>42158</v>
      </c>
      <c r="E978">
        <v>2555</v>
      </c>
      <c r="F978">
        <v>-13</v>
      </c>
      <c r="G978" t="s">
        <v>21</v>
      </c>
      <c r="H978" t="s">
        <v>36</v>
      </c>
      <c r="I978">
        <v>39</v>
      </c>
      <c r="J978" t="s">
        <v>40</v>
      </c>
      <c r="K978" t="s">
        <v>45</v>
      </c>
      <c r="L978" t="s">
        <v>50</v>
      </c>
      <c r="M978">
        <v>-110</v>
      </c>
      <c r="N978">
        <v>116</v>
      </c>
      <c r="O978" t="s">
        <v>38</v>
      </c>
      <c r="P978">
        <v>170</v>
      </c>
      <c r="Q978">
        <v>-20</v>
      </c>
      <c r="R978">
        <v>-60</v>
      </c>
      <c r="S978">
        <v>150</v>
      </c>
      <c r="T978">
        <v>61</v>
      </c>
      <c r="U978" t="s">
        <v>35</v>
      </c>
      <c r="V978">
        <f t="shared" si="90"/>
        <v>-0.94827586206896552</v>
      </c>
      <c r="W978">
        <f t="shared" si="91"/>
        <v>-50</v>
      </c>
      <c r="X978">
        <f t="shared" si="92"/>
        <v>-34</v>
      </c>
      <c r="Y978">
        <f t="shared" si="93"/>
        <v>1.0517241379310345</v>
      </c>
      <c r="Z978" s="7" t="str">
        <f t="shared" si="94"/>
        <v>Low Sales</v>
      </c>
      <c r="AA978" s="7" t="str">
        <f t="shared" si="95"/>
        <v>Low Margin</v>
      </c>
    </row>
    <row r="979" spans="1:27" x14ac:dyDescent="0.25">
      <c r="A979" t="s">
        <v>208</v>
      </c>
      <c r="B979">
        <v>260</v>
      </c>
      <c r="C979">
        <v>-103</v>
      </c>
      <c r="D979" s="1">
        <v>42159</v>
      </c>
      <c r="E979">
        <v>2548</v>
      </c>
      <c r="F979">
        <v>390</v>
      </c>
      <c r="G979" t="s">
        <v>21</v>
      </c>
      <c r="H979" t="s">
        <v>36</v>
      </c>
      <c r="I979">
        <v>91</v>
      </c>
      <c r="J979" t="s">
        <v>40</v>
      </c>
      <c r="K979" t="s">
        <v>45</v>
      </c>
      <c r="L979" t="s">
        <v>52</v>
      </c>
      <c r="M979">
        <v>367</v>
      </c>
      <c r="N979">
        <v>693</v>
      </c>
      <c r="O979" t="s">
        <v>38</v>
      </c>
      <c r="P979">
        <v>380</v>
      </c>
      <c r="Q979">
        <v>580</v>
      </c>
      <c r="R979">
        <v>470</v>
      </c>
      <c r="S979">
        <v>960</v>
      </c>
      <c r="T979">
        <v>143</v>
      </c>
      <c r="U979" t="s">
        <v>35</v>
      </c>
      <c r="V979">
        <f t="shared" si="90"/>
        <v>0.5295815295815296</v>
      </c>
      <c r="W979">
        <f t="shared" si="91"/>
        <v>-103</v>
      </c>
      <c r="X979">
        <f t="shared" si="92"/>
        <v>-267</v>
      </c>
      <c r="Y979">
        <f t="shared" si="93"/>
        <v>0.37518037518037517</v>
      </c>
      <c r="Z979" s="7" t="str">
        <f t="shared" si="94"/>
        <v>High Sales</v>
      </c>
      <c r="AA979" s="7" t="str">
        <f t="shared" si="95"/>
        <v>High Margin</v>
      </c>
    </row>
    <row r="980" spans="1:27" x14ac:dyDescent="0.25">
      <c r="A980" t="s">
        <v>207</v>
      </c>
      <c r="B980">
        <v>239</v>
      </c>
      <c r="C980">
        <v>61</v>
      </c>
      <c r="D980" s="1">
        <v>42160</v>
      </c>
      <c r="E980">
        <v>1755</v>
      </c>
      <c r="F980">
        <v>239</v>
      </c>
      <c r="G980" t="s">
        <v>21</v>
      </c>
      <c r="H980" t="s">
        <v>36</v>
      </c>
      <c r="I980">
        <v>66</v>
      </c>
      <c r="J980" t="s">
        <v>40</v>
      </c>
      <c r="K980" t="s">
        <v>41</v>
      </c>
      <c r="L980" t="s">
        <v>54</v>
      </c>
      <c r="M980">
        <v>221</v>
      </c>
      <c r="N980">
        <v>509</v>
      </c>
      <c r="O980" t="s">
        <v>38</v>
      </c>
      <c r="P980">
        <v>210</v>
      </c>
      <c r="Q980">
        <v>220</v>
      </c>
      <c r="R980">
        <v>160</v>
      </c>
      <c r="S980">
        <v>430</v>
      </c>
      <c r="T980">
        <v>90</v>
      </c>
      <c r="U980" t="s">
        <v>35</v>
      </c>
      <c r="V980">
        <f t="shared" si="90"/>
        <v>0.43418467583497056</v>
      </c>
      <c r="W980">
        <f t="shared" si="91"/>
        <v>61</v>
      </c>
      <c r="X980">
        <f t="shared" si="92"/>
        <v>79</v>
      </c>
      <c r="Y980">
        <f t="shared" si="93"/>
        <v>0.46954813359528486</v>
      </c>
      <c r="Z980" s="7" t="str">
        <f t="shared" si="94"/>
        <v>High Sales</v>
      </c>
      <c r="AA980" s="7" t="str">
        <f t="shared" si="95"/>
        <v>High Margin</v>
      </c>
    </row>
    <row r="981" spans="1:27" x14ac:dyDescent="0.25">
      <c r="A981" t="s">
        <v>143</v>
      </c>
      <c r="B981">
        <v>125</v>
      </c>
      <c r="C981">
        <v>-10</v>
      </c>
      <c r="D981" s="1">
        <v>42161</v>
      </c>
      <c r="E981">
        <v>898</v>
      </c>
      <c r="F981">
        <v>173</v>
      </c>
      <c r="G981" t="s">
        <v>21</v>
      </c>
      <c r="H981" t="s">
        <v>36</v>
      </c>
      <c r="I981">
        <v>113</v>
      </c>
      <c r="J981" t="s">
        <v>40</v>
      </c>
      <c r="K981" t="s">
        <v>41</v>
      </c>
      <c r="L981" t="s">
        <v>53</v>
      </c>
      <c r="M981">
        <v>40</v>
      </c>
      <c r="N981">
        <v>318</v>
      </c>
      <c r="O981" t="s">
        <v>38</v>
      </c>
      <c r="P981">
        <v>110</v>
      </c>
      <c r="Q981">
        <v>160</v>
      </c>
      <c r="R981">
        <v>50</v>
      </c>
      <c r="S981">
        <v>270</v>
      </c>
      <c r="T981">
        <v>146</v>
      </c>
      <c r="U981" t="s">
        <v>35</v>
      </c>
      <c r="V981">
        <f t="shared" si="90"/>
        <v>0.12578616352201258</v>
      </c>
      <c r="W981">
        <f t="shared" si="91"/>
        <v>-10</v>
      </c>
      <c r="X981">
        <f t="shared" si="92"/>
        <v>48</v>
      </c>
      <c r="Y981">
        <f t="shared" si="93"/>
        <v>0.39308176100628933</v>
      </c>
      <c r="Z981" s="7" t="str">
        <f t="shared" si="94"/>
        <v>High Sales</v>
      </c>
      <c r="AA981" s="7" t="str">
        <f t="shared" si="95"/>
        <v>High Margin</v>
      </c>
    </row>
    <row r="982" spans="1:27" x14ac:dyDescent="0.25">
      <c r="A982" t="s">
        <v>214</v>
      </c>
      <c r="B982">
        <v>108</v>
      </c>
      <c r="C982">
        <v>51</v>
      </c>
      <c r="D982" s="1">
        <v>42162</v>
      </c>
      <c r="E982">
        <v>971</v>
      </c>
      <c r="F982">
        <v>157</v>
      </c>
      <c r="G982" t="s">
        <v>21</v>
      </c>
      <c r="H982" t="s">
        <v>36</v>
      </c>
      <c r="I982">
        <v>30</v>
      </c>
      <c r="J982" t="s">
        <v>23</v>
      </c>
      <c r="K982" t="s">
        <v>24</v>
      </c>
      <c r="L982" t="s">
        <v>57</v>
      </c>
      <c r="M982">
        <v>171</v>
      </c>
      <c r="N982">
        <v>282</v>
      </c>
      <c r="O982" t="s">
        <v>38</v>
      </c>
      <c r="P982">
        <v>80</v>
      </c>
      <c r="Q982">
        <v>130</v>
      </c>
      <c r="R982">
        <v>120</v>
      </c>
      <c r="S982">
        <v>210</v>
      </c>
      <c r="T982">
        <v>42</v>
      </c>
      <c r="U982" t="s">
        <v>27</v>
      </c>
      <c r="V982">
        <f t="shared" si="90"/>
        <v>0.6063829787234043</v>
      </c>
      <c r="W982">
        <f t="shared" si="91"/>
        <v>51</v>
      </c>
      <c r="X982">
        <f t="shared" si="92"/>
        <v>72</v>
      </c>
      <c r="Y982">
        <f t="shared" si="93"/>
        <v>0.38297872340425532</v>
      </c>
      <c r="Z982" s="7" t="str">
        <f t="shared" si="94"/>
        <v>High Sales</v>
      </c>
      <c r="AA982" s="7" t="str">
        <f t="shared" si="95"/>
        <v>High Margin</v>
      </c>
    </row>
    <row r="983" spans="1:27" x14ac:dyDescent="0.25">
      <c r="A983" t="s">
        <v>206</v>
      </c>
      <c r="B983">
        <v>239</v>
      </c>
      <c r="C983">
        <v>106</v>
      </c>
      <c r="D983" s="1">
        <v>42163</v>
      </c>
      <c r="E983">
        <v>1246</v>
      </c>
      <c r="F983">
        <v>281</v>
      </c>
      <c r="G983" t="s">
        <v>21</v>
      </c>
      <c r="H983" t="s">
        <v>36</v>
      </c>
      <c r="I983">
        <v>74</v>
      </c>
      <c r="J983" t="s">
        <v>23</v>
      </c>
      <c r="K983" t="s">
        <v>24</v>
      </c>
      <c r="L983" t="s">
        <v>25</v>
      </c>
      <c r="M983">
        <v>276</v>
      </c>
      <c r="N983">
        <v>554</v>
      </c>
      <c r="O983" t="s">
        <v>38</v>
      </c>
      <c r="P983">
        <v>190</v>
      </c>
      <c r="Q983">
        <v>220</v>
      </c>
      <c r="R983">
        <v>170</v>
      </c>
      <c r="S983">
        <v>410</v>
      </c>
      <c r="T983">
        <v>95</v>
      </c>
      <c r="U983" t="s">
        <v>27</v>
      </c>
      <c r="V983">
        <f t="shared" si="90"/>
        <v>0.49819494584837543</v>
      </c>
      <c r="W983">
        <f t="shared" si="91"/>
        <v>106</v>
      </c>
      <c r="X983">
        <f t="shared" si="92"/>
        <v>144</v>
      </c>
      <c r="Y983">
        <f t="shared" si="93"/>
        <v>0.43140794223826717</v>
      </c>
      <c r="Z983" s="7" t="str">
        <f t="shared" si="94"/>
        <v>High Sales</v>
      </c>
      <c r="AA983" s="7" t="str">
        <f t="shared" si="95"/>
        <v>High Margin</v>
      </c>
    </row>
    <row r="984" spans="1:27" x14ac:dyDescent="0.25">
      <c r="A984" t="s">
        <v>215</v>
      </c>
      <c r="B984">
        <v>123</v>
      </c>
      <c r="C984">
        <v>119</v>
      </c>
      <c r="D984" s="1">
        <v>42164</v>
      </c>
      <c r="E984">
        <v>915</v>
      </c>
      <c r="F984">
        <v>179</v>
      </c>
      <c r="G984" t="s">
        <v>21</v>
      </c>
      <c r="H984" t="s">
        <v>36</v>
      </c>
      <c r="I984">
        <v>34</v>
      </c>
      <c r="J984" t="s">
        <v>23</v>
      </c>
      <c r="K984" t="s">
        <v>32</v>
      </c>
      <c r="L984" t="s">
        <v>33</v>
      </c>
      <c r="M984">
        <v>199</v>
      </c>
      <c r="N984">
        <v>322</v>
      </c>
      <c r="O984" t="s">
        <v>38</v>
      </c>
      <c r="P984">
        <v>50</v>
      </c>
      <c r="Q984">
        <v>90</v>
      </c>
      <c r="R984">
        <v>80</v>
      </c>
      <c r="S984">
        <v>140</v>
      </c>
      <c r="T984">
        <v>45</v>
      </c>
      <c r="U984" t="s">
        <v>35</v>
      </c>
      <c r="V984">
        <f t="shared" si="90"/>
        <v>0.61801242236024845</v>
      </c>
      <c r="W984">
        <f t="shared" si="91"/>
        <v>119</v>
      </c>
      <c r="X984">
        <f t="shared" si="92"/>
        <v>182</v>
      </c>
      <c r="Y984">
        <f t="shared" si="93"/>
        <v>0.38198757763975155</v>
      </c>
      <c r="Z984" s="7" t="str">
        <f t="shared" si="94"/>
        <v>High Sales</v>
      </c>
      <c r="AA984" s="7" t="str">
        <f t="shared" si="95"/>
        <v>High Margin</v>
      </c>
    </row>
    <row r="985" spans="1:27" x14ac:dyDescent="0.25">
      <c r="A985" t="s">
        <v>85</v>
      </c>
      <c r="B985">
        <v>43</v>
      </c>
      <c r="C985">
        <v>-37</v>
      </c>
      <c r="D985" s="1">
        <v>42165</v>
      </c>
      <c r="E985">
        <v>419</v>
      </c>
      <c r="F985">
        <v>64</v>
      </c>
      <c r="G985" t="s">
        <v>39</v>
      </c>
      <c r="H985" t="s">
        <v>36</v>
      </c>
      <c r="I985">
        <v>13</v>
      </c>
      <c r="J985" t="s">
        <v>40</v>
      </c>
      <c r="K985" t="s">
        <v>45</v>
      </c>
      <c r="L985" t="s">
        <v>46</v>
      </c>
      <c r="M985">
        <v>43</v>
      </c>
      <c r="N985">
        <v>114</v>
      </c>
      <c r="O985" t="s">
        <v>56</v>
      </c>
      <c r="P985">
        <v>50</v>
      </c>
      <c r="Q985">
        <v>100</v>
      </c>
      <c r="R985">
        <v>80</v>
      </c>
      <c r="S985">
        <v>150</v>
      </c>
      <c r="T985">
        <v>35</v>
      </c>
      <c r="U985" t="s">
        <v>27</v>
      </c>
      <c r="V985">
        <f t="shared" si="90"/>
        <v>0.37719298245614036</v>
      </c>
      <c r="W985">
        <f t="shared" si="91"/>
        <v>-37</v>
      </c>
      <c r="X985">
        <f t="shared" si="92"/>
        <v>-36</v>
      </c>
      <c r="Y985">
        <f t="shared" si="93"/>
        <v>0.37719298245614036</v>
      </c>
      <c r="Z985" s="7" t="str">
        <f t="shared" si="94"/>
        <v>Low Sales</v>
      </c>
      <c r="AA985" s="7" t="str">
        <f t="shared" si="95"/>
        <v>High Margin</v>
      </c>
    </row>
    <row r="986" spans="1:27" x14ac:dyDescent="0.25">
      <c r="A986" t="s">
        <v>77</v>
      </c>
      <c r="B986">
        <v>79</v>
      </c>
      <c r="C986">
        <v>-70</v>
      </c>
      <c r="D986" s="1">
        <v>42166</v>
      </c>
      <c r="E986">
        <v>593</v>
      </c>
      <c r="F986">
        <v>98</v>
      </c>
      <c r="G986" t="s">
        <v>39</v>
      </c>
      <c r="H986" t="s">
        <v>36</v>
      </c>
      <c r="I986">
        <v>30</v>
      </c>
      <c r="J986" t="s">
        <v>40</v>
      </c>
      <c r="K986" t="s">
        <v>45</v>
      </c>
      <c r="L986" t="s">
        <v>46</v>
      </c>
      <c r="M986">
        <v>50</v>
      </c>
      <c r="N986">
        <v>189</v>
      </c>
      <c r="O986" t="s">
        <v>49</v>
      </c>
      <c r="P986">
        <v>100</v>
      </c>
      <c r="Q986">
        <v>160</v>
      </c>
      <c r="R986">
        <v>120</v>
      </c>
      <c r="S986">
        <v>260</v>
      </c>
      <c r="T986">
        <v>64</v>
      </c>
      <c r="U986" t="s">
        <v>27</v>
      </c>
      <c r="V986">
        <f t="shared" si="90"/>
        <v>0.26455026455026454</v>
      </c>
      <c r="W986">
        <f t="shared" si="91"/>
        <v>-70</v>
      </c>
      <c r="X986">
        <f t="shared" si="92"/>
        <v>-71</v>
      </c>
      <c r="Y986">
        <f t="shared" si="93"/>
        <v>0.41798941798941797</v>
      </c>
      <c r="Z986" s="7" t="str">
        <f t="shared" si="94"/>
        <v>Low Sales</v>
      </c>
      <c r="AA986" s="7" t="str">
        <f t="shared" si="95"/>
        <v>High Margin</v>
      </c>
    </row>
    <row r="987" spans="1:27" x14ac:dyDescent="0.25">
      <c r="A987" t="s">
        <v>100</v>
      </c>
      <c r="B987">
        <v>96</v>
      </c>
      <c r="C987">
        <v>-75</v>
      </c>
      <c r="D987" s="1">
        <v>42167</v>
      </c>
      <c r="E987">
        <v>683</v>
      </c>
      <c r="F987">
        <v>134</v>
      </c>
      <c r="G987" t="s">
        <v>39</v>
      </c>
      <c r="H987" t="s">
        <v>36</v>
      </c>
      <c r="I987">
        <v>87</v>
      </c>
      <c r="J987" t="s">
        <v>40</v>
      </c>
      <c r="K987" t="s">
        <v>45</v>
      </c>
      <c r="L987" t="s">
        <v>46</v>
      </c>
      <c r="M987">
        <v>25</v>
      </c>
      <c r="N987">
        <v>245</v>
      </c>
      <c r="O987" t="s">
        <v>60</v>
      </c>
      <c r="P987">
        <v>140</v>
      </c>
      <c r="Q987">
        <v>190</v>
      </c>
      <c r="R987">
        <v>100</v>
      </c>
      <c r="S987">
        <v>330</v>
      </c>
      <c r="T987">
        <v>117</v>
      </c>
      <c r="U987" t="s">
        <v>27</v>
      </c>
      <c r="V987">
        <f t="shared" si="90"/>
        <v>0.10204081632653061</v>
      </c>
      <c r="W987">
        <f t="shared" si="91"/>
        <v>-75</v>
      </c>
      <c r="X987">
        <f t="shared" si="92"/>
        <v>-85</v>
      </c>
      <c r="Y987">
        <f t="shared" si="93"/>
        <v>0.39183673469387753</v>
      </c>
      <c r="Z987" s="7" t="str">
        <f t="shared" si="94"/>
        <v>Low Sales</v>
      </c>
      <c r="AA987" s="7" t="str">
        <f t="shared" si="95"/>
        <v>High Margin</v>
      </c>
    </row>
    <row r="988" spans="1:27" x14ac:dyDescent="0.25">
      <c r="A988" t="s">
        <v>80</v>
      </c>
      <c r="B988">
        <v>161</v>
      </c>
      <c r="C988">
        <v>25</v>
      </c>
      <c r="D988" s="1">
        <v>42168</v>
      </c>
      <c r="E988">
        <v>1267</v>
      </c>
      <c r="F988">
        <v>161</v>
      </c>
      <c r="G988" t="s">
        <v>39</v>
      </c>
      <c r="H988" t="s">
        <v>36</v>
      </c>
      <c r="I988">
        <v>45</v>
      </c>
      <c r="J988" t="s">
        <v>40</v>
      </c>
      <c r="K988" t="s">
        <v>41</v>
      </c>
      <c r="L988" t="s">
        <v>42</v>
      </c>
      <c r="M988">
        <v>135</v>
      </c>
      <c r="N988">
        <v>343</v>
      </c>
      <c r="O988" t="s">
        <v>56</v>
      </c>
      <c r="P988">
        <v>140</v>
      </c>
      <c r="Q988">
        <v>150</v>
      </c>
      <c r="R988">
        <v>110</v>
      </c>
      <c r="S988">
        <v>290</v>
      </c>
      <c r="T988">
        <v>70</v>
      </c>
      <c r="U988" t="s">
        <v>27</v>
      </c>
      <c r="V988">
        <f t="shared" si="90"/>
        <v>0.39358600583090381</v>
      </c>
      <c r="W988">
        <f t="shared" si="91"/>
        <v>25</v>
      </c>
      <c r="X988">
        <f t="shared" si="92"/>
        <v>53</v>
      </c>
      <c r="Y988">
        <f t="shared" si="93"/>
        <v>0.46938775510204084</v>
      </c>
      <c r="Z988" s="7" t="str">
        <f t="shared" si="94"/>
        <v>High Sales</v>
      </c>
      <c r="AA988" s="7" t="str">
        <f t="shared" si="95"/>
        <v>High Margin</v>
      </c>
    </row>
    <row r="989" spans="1:27" x14ac:dyDescent="0.25">
      <c r="A989" t="s">
        <v>146</v>
      </c>
      <c r="B989">
        <v>80</v>
      </c>
      <c r="C989">
        <v>-9</v>
      </c>
      <c r="D989" s="1">
        <v>42169</v>
      </c>
      <c r="E989">
        <v>1055</v>
      </c>
      <c r="F989">
        <v>94</v>
      </c>
      <c r="G989" t="s">
        <v>39</v>
      </c>
      <c r="H989" t="s">
        <v>36</v>
      </c>
      <c r="I989">
        <v>24</v>
      </c>
      <c r="J989" t="s">
        <v>40</v>
      </c>
      <c r="K989" t="s">
        <v>41</v>
      </c>
      <c r="L989" t="s">
        <v>42</v>
      </c>
      <c r="M989">
        <v>71</v>
      </c>
      <c r="N989">
        <v>185</v>
      </c>
      <c r="O989" t="s">
        <v>60</v>
      </c>
      <c r="P989">
        <v>60</v>
      </c>
      <c r="Q989">
        <v>90</v>
      </c>
      <c r="R989">
        <v>80</v>
      </c>
      <c r="S989">
        <v>150</v>
      </c>
      <c r="T989">
        <v>46</v>
      </c>
      <c r="U989" t="s">
        <v>27</v>
      </c>
      <c r="V989">
        <f t="shared" si="90"/>
        <v>0.38378378378378381</v>
      </c>
      <c r="W989">
        <f t="shared" si="91"/>
        <v>-9</v>
      </c>
      <c r="X989">
        <f t="shared" si="92"/>
        <v>35</v>
      </c>
      <c r="Y989">
        <f t="shared" si="93"/>
        <v>0.43243243243243246</v>
      </c>
      <c r="Z989" s="7" t="str">
        <f t="shared" si="94"/>
        <v>Low Sales</v>
      </c>
      <c r="AA989" s="7" t="str">
        <f t="shared" si="95"/>
        <v>High Margin</v>
      </c>
    </row>
    <row r="990" spans="1:27" x14ac:dyDescent="0.25">
      <c r="A990" t="s">
        <v>80</v>
      </c>
      <c r="B990">
        <v>51</v>
      </c>
      <c r="C990">
        <v>-57</v>
      </c>
      <c r="D990" s="1">
        <v>42170</v>
      </c>
      <c r="E990">
        <v>503</v>
      </c>
      <c r="F990">
        <v>71</v>
      </c>
      <c r="G990" t="s">
        <v>39</v>
      </c>
      <c r="H990" t="s">
        <v>36</v>
      </c>
      <c r="I990">
        <v>46</v>
      </c>
      <c r="J990" t="s">
        <v>40</v>
      </c>
      <c r="K990" t="s">
        <v>45</v>
      </c>
      <c r="L990" t="s">
        <v>50</v>
      </c>
      <c r="M990">
        <v>-7</v>
      </c>
      <c r="N990">
        <v>130</v>
      </c>
      <c r="O990" t="s">
        <v>56</v>
      </c>
      <c r="P990">
        <v>70</v>
      </c>
      <c r="Q990">
        <v>100</v>
      </c>
      <c r="R990">
        <v>50</v>
      </c>
      <c r="S990">
        <v>170</v>
      </c>
      <c r="T990">
        <v>76</v>
      </c>
      <c r="U990" t="s">
        <v>35</v>
      </c>
      <c r="V990">
        <f t="shared" si="90"/>
        <v>-5.3846153846153849E-2</v>
      </c>
      <c r="W990">
        <f t="shared" si="91"/>
        <v>-57</v>
      </c>
      <c r="X990">
        <f t="shared" si="92"/>
        <v>-40</v>
      </c>
      <c r="Y990">
        <f t="shared" si="93"/>
        <v>0.3923076923076923</v>
      </c>
      <c r="Z990" s="7" t="str">
        <f t="shared" si="94"/>
        <v>Low Sales</v>
      </c>
      <c r="AA990" s="7" t="str">
        <f t="shared" si="95"/>
        <v>High Margin</v>
      </c>
    </row>
    <row r="991" spans="1:27" x14ac:dyDescent="0.25">
      <c r="A991" t="s">
        <v>77</v>
      </c>
      <c r="B991">
        <v>65</v>
      </c>
      <c r="C991">
        <v>-37</v>
      </c>
      <c r="D991" s="1">
        <v>42171</v>
      </c>
      <c r="E991">
        <v>1053</v>
      </c>
      <c r="F991">
        <v>77</v>
      </c>
      <c r="G991" t="s">
        <v>39</v>
      </c>
      <c r="H991" t="s">
        <v>36</v>
      </c>
      <c r="I991">
        <v>20</v>
      </c>
      <c r="J991" t="s">
        <v>40</v>
      </c>
      <c r="K991" t="s">
        <v>45</v>
      </c>
      <c r="L991" t="s">
        <v>50</v>
      </c>
      <c r="M991">
        <v>53</v>
      </c>
      <c r="N991">
        <v>151</v>
      </c>
      <c r="O991" t="s">
        <v>49</v>
      </c>
      <c r="P991">
        <v>90</v>
      </c>
      <c r="Q991">
        <v>110</v>
      </c>
      <c r="R991">
        <v>90</v>
      </c>
      <c r="S991">
        <v>200</v>
      </c>
      <c r="T991">
        <v>41</v>
      </c>
      <c r="U991" t="s">
        <v>35</v>
      </c>
      <c r="V991">
        <f t="shared" si="90"/>
        <v>0.35099337748344372</v>
      </c>
      <c r="W991">
        <f t="shared" si="91"/>
        <v>-37</v>
      </c>
      <c r="X991">
        <f t="shared" si="92"/>
        <v>-49</v>
      </c>
      <c r="Y991">
        <f t="shared" si="93"/>
        <v>0.43046357615894038</v>
      </c>
      <c r="Z991" s="7" t="str">
        <f t="shared" si="94"/>
        <v>Low Sales</v>
      </c>
      <c r="AA991" s="7" t="str">
        <f t="shared" si="95"/>
        <v>High Margin</v>
      </c>
    </row>
    <row r="992" spans="1:27" x14ac:dyDescent="0.25">
      <c r="A992" t="s">
        <v>80</v>
      </c>
      <c r="B992">
        <v>60</v>
      </c>
      <c r="C992">
        <v>-59</v>
      </c>
      <c r="D992" s="1">
        <v>42172</v>
      </c>
      <c r="E992">
        <v>463</v>
      </c>
      <c r="F992">
        <v>84</v>
      </c>
      <c r="G992" t="s">
        <v>39</v>
      </c>
      <c r="H992" t="s">
        <v>36</v>
      </c>
      <c r="I992">
        <v>19</v>
      </c>
      <c r="J992" t="s">
        <v>40</v>
      </c>
      <c r="K992" t="s">
        <v>45</v>
      </c>
      <c r="L992" t="s">
        <v>52</v>
      </c>
      <c r="M992">
        <v>31</v>
      </c>
      <c r="N992">
        <v>153</v>
      </c>
      <c r="O992" t="s">
        <v>56</v>
      </c>
      <c r="P992">
        <v>80</v>
      </c>
      <c r="Q992">
        <v>130</v>
      </c>
      <c r="R992">
        <v>90</v>
      </c>
      <c r="S992">
        <v>210</v>
      </c>
      <c r="T992">
        <v>63</v>
      </c>
      <c r="U992" t="s">
        <v>35</v>
      </c>
      <c r="V992">
        <f t="shared" si="90"/>
        <v>0.20261437908496732</v>
      </c>
      <c r="W992">
        <f t="shared" si="91"/>
        <v>-59</v>
      </c>
      <c r="X992">
        <f t="shared" si="92"/>
        <v>-57</v>
      </c>
      <c r="Y992">
        <f t="shared" si="93"/>
        <v>0.39215686274509803</v>
      </c>
      <c r="Z992" s="7" t="str">
        <f t="shared" si="94"/>
        <v>Low Sales</v>
      </c>
      <c r="AA992" s="7" t="str">
        <f t="shared" si="95"/>
        <v>High Margin</v>
      </c>
    </row>
    <row r="993" spans="1:27" x14ac:dyDescent="0.25">
      <c r="A993" t="s">
        <v>77</v>
      </c>
      <c r="B993">
        <v>47</v>
      </c>
      <c r="C993">
        <v>-47</v>
      </c>
      <c r="D993" s="1">
        <v>42173</v>
      </c>
      <c r="E993">
        <v>375</v>
      </c>
      <c r="F993">
        <v>64</v>
      </c>
      <c r="G993" t="s">
        <v>39</v>
      </c>
      <c r="H993" t="s">
        <v>36</v>
      </c>
      <c r="I993">
        <v>15</v>
      </c>
      <c r="J993" t="s">
        <v>40</v>
      </c>
      <c r="K993" t="s">
        <v>45</v>
      </c>
      <c r="L993" t="s">
        <v>52</v>
      </c>
      <c r="M993">
        <v>33</v>
      </c>
      <c r="N993">
        <v>118</v>
      </c>
      <c r="O993" t="s">
        <v>49</v>
      </c>
      <c r="P993">
        <v>50</v>
      </c>
      <c r="Q993">
        <v>100</v>
      </c>
      <c r="R993">
        <v>80</v>
      </c>
      <c r="S993">
        <v>150</v>
      </c>
      <c r="T993">
        <v>42</v>
      </c>
      <c r="U993" t="s">
        <v>35</v>
      </c>
      <c r="V993">
        <f t="shared" si="90"/>
        <v>0.27966101694915252</v>
      </c>
      <c r="W993">
        <f t="shared" si="91"/>
        <v>-47</v>
      </c>
      <c r="X993">
        <f t="shared" si="92"/>
        <v>-32</v>
      </c>
      <c r="Y993">
        <f t="shared" si="93"/>
        <v>0.39830508474576271</v>
      </c>
      <c r="Z993" s="7" t="str">
        <f t="shared" si="94"/>
        <v>Low Sales</v>
      </c>
      <c r="AA993" s="7" t="str">
        <f t="shared" si="95"/>
        <v>High Margin</v>
      </c>
    </row>
    <row r="994" spans="1:27" x14ac:dyDescent="0.25">
      <c r="A994" t="s">
        <v>146</v>
      </c>
      <c r="B994">
        <v>68</v>
      </c>
      <c r="C994">
        <v>-27</v>
      </c>
      <c r="D994" s="1">
        <v>42174</v>
      </c>
      <c r="E994">
        <v>438</v>
      </c>
      <c r="F994">
        <v>99</v>
      </c>
      <c r="G994" t="s">
        <v>39</v>
      </c>
      <c r="H994" t="s">
        <v>36</v>
      </c>
      <c r="I994">
        <v>21</v>
      </c>
      <c r="J994" t="s">
        <v>40</v>
      </c>
      <c r="K994" t="s">
        <v>45</v>
      </c>
      <c r="L994" t="s">
        <v>52</v>
      </c>
      <c r="M994">
        <v>83</v>
      </c>
      <c r="N994">
        <v>178</v>
      </c>
      <c r="O994" t="s">
        <v>60</v>
      </c>
      <c r="P994">
        <v>90</v>
      </c>
      <c r="Q994">
        <v>140</v>
      </c>
      <c r="R994">
        <v>110</v>
      </c>
      <c r="S994">
        <v>230</v>
      </c>
      <c r="T994">
        <v>43</v>
      </c>
      <c r="U994" t="s">
        <v>35</v>
      </c>
      <c r="V994">
        <f t="shared" si="90"/>
        <v>0.46629213483146065</v>
      </c>
      <c r="W994">
        <f t="shared" si="91"/>
        <v>-27</v>
      </c>
      <c r="X994">
        <f t="shared" si="92"/>
        <v>-52</v>
      </c>
      <c r="Y994">
        <f t="shared" si="93"/>
        <v>0.38202247191011235</v>
      </c>
      <c r="Z994" s="7" t="str">
        <f t="shared" si="94"/>
        <v>Low Sales</v>
      </c>
      <c r="AA994" s="7" t="str">
        <f t="shared" si="95"/>
        <v>High Margin</v>
      </c>
    </row>
    <row r="995" spans="1:27" x14ac:dyDescent="0.25">
      <c r="A995" t="s">
        <v>100</v>
      </c>
      <c r="B995">
        <v>22</v>
      </c>
      <c r="C995">
        <v>-5</v>
      </c>
      <c r="D995" s="1">
        <v>42175</v>
      </c>
      <c r="E995">
        <v>573</v>
      </c>
      <c r="F995">
        <v>29</v>
      </c>
      <c r="G995" t="s">
        <v>39</v>
      </c>
      <c r="H995" t="s">
        <v>36</v>
      </c>
      <c r="I995">
        <v>7</v>
      </c>
      <c r="J995" t="s">
        <v>40</v>
      </c>
      <c r="K995" t="s">
        <v>41</v>
      </c>
      <c r="L995" t="s">
        <v>54</v>
      </c>
      <c r="M995">
        <v>15</v>
      </c>
      <c r="N995">
        <v>54</v>
      </c>
      <c r="O995" t="s">
        <v>60</v>
      </c>
      <c r="P995">
        <v>10</v>
      </c>
      <c r="Q995">
        <v>20</v>
      </c>
      <c r="R995">
        <v>20</v>
      </c>
      <c r="S995">
        <v>30</v>
      </c>
      <c r="T995">
        <v>19</v>
      </c>
      <c r="U995" t="s">
        <v>35</v>
      </c>
      <c r="V995">
        <f t="shared" si="90"/>
        <v>0.27777777777777779</v>
      </c>
      <c r="W995">
        <f t="shared" si="91"/>
        <v>-5</v>
      </c>
      <c r="X995">
        <f t="shared" si="92"/>
        <v>24</v>
      </c>
      <c r="Y995">
        <f t="shared" si="93"/>
        <v>0.40740740740740738</v>
      </c>
      <c r="Z995" s="7" t="str">
        <f t="shared" si="94"/>
        <v>Low Sales</v>
      </c>
      <c r="AA995" s="7" t="str">
        <f t="shared" si="95"/>
        <v>High Margin</v>
      </c>
    </row>
    <row r="996" spans="1:27" x14ac:dyDescent="0.25">
      <c r="A996" t="s">
        <v>76</v>
      </c>
      <c r="B996">
        <v>21</v>
      </c>
      <c r="C996">
        <v>1</v>
      </c>
      <c r="D996" s="1">
        <v>42176</v>
      </c>
      <c r="E996">
        <v>846</v>
      </c>
      <c r="F996">
        <v>31</v>
      </c>
      <c r="G996" t="s">
        <v>39</v>
      </c>
      <c r="H996" t="s">
        <v>36</v>
      </c>
      <c r="I996">
        <v>5</v>
      </c>
      <c r="J996" t="s">
        <v>40</v>
      </c>
      <c r="K996" t="s">
        <v>41</v>
      </c>
      <c r="L996" t="s">
        <v>53</v>
      </c>
      <c r="M996">
        <v>21</v>
      </c>
      <c r="N996">
        <v>55</v>
      </c>
      <c r="O996" t="s">
        <v>48</v>
      </c>
      <c r="P996">
        <v>10</v>
      </c>
      <c r="Q996">
        <v>20</v>
      </c>
      <c r="R996">
        <v>20</v>
      </c>
      <c r="S996">
        <v>30</v>
      </c>
      <c r="T996">
        <v>17</v>
      </c>
      <c r="U996" t="s">
        <v>35</v>
      </c>
      <c r="V996">
        <f t="shared" si="90"/>
        <v>0.38181818181818183</v>
      </c>
      <c r="W996">
        <f t="shared" si="91"/>
        <v>1</v>
      </c>
      <c r="X996">
        <f t="shared" si="92"/>
        <v>25</v>
      </c>
      <c r="Y996">
        <f t="shared" si="93"/>
        <v>0.38181818181818183</v>
      </c>
      <c r="Z996" s="7" t="str">
        <f t="shared" si="94"/>
        <v>Low Sales</v>
      </c>
      <c r="AA996" s="7" t="str">
        <f t="shared" si="95"/>
        <v>High Margin</v>
      </c>
    </row>
    <row r="997" spans="1:27" x14ac:dyDescent="0.25">
      <c r="A997" t="s">
        <v>77</v>
      </c>
      <c r="B997">
        <v>103</v>
      </c>
      <c r="C997">
        <v>19</v>
      </c>
      <c r="D997" s="1">
        <v>42177</v>
      </c>
      <c r="E997">
        <v>564</v>
      </c>
      <c r="F997">
        <v>133</v>
      </c>
      <c r="G997" t="s">
        <v>39</v>
      </c>
      <c r="H997" t="s">
        <v>36</v>
      </c>
      <c r="I997">
        <v>33</v>
      </c>
      <c r="J997" t="s">
        <v>40</v>
      </c>
      <c r="K997" t="s">
        <v>41</v>
      </c>
      <c r="L997" t="s">
        <v>53</v>
      </c>
      <c r="M997">
        <v>129</v>
      </c>
      <c r="N997">
        <v>251</v>
      </c>
      <c r="O997" t="s">
        <v>49</v>
      </c>
      <c r="P997">
        <v>80</v>
      </c>
      <c r="Q997">
        <v>130</v>
      </c>
      <c r="R997">
        <v>110</v>
      </c>
      <c r="S997">
        <v>210</v>
      </c>
      <c r="T997">
        <v>46</v>
      </c>
      <c r="U997" t="s">
        <v>35</v>
      </c>
      <c r="V997">
        <f t="shared" si="90"/>
        <v>0.51394422310756971</v>
      </c>
      <c r="W997">
        <f t="shared" si="91"/>
        <v>19</v>
      </c>
      <c r="X997">
        <f t="shared" si="92"/>
        <v>41</v>
      </c>
      <c r="Y997">
        <f t="shared" si="93"/>
        <v>0.41035856573705182</v>
      </c>
      <c r="Z997" s="7" t="str">
        <f t="shared" si="94"/>
        <v>Low Sales</v>
      </c>
      <c r="AA997" s="7" t="str">
        <f t="shared" si="95"/>
        <v>High Margin</v>
      </c>
    </row>
    <row r="998" spans="1:27" x14ac:dyDescent="0.25">
      <c r="A998" t="s">
        <v>116</v>
      </c>
      <c r="B998">
        <v>125</v>
      </c>
      <c r="C998">
        <v>-21</v>
      </c>
      <c r="D998" s="1">
        <v>42178</v>
      </c>
      <c r="E998">
        <v>898</v>
      </c>
      <c r="F998">
        <v>173</v>
      </c>
      <c r="G998" t="s">
        <v>39</v>
      </c>
      <c r="H998" t="s">
        <v>36</v>
      </c>
      <c r="I998">
        <v>113</v>
      </c>
      <c r="J998" t="s">
        <v>23</v>
      </c>
      <c r="K998" t="s">
        <v>24</v>
      </c>
      <c r="L998" t="s">
        <v>57</v>
      </c>
      <c r="M998">
        <v>39</v>
      </c>
      <c r="N998">
        <v>318</v>
      </c>
      <c r="O998" t="s">
        <v>48</v>
      </c>
      <c r="P998">
        <v>90</v>
      </c>
      <c r="Q998">
        <v>150</v>
      </c>
      <c r="R998">
        <v>60</v>
      </c>
      <c r="S998">
        <v>240</v>
      </c>
      <c r="T998">
        <v>147</v>
      </c>
      <c r="U998" t="s">
        <v>27</v>
      </c>
      <c r="V998">
        <f t="shared" si="90"/>
        <v>0.12264150943396226</v>
      </c>
      <c r="W998">
        <f t="shared" si="91"/>
        <v>-21</v>
      </c>
      <c r="X998">
        <f t="shared" si="92"/>
        <v>78</v>
      </c>
      <c r="Y998">
        <f t="shared" si="93"/>
        <v>0.39308176100628933</v>
      </c>
      <c r="Z998" s="7" t="str">
        <f t="shared" si="94"/>
        <v>High Sales</v>
      </c>
      <c r="AA998" s="7" t="str">
        <f t="shared" si="95"/>
        <v>High Margin</v>
      </c>
    </row>
    <row r="999" spans="1:27" x14ac:dyDescent="0.25">
      <c r="A999" t="s">
        <v>146</v>
      </c>
      <c r="B999">
        <v>125</v>
      </c>
      <c r="C999">
        <v>41</v>
      </c>
      <c r="D999" s="1">
        <v>42179</v>
      </c>
      <c r="E999">
        <v>1119</v>
      </c>
      <c r="F999">
        <v>188</v>
      </c>
      <c r="G999" t="s">
        <v>39</v>
      </c>
      <c r="H999" t="s">
        <v>36</v>
      </c>
      <c r="I999">
        <v>41</v>
      </c>
      <c r="J999" t="s">
        <v>23</v>
      </c>
      <c r="K999" t="s">
        <v>24</v>
      </c>
      <c r="L999" t="s">
        <v>57</v>
      </c>
      <c r="M999">
        <v>171</v>
      </c>
      <c r="N999">
        <v>334</v>
      </c>
      <c r="O999" t="s">
        <v>60</v>
      </c>
      <c r="P999">
        <v>90</v>
      </c>
      <c r="Q999">
        <v>160</v>
      </c>
      <c r="R999">
        <v>130</v>
      </c>
      <c r="S999">
        <v>250</v>
      </c>
      <c r="T999">
        <v>73</v>
      </c>
      <c r="U999" t="s">
        <v>27</v>
      </c>
      <c r="V999">
        <f t="shared" si="90"/>
        <v>0.5119760479041916</v>
      </c>
      <c r="W999">
        <f t="shared" si="91"/>
        <v>41</v>
      </c>
      <c r="X999">
        <f t="shared" si="92"/>
        <v>84</v>
      </c>
      <c r="Y999">
        <f t="shared" si="93"/>
        <v>0.37425149700598803</v>
      </c>
      <c r="Z999" s="7" t="str">
        <f t="shared" si="94"/>
        <v>High Sales</v>
      </c>
      <c r="AA999" s="7" t="str">
        <f t="shared" si="95"/>
        <v>High Margin</v>
      </c>
    </row>
    <row r="1000" spans="1:27" x14ac:dyDescent="0.25">
      <c r="A1000" t="s">
        <v>76</v>
      </c>
      <c r="B1000">
        <v>154</v>
      </c>
      <c r="C1000">
        <v>58</v>
      </c>
      <c r="D1000" s="1">
        <v>42180</v>
      </c>
      <c r="E1000">
        <v>1132</v>
      </c>
      <c r="F1000">
        <v>213</v>
      </c>
      <c r="G1000" t="s">
        <v>39</v>
      </c>
      <c r="H1000" t="s">
        <v>36</v>
      </c>
      <c r="I1000">
        <v>50</v>
      </c>
      <c r="J1000" t="s">
        <v>23</v>
      </c>
      <c r="K1000" t="s">
        <v>24</v>
      </c>
      <c r="L1000" t="s">
        <v>25</v>
      </c>
      <c r="M1000">
        <v>178</v>
      </c>
      <c r="N1000">
        <v>391</v>
      </c>
      <c r="O1000" t="s">
        <v>48</v>
      </c>
      <c r="P1000">
        <v>120</v>
      </c>
      <c r="Q1000">
        <v>170</v>
      </c>
      <c r="R1000">
        <v>120</v>
      </c>
      <c r="S1000">
        <v>290</v>
      </c>
      <c r="T1000">
        <v>93</v>
      </c>
      <c r="U1000" t="s">
        <v>27</v>
      </c>
      <c r="V1000">
        <f t="shared" si="90"/>
        <v>0.45524296675191817</v>
      </c>
      <c r="W1000">
        <f t="shared" si="91"/>
        <v>58</v>
      </c>
      <c r="X1000">
        <f t="shared" si="92"/>
        <v>101</v>
      </c>
      <c r="Y1000">
        <f t="shared" si="93"/>
        <v>0.39386189258312021</v>
      </c>
      <c r="Z1000" s="7" t="str">
        <f t="shared" si="94"/>
        <v>High Sales</v>
      </c>
      <c r="AA1000" s="7" t="str">
        <f t="shared" si="95"/>
        <v>High Margin</v>
      </c>
    </row>
    <row r="1001" spans="1:27" x14ac:dyDescent="0.25">
      <c r="A1001" t="s">
        <v>117</v>
      </c>
      <c r="B1001">
        <v>90</v>
      </c>
      <c r="C1001">
        <v>18</v>
      </c>
      <c r="D1001" s="1">
        <v>42181</v>
      </c>
      <c r="E1001">
        <v>572</v>
      </c>
      <c r="F1001">
        <v>115</v>
      </c>
      <c r="G1001" t="s">
        <v>39</v>
      </c>
      <c r="H1001" t="s">
        <v>36</v>
      </c>
      <c r="I1001">
        <v>29</v>
      </c>
      <c r="J1001" t="s">
        <v>23</v>
      </c>
      <c r="K1001" t="s">
        <v>24</v>
      </c>
      <c r="L1001" t="s">
        <v>25</v>
      </c>
      <c r="M1001">
        <v>108</v>
      </c>
      <c r="N1001">
        <v>218</v>
      </c>
      <c r="O1001" t="s">
        <v>56</v>
      </c>
      <c r="P1001">
        <v>60</v>
      </c>
      <c r="Q1001">
        <v>100</v>
      </c>
      <c r="R1001">
        <v>90</v>
      </c>
      <c r="S1001">
        <v>160</v>
      </c>
      <c r="T1001">
        <v>42</v>
      </c>
      <c r="U1001" t="s">
        <v>27</v>
      </c>
      <c r="V1001">
        <f t="shared" si="90"/>
        <v>0.49541284403669728</v>
      </c>
      <c r="W1001">
        <f t="shared" si="91"/>
        <v>18</v>
      </c>
      <c r="X1001">
        <f t="shared" si="92"/>
        <v>58</v>
      </c>
      <c r="Y1001">
        <f t="shared" si="93"/>
        <v>0.41284403669724773</v>
      </c>
      <c r="Z1001" s="7" t="str">
        <f t="shared" si="94"/>
        <v>Low Sales</v>
      </c>
      <c r="AA1001" s="7" t="str">
        <f t="shared" si="95"/>
        <v>High Margin</v>
      </c>
    </row>
    <row r="1002" spans="1:27" x14ac:dyDescent="0.25">
      <c r="A1002" t="s">
        <v>76</v>
      </c>
      <c r="B1002">
        <v>122</v>
      </c>
      <c r="C1002">
        <v>39</v>
      </c>
      <c r="D1002" s="1">
        <v>42182</v>
      </c>
      <c r="E1002">
        <v>789</v>
      </c>
      <c r="F1002">
        <v>176</v>
      </c>
      <c r="G1002" t="s">
        <v>39</v>
      </c>
      <c r="H1002" t="s">
        <v>36</v>
      </c>
      <c r="I1002">
        <v>39</v>
      </c>
      <c r="J1002" t="s">
        <v>23</v>
      </c>
      <c r="K1002" t="s">
        <v>24</v>
      </c>
      <c r="L1002" t="s">
        <v>28</v>
      </c>
      <c r="M1002">
        <v>169</v>
      </c>
      <c r="N1002">
        <v>318</v>
      </c>
      <c r="O1002" t="s">
        <v>48</v>
      </c>
      <c r="P1002">
        <v>90</v>
      </c>
      <c r="Q1002">
        <v>150</v>
      </c>
      <c r="R1002">
        <v>130</v>
      </c>
      <c r="S1002">
        <v>240</v>
      </c>
      <c r="T1002">
        <v>62</v>
      </c>
      <c r="U1002" t="s">
        <v>27</v>
      </c>
      <c r="V1002">
        <f t="shared" si="90"/>
        <v>0.53144654088050314</v>
      </c>
      <c r="W1002">
        <f t="shared" si="91"/>
        <v>39</v>
      </c>
      <c r="X1002">
        <f t="shared" si="92"/>
        <v>78</v>
      </c>
      <c r="Y1002">
        <f t="shared" si="93"/>
        <v>0.38364779874213839</v>
      </c>
      <c r="Z1002" s="7" t="str">
        <f t="shared" si="94"/>
        <v>High Sales</v>
      </c>
      <c r="AA1002" s="7" t="str">
        <f t="shared" si="95"/>
        <v>High Margin</v>
      </c>
    </row>
    <row r="1003" spans="1:27" x14ac:dyDescent="0.25">
      <c r="A1003" t="s">
        <v>77</v>
      </c>
      <c r="B1003">
        <v>86</v>
      </c>
      <c r="C1003">
        <v>-40</v>
      </c>
      <c r="D1003" s="1">
        <v>42183</v>
      </c>
      <c r="E1003">
        <v>1698</v>
      </c>
      <c r="F1003">
        <v>23</v>
      </c>
      <c r="G1003" t="s">
        <v>39</v>
      </c>
      <c r="H1003" t="s">
        <v>36</v>
      </c>
      <c r="I1003">
        <v>26</v>
      </c>
      <c r="J1003" t="s">
        <v>23</v>
      </c>
      <c r="K1003" t="s">
        <v>24</v>
      </c>
      <c r="L1003" t="s">
        <v>28</v>
      </c>
      <c r="M1003">
        <v>-40</v>
      </c>
      <c r="N1003">
        <v>116</v>
      </c>
      <c r="O1003" t="s">
        <v>49</v>
      </c>
      <c r="P1003">
        <v>60</v>
      </c>
      <c r="Q1003">
        <v>20</v>
      </c>
      <c r="R1003">
        <v>0</v>
      </c>
      <c r="S1003">
        <v>80</v>
      </c>
      <c r="T1003">
        <v>50</v>
      </c>
      <c r="U1003" t="s">
        <v>27</v>
      </c>
      <c r="V1003">
        <f t="shared" si="90"/>
        <v>-0.34482758620689657</v>
      </c>
      <c r="W1003">
        <f t="shared" si="91"/>
        <v>-40</v>
      </c>
      <c r="X1003">
        <f t="shared" si="92"/>
        <v>36</v>
      </c>
      <c r="Y1003">
        <f t="shared" si="93"/>
        <v>0.74137931034482762</v>
      </c>
      <c r="Z1003" s="7" t="str">
        <f t="shared" si="94"/>
        <v>Low Sales</v>
      </c>
      <c r="AA1003" s="7" t="str">
        <f t="shared" si="95"/>
        <v>High Margin</v>
      </c>
    </row>
    <row r="1004" spans="1:27" x14ac:dyDescent="0.25">
      <c r="A1004" t="s">
        <v>76</v>
      </c>
      <c r="B1004">
        <v>257</v>
      </c>
      <c r="C1004">
        <v>202</v>
      </c>
      <c r="D1004" s="1">
        <v>42184</v>
      </c>
      <c r="E1004">
        <v>1662</v>
      </c>
      <c r="F1004">
        <v>341</v>
      </c>
      <c r="G1004" t="s">
        <v>39</v>
      </c>
      <c r="H1004" t="s">
        <v>36</v>
      </c>
      <c r="I1004">
        <v>84</v>
      </c>
      <c r="J1004" t="s">
        <v>23</v>
      </c>
      <c r="K1004" t="s">
        <v>32</v>
      </c>
      <c r="L1004" t="s">
        <v>33</v>
      </c>
      <c r="M1004">
        <v>332</v>
      </c>
      <c r="N1004">
        <v>637</v>
      </c>
      <c r="O1004" t="s">
        <v>48</v>
      </c>
      <c r="P1004">
        <v>110</v>
      </c>
      <c r="Q1004">
        <v>180</v>
      </c>
      <c r="R1004">
        <v>130</v>
      </c>
      <c r="S1004">
        <v>290</v>
      </c>
      <c r="T1004">
        <v>117</v>
      </c>
      <c r="U1004" t="s">
        <v>35</v>
      </c>
      <c r="V1004">
        <f t="shared" si="90"/>
        <v>0.52119309262166402</v>
      </c>
      <c r="W1004">
        <f t="shared" si="91"/>
        <v>202</v>
      </c>
      <c r="X1004">
        <f t="shared" si="92"/>
        <v>347</v>
      </c>
      <c r="Y1004">
        <f t="shared" si="93"/>
        <v>0.40345368916797486</v>
      </c>
      <c r="Z1004" s="7" t="str">
        <f t="shared" si="94"/>
        <v>High Sales</v>
      </c>
      <c r="AA1004" s="7" t="str">
        <f t="shared" si="95"/>
        <v>High Margin</v>
      </c>
    </row>
    <row r="1005" spans="1:27" x14ac:dyDescent="0.25">
      <c r="A1005" t="s">
        <v>85</v>
      </c>
      <c r="B1005">
        <v>21</v>
      </c>
      <c r="C1005">
        <v>4</v>
      </c>
      <c r="D1005" s="1">
        <v>42185</v>
      </c>
      <c r="E1005">
        <v>480</v>
      </c>
      <c r="F1005">
        <v>32</v>
      </c>
      <c r="G1005" t="s">
        <v>39</v>
      </c>
      <c r="H1005" t="s">
        <v>36</v>
      </c>
      <c r="I1005">
        <v>5</v>
      </c>
      <c r="J1005" t="s">
        <v>23</v>
      </c>
      <c r="K1005" t="s">
        <v>32</v>
      </c>
      <c r="L1005" t="s">
        <v>33</v>
      </c>
      <c r="M1005">
        <v>24</v>
      </c>
      <c r="N1005">
        <v>56</v>
      </c>
      <c r="O1005" t="s">
        <v>56</v>
      </c>
      <c r="P1005">
        <v>0</v>
      </c>
      <c r="Q1005">
        <v>20</v>
      </c>
      <c r="R1005">
        <v>20</v>
      </c>
      <c r="S1005">
        <v>20</v>
      </c>
      <c r="T1005">
        <v>16</v>
      </c>
      <c r="U1005" t="s">
        <v>35</v>
      </c>
      <c r="V1005">
        <f t="shared" si="90"/>
        <v>0.42857142857142855</v>
      </c>
      <c r="W1005">
        <f t="shared" si="91"/>
        <v>4</v>
      </c>
      <c r="X1005">
        <f t="shared" si="92"/>
        <v>36</v>
      </c>
      <c r="Y1005">
        <f t="shared" si="93"/>
        <v>0.375</v>
      </c>
      <c r="Z1005" s="7" t="str">
        <f t="shared" si="94"/>
        <v>Low Sales</v>
      </c>
      <c r="AA1005" s="7" t="str">
        <f t="shared" si="95"/>
        <v>High Margin</v>
      </c>
    </row>
    <row r="1006" spans="1:27" x14ac:dyDescent="0.25">
      <c r="A1006" t="s">
        <v>76</v>
      </c>
      <c r="B1006">
        <v>239</v>
      </c>
      <c r="C1006">
        <v>141</v>
      </c>
      <c r="D1006" s="1">
        <v>42186</v>
      </c>
      <c r="E1006">
        <v>1755</v>
      </c>
      <c r="F1006">
        <v>239</v>
      </c>
      <c r="G1006" t="s">
        <v>39</v>
      </c>
      <c r="H1006" t="s">
        <v>36</v>
      </c>
      <c r="I1006">
        <v>66</v>
      </c>
      <c r="J1006" t="s">
        <v>23</v>
      </c>
      <c r="K1006" t="s">
        <v>32</v>
      </c>
      <c r="L1006" t="s">
        <v>61</v>
      </c>
      <c r="M1006">
        <v>221</v>
      </c>
      <c r="N1006">
        <v>509</v>
      </c>
      <c r="O1006" t="s">
        <v>48</v>
      </c>
      <c r="P1006">
        <v>110</v>
      </c>
      <c r="Q1006">
        <v>120</v>
      </c>
      <c r="R1006">
        <v>80</v>
      </c>
      <c r="S1006">
        <v>230</v>
      </c>
      <c r="T1006">
        <v>90</v>
      </c>
      <c r="U1006" t="s">
        <v>35</v>
      </c>
      <c r="V1006">
        <f t="shared" si="90"/>
        <v>0.43418467583497056</v>
      </c>
      <c r="W1006">
        <f t="shared" si="91"/>
        <v>141</v>
      </c>
      <c r="X1006">
        <f t="shared" si="92"/>
        <v>279</v>
      </c>
      <c r="Y1006">
        <f t="shared" si="93"/>
        <v>0.46954813359528486</v>
      </c>
      <c r="Z1006" s="7" t="str">
        <f t="shared" si="94"/>
        <v>High Sales</v>
      </c>
      <c r="AA1006" s="7" t="str">
        <f t="shared" si="95"/>
        <v>High Margin</v>
      </c>
    </row>
    <row r="1007" spans="1:27" x14ac:dyDescent="0.25">
      <c r="A1007" t="s">
        <v>116</v>
      </c>
      <c r="B1007">
        <v>255</v>
      </c>
      <c r="C1007">
        <v>-369</v>
      </c>
      <c r="D1007" s="1">
        <v>42187</v>
      </c>
      <c r="E1007">
        <v>7058</v>
      </c>
      <c r="F1007">
        <v>-255</v>
      </c>
      <c r="G1007" t="s">
        <v>39</v>
      </c>
      <c r="H1007" t="s">
        <v>36</v>
      </c>
      <c r="I1007">
        <v>96</v>
      </c>
      <c r="J1007" t="s">
        <v>23</v>
      </c>
      <c r="K1007" t="s">
        <v>32</v>
      </c>
      <c r="L1007" t="s">
        <v>37</v>
      </c>
      <c r="M1007">
        <v>-539</v>
      </c>
      <c r="N1007">
        <v>22</v>
      </c>
      <c r="O1007" t="s">
        <v>48</v>
      </c>
      <c r="P1007">
        <v>110</v>
      </c>
      <c r="Q1007">
        <v>-110</v>
      </c>
      <c r="R1007">
        <v>-170</v>
      </c>
      <c r="S1007">
        <v>0</v>
      </c>
      <c r="T1007">
        <v>129</v>
      </c>
      <c r="U1007" t="s">
        <v>35</v>
      </c>
      <c r="V1007">
        <f t="shared" si="90"/>
        <v>-24.5</v>
      </c>
      <c r="W1007">
        <f t="shared" si="91"/>
        <v>-369</v>
      </c>
      <c r="X1007">
        <f t="shared" si="92"/>
        <v>22</v>
      </c>
      <c r="Y1007">
        <f t="shared" si="93"/>
        <v>11.590909090909092</v>
      </c>
      <c r="Z1007" s="7" t="str">
        <f t="shared" si="94"/>
        <v>Low Sales</v>
      </c>
      <c r="AA1007" s="7" t="str">
        <f t="shared" si="95"/>
        <v>Low Margin</v>
      </c>
    </row>
    <row r="1008" spans="1:27" x14ac:dyDescent="0.25">
      <c r="A1008" t="s">
        <v>77</v>
      </c>
      <c r="B1008">
        <v>25</v>
      </c>
      <c r="C1008">
        <v>-28</v>
      </c>
      <c r="D1008" s="1">
        <v>42188</v>
      </c>
      <c r="E1008">
        <v>209</v>
      </c>
      <c r="F1008">
        <v>31</v>
      </c>
      <c r="G1008" t="s">
        <v>39</v>
      </c>
      <c r="H1008" t="s">
        <v>36</v>
      </c>
      <c r="I1008">
        <v>9</v>
      </c>
      <c r="J1008" t="s">
        <v>23</v>
      </c>
      <c r="K1008" t="s">
        <v>32</v>
      </c>
      <c r="L1008" t="s">
        <v>37</v>
      </c>
      <c r="M1008">
        <v>-18</v>
      </c>
      <c r="N1008">
        <v>60</v>
      </c>
      <c r="O1008" t="s">
        <v>49</v>
      </c>
      <c r="P1008">
        <v>0</v>
      </c>
      <c r="Q1008">
        <v>20</v>
      </c>
      <c r="R1008">
        <v>10</v>
      </c>
      <c r="S1008">
        <v>20</v>
      </c>
      <c r="T1008">
        <v>43</v>
      </c>
      <c r="U1008" t="s">
        <v>35</v>
      </c>
      <c r="V1008">
        <f t="shared" si="90"/>
        <v>-0.3</v>
      </c>
      <c r="W1008">
        <f t="shared" si="91"/>
        <v>-28</v>
      </c>
      <c r="X1008">
        <f t="shared" si="92"/>
        <v>40</v>
      </c>
      <c r="Y1008">
        <f t="shared" si="93"/>
        <v>0.41666666666666669</v>
      </c>
      <c r="Z1008" s="7" t="str">
        <f t="shared" si="94"/>
        <v>Low Sales</v>
      </c>
      <c r="AA1008" s="7" t="str">
        <f t="shared" si="95"/>
        <v>High Margin</v>
      </c>
    </row>
    <row r="1009" spans="1:27" x14ac:dyDescent="0.25">
      <c r="A1009" t="s">
        <v>149</v>
      </c>
      <c r="B1009">
        <v>173</v>
      </c>
      <c r="C1009">
        <v>-58</v>
      </c>
      <c r="D1009" s="1">
        <v>42189</v>
      </c>
      <c r="E1009">
        <v>3909</v>
      </c>
      <c r="F1009">
        <v>-27</v>
      </c>
      <c r="G1009" t="s">
        <v>21</v>
      </c>
      <c r="H1009" t="s">
        <v>36</v>
      </c>
      <c r="I1009">
        <v>57</v>
      </c>
      <c r="J1009" t="s">
        <v>40</v>
      </c>
      <c r="K1009" t="s">
        <v>45</v>
      </c>
      <c r="L1009" t="s">
        <v>46</v>
      </c>
      <c r="M1009">
        <v>-188</v>
      </c>
      <c r="N1009">
        <v>156</v>
      </c>
      <c r="O1009" t="s">
        <v>38</v>
      </c>
      <c r="P1009">
        <v>200</v>
      </c>
      <c r="Q1009">
        <v>-30</v>
      </c>
      <c r="R1009">
        <v>-130</v>
      </c>
      <c r="S1009">
        <v>170</v>
      </c>
      <c r="T1009">
        <v>100</v>
      </c>
      <c r="U1009" t="s">
        <v>27</v>
      </c>
      <c r="V1009">
        <f t="shared" si="90"/>
        <v>-1.2051282051282051</v>
      </c>
      <c r="W1009">
        <f t="shared" si="91"/>
        <v>-58</v>
      </c>
      <c r="X1009">
        <f t="shared" si="92"/>
        <v>-14</v>
      </c>
      <c r="Y1009">
        <f t="shared" si="93"/>
        <v>1.108974358974359</v>
      </c>
      <c r="Z1009" s="7" t="str">
        <f t="shared" si="94"/>
        <v>Low Sales</v>
      </c>
      <c r="AA1009" s="7" t="str">
        <f t="shared" si="95"/>
        <v>Low Margin</v>
      </c>
    </row>
    <row r="1010" spans="1:27" x14ac:dyDescent="0.25">
      <c r="A1010" t="s">
        <v>183</v>
      </c>
      <c r="B1010">
        <v>228</v>
      </c>
      <c r="C1010">
        <v>102</v>
      </c>
      <c r="D1010" s="1">
        <v>42190</v>
      </c>
      <c r="E1010">
        <v>1691</v>
      </c>
      <c r="F1010">
        <v>304</v>
      </c>
      <c r="G1010" t="s">
        <v>21</v>
      </c>
      <c r="H1010" t="s">
        <v>36</v>
      </c>
      <c r="I1010">
        <v>75</v>
      </c>
      <c r="J1010" t="s">
        <v>40</v>
      </c>
      <c r="K1010" t="s">
        <v>41</v>
      </c>
      <c r="L1010" t="s">
        <v>42</v>
      </c>
      <c r="M1010">
        <v>292</v>
      </c>
      <c r="N1010">
        <v>567</v>
      </c>
      <c r="O1010" t="s">
        <v>38</v>
      </c>
      <c r="P1010">
        <v>220</v>
      </c>
      <c r="Q1010">
        <v>290</v>
      </c>
      <c r="R1010">
        <v>190</v>
      </c>
      <c r="S1010">
        <v>510</v>
      </c>
      <c r="T1010">
        <v>107</v>
      </c>
      <c r="U1010" t="s">
        <v>27</v>
      </c>
      <c r="V1010">
        <f t="shared" si="90"/>
        <v>0.5149911816578483</v>
      </c>
      <c r="W1010">
        <f t="shared" si="91"/>
        <v>102</v>
      </c>
      <c r="X1010">
        <f t="shared" si="92"/>
        <v>57</v>
      </c>
      <c r="Y1010">
        <f t="shared" si="93"/>
        <v>0.40211640211640209</v>
      </c>
      <c r="Z1010" s="7" t="str">
        <f t="shared" si="94"/>
        <v>High Sales</v>
      </c>
      <c r="AA1010" s="7" t="str">
        <f t="shared" si="95"/>
        <v>High Margin</v>
      </c>
    </row>
    <row r="1011" spans="1:27" x14ac:dyDescent="0.25">
      <c r="A1011" t="s">
        <v>212</v>
      </c>
      <c r="B1011">
        <v>113</v>
      </c>
      <c r="C1011">
        <v>-33</v>
      </c>
      <c r="D1011" s="1">
        <v>42191</v>
      </c>
      <c r="E1011">
        <v>2758</v>
      </c>
      <c r="F1011">
        <v>3</v>
      </c>
      <c r="G1011" t="s">
        <v>21</v>
      </c>
      <c r="H1011" t="s">
        <v>36</v>
      </c>
      <c r="I1011">
        <v>36</v>
      </c>
      <c r="J1011" t="s">
        <v>40</v>
      </c>
      <c r="K1011" t="s">
        <v>45</v>
      </c>
      <c r="L1011" t="s">
        <v>50</v>
      </c>
      <c r="M1011">
        <v>-83</v>
      </c>
      <c r="N1011">
        <v>124</v>
      </c>
      <c r="O1011" t="s">
        <v>38</v>
      </c>
      <c r="P1011">
        <v>130</v>
      </c>
      <c r="Q1011">
        <v>0</v>
      </c>
      <c r="R1011">
        <v>-50</v>
      </c>
      <c r="S1011">
        <v>130</v>
      </c>
      <c r="T1011">
        <v>59</v>
      </c>
      <c r="U1011" t="s">
        <v>35</v>
      </c>
      <c r="V1011">
        <f t="shared" si="90"/>
        <v>-0.66935483870967738</v>
      </c>
      <c r="W1011">
        <f t="shared" si="91"/>
        <v>-33</v>
      </c>
      <c r="X1011">
        <f t="shared" si="92"/>
        <v>-6</v>
      </c>
      <c r="Y1011">
        <f t="shared" si="93"/>
        <v>0.91129032258064513</v>
      </c>
      <c r="Z1011" s="7" t="str">
        <f t="shared" si="94"/>
        <v>Low Sales</v>
      </c>
      <c r="AA1011" s="7" t="str">
        <f t="shared" si="95"/>
        <v>Low Margin</v>
      </c>
    </row>
    <row r="1012" spans="1:27" x14ac:dyDescent="0.25">
      <c r="A1012" t="s">
        <v>183</v>
      </c>
      <c r="B1012">
        <v>249</v>
      </c>
      <c r="C1012">
        <v>39</v>
      </c>
      <c r="D1012" s="1">
        <v>42192</v>
      </c>
      <c r="E1012">
        <v>2580</v>
      </c>
      <c r="F1012">
        <v>374</v>
      </c>
      <c r="G1012" t="s">
        <v>21</v>
      </c>
      <c r="H1012" t="s">
        <v>36</v>
      </c>
      <c r="I1012">
        <v>87</v>
      </c>
      <c r="J1012" t="s">
        <v>40</v>
      </c>
      <c r="K1012" t="s">
        <v>45</v>
      </c>
      <c r="L1012" t="s">
        <v>52</v>
      </c>
      <c r="M1012">
        <v>349</v>
      </c>
      <c r="N1012">
        <v>664</v>
      </c>
      <c r="O1012" t="s">
        <v>38</v>
      </c>
      <c r="P1012">
        <v>290</v>
      </c>
      <c r="Q1012">
        <v>450</v>
      </c>
      <c r="R1012">
        <v>310</v>
      </c>
      <c r="S1012">
        <v>740</v>
      </c>
      <c r="T1012">
        <v>139</v>
      </c>
      <c r="U1012" t="s">
        <v>35</v>
      </c>
      <c r="V1012">
        <f t="shared" si="90"/>
        <v>0.5256024096385542</v>
      </c>
      <c r="W1012">
        <f t="shared" si="91"/>
        <v>39</v>
      </c>
      <c r="X1012">
        <f t="shared" si="92"/>
        <v>-76</v>
      </c>
      <c r="Y1012">
        <f t="shared" si="93"/>
        <v>0.375</v>
      </c>
      <c r="Z1012" s="7" t="str">
        <f t="shared" si="94"/>
        <v>High Sales</v>
      </c>
      <c r="AA1012" s="7" t="str">
        <f t="shared" si="95"/>
        <v>High Margin</v>
      </c>
    </row>
    <row r="1013" spans="1:27" x14ac:dyDescent="0.25">
      <c r="A1013" t="s">
        <v>206</v>
      </c>
      <c r="B1013">
        <v>211</v>
      </c>
      <c r="C1013">
        <v>51</v>
      </c>
      <c r="D1013" s="1">
        <v>42193</v>
      </c>
      <c r="E1013">
        <v>1778</v>
      </c>
      <c r="F1013">
        <v>212</v>
      </c>
      <c r="G1013" t="s">
        <v>21</v>
      </c>
      <c r="H1013" t="s">
        <v>36</v>
      </c>
      <c r="I1013">
        <v>59</v>
      </c>
      <c r="J1013" t="s">
        <v>40</v>
      </c>
      <c r="K1013" t="s">
        <v>41</v>
      </c>
      <c r="L1013" t="s">
        <v>54</v>
      </c>
      <c r="M1013">
        <v>191</v>
      </c>
      <c r="N1013">
        <v>451</v>
      </c>
      <c r="O1013" t="s">
        <v>38</v>
      </c>
      <c r="P1013">
        <v>200</v>
      </c>
      <c r="Q1013">
        <v>210</v>
      </c>
      <c r="R1013">
        <v>140</v>
      </c>
      <c r="S1013">
        <v>410</v>
      </c>
      <c r="T1013">
        <v>83</v>
      </c>
      <c r="U1013" t="s">
        <v>35</v>
      </c>
      <c r="V1013">
        <f t="shared" si="90"/>
        <v>0.42350332594235035</v>
      </c>
      <c r="W1013">
        <f t="shared" si="91"/>
        <v>51</v>
      </c>
      <c r="X1013">
        <f t="shared" si="92"/>
        <v>41</v>
      </c>
      <c r="Y1013">
        <f t="shared" si="93"/>
        <v>0.46784922394678491</v>
      </c>
      <c r="Z1013" s="7" t="str">
        <f t="shared" si="94"/>
        <v>High Sales</v>
      </c>
      <c r="AA1013" s="7" t="str">
        <f t="shared" si="95"/>
        <v>High Margin</v>
      </c>
    </row>
    <row r="1014" spans="1:27" x14ac:dyDescent="0.25">
      <c r="A1014" t="s">
        <v>212</v>
      </c>
      <c r="B1014">
        <v>121</v>
      </c>
      <c r="C1014">
        <v>-1</v>
      </c>
      <c r="D1014" s="1">
        <v>42194</v>
      </c>
      <c r="E1014">
        <v>912</v>
      </c>
      <c r="F1014">
        <v>168</v>
      </c>
      <c r="G1014" t="s">
        <v>21</v>
      </c>
      <c r="H1014" t="s">
        <v>36</v>
      </c>
      <c r="I1014">
        <v>109</v>
      </c>
      <c r="J1014" t="s">
        <v>40</v>
      </c>
      <c r="K1014" t="s">
        <v>41</v>
      </c>
      <c r="L1014" t="s">
        <v>53</v>
      </c>
      <c r="M1014">
        <v>39</v>
      </c>
      <c r="N1014">
        <v>308</v>
      </c>
      <c r="O1014" t="s">
        <v>38</v>
      </c>
      <c r="P1014">
        <v>110</v>
      </c>
      <c r="Q1014">
        <v>170</v>
      </c>
      <c r="R1014">
        <v>40</v>
      </c>
      <c r="S1014">
        <v>280</v>
      </c>
      <c r="T1014">
        <v>142</v>
      </c>
      <c r="U1014" t="s">
        <v>35</v>
      </c>
      <c r="V1014">
        <f t="shared" si="90"/>
        <v>0.12662337662337661</v>
      </c>
      <c r="W1014">
        <f t="shared" si="91"/>
        <v>-1</v>
      </c>
      <c r="X1014">
        <f t="shared" si="92"/>
        <v>28</v>
      </c>
      <c r="Y1014">
        <f t="shared" si="93"/>
        <v>0.39285714285714285</v>
      </c>
      <c r="Z1014" s="7" t="str">
        <f t="shared" si="94"/>
        <v>High Sales</v>
      </c>
      <c r="AA1014" s="7" t="str">
        <f t="shared" si="95"/>
        <v>High Margin</v>
      </c>
    </row>
    <row r="1015" spans="1:27" x14ac:dyDescent="0.25">
      <c r="A1015" t="s">
        <v>154</v>
      </c>
      <c r="B1015">
        <v>81</v>
      </c>
      <c r="C1015">
        <v>45</v>
      </c>
      <c r="D1015" s="1">
        <v>42195</v>
      </c>
      <c r="E1015">
        <v>984</v>
      </c>
      <c r="F1015">
        <v>117</v>
      </c>
      <c r="G1015" t="s">
        <v>21</v>
      </c>
      <c r="H1015" t="s">
        <v>36</v>
      </c>
      <c r="I1015">
        <v>22</v>
      </c>
      <c r="J1015" t="s">
        <v>23</v>
      </c>
      <c r="K1015" t="s">
        <v>24</v>
      </c>
      <c r="L1015" t="s">
        <v>57</v>
      </c>
      <c r="M1015">
        <v>125</v>
      </c>
      <c r="N1015">
        <v>211</v>
      </c>
      <c r="O1015" t="s">
        <v>38</v>
      </c>
      <c r="P1015">
        <v>70</v>
      </c>
      <c r="Q1015">
        <v>110</v>
      </c>
      <c r="R1015">
        <v>80</v>
      </c>
      <c r="S1015">
        <v>180</v>
      </c>
      <c r="T1015">
        <v>33</v>
      </c>
      <c r="U1015" t="s">
        <v>27</v>
      </c>
      <c r="V1015">
        <f t="shared" si="90"/>
        <v>0.59241706161137442</v>
      </c>
      <c r="W1015">
        <f t="shared" si="91"/>
        <v>45</v>
      </c>
      <c r="X1015">
        <f t="shared" si="92"/>
        <v>31</v>
      </c>
      <c r="Y1015">
        <f t="shared" si="93"/>
        <v>0.38388625592417064</v>
      </c>
      <c r="Z1015" s="7" t="str">
        <f t="shared" si="94"/>
        <v>Low Sales</v>
      </c>
      <c r="AA1015" s="7" t="str">
        <f t="shared" si="95"/>
        <v>High Margin</v>
      </c>
    </row>
    <row r="1016" spans="1:27" x14ac:dyDescent="0.25">
      <c r="A1016" t="s">
        <v>113</v>
      </c>
      <c r="B1016">
        <v>225</v>
      </c>
      <c r="C1016">
        <v>98</v>
      </c>
      <c r="D1016" s="1">
        <v>42196</v>
      </c>
      <c r="E1016">
        <v>1272</v>
      </c>
      <c r="F1016">
        <v>265</v>
      </c>
      <c r="G1016" t="s">
        <v>21</v>
      </c>
      <c r="H1016" t="s">
        <v>36</v>
      </c>
      <c r="I1016">
        <v>69</v>
      </c>
      <c r="J1016" t="s">
        <v>23</v>
      </c>
      <c r="K1016" t="s">
        <v>24</v>
      </c>
      <c r="L1016" t="s">
        <v>25</v>
      </c>
      <c r="M1016">
        <v>258</v>
      </c>
      <c r="N1016">
        <v>522</v>
      </c>
      <c r="O1016" t="s">
        <v>38</v>
      </c>
      <c r="P1016">
        <v>210</v>
      </c>
      <c r="Q1016">
        <v>240</v>
      </c>
      <c r="R1016">
        <v>160</v>
      </c>
      <c r="S1016">
        <v>450</v>
      </c>
      <c r="T1016">
        <v>91</v>
      </c>
      <c r="U1016" t="s">
        <v>27</v>
      </c>
      <c r="V1016">
        <f t="shared" si="90"/>
        <v>0.4942528735632184</v>
      </c>
      <c r="W1016">
        <f t="shared" si="91"/>
        <v>98</v>
      </c>
      <c r="X1016">
        <f t="shared" si="92"/>
        <v>72</v>
      </c>
      <c r="Y1016">
        <f t="shared" si="93"/>
        <v>0.43103448275862066</v>
      </c>
      <c r="Z1016" s="7" t="str">
        <f t="shared" si="94"/>
        <v>High Sales</v>
      </c>
      <c r="AA1016" s="7" t="str">
        <f t="shared" si="95"/>
        <v>High Margin</v>
      </c>
    </row>
    <row r="1017" spans="1:27" x14ac:dyDescent="0.25">
      <c r="A1017" t="s">
        <v>143</v>
      </c>
      <c r="B1017">
        <v>118</v>
      </c>
      <c r="C1017">
        <v>80</v>
      </c>
      <c r="D1017" s="1">
        <v>42197</v>
      </c>
      <c r="E1017">
        <v>930</v>
      </c>
      <c r="F1017">
        <v>172</v>
      </c>
      <c r="G1017" t="s">
        <v>21</v>
      </c>
      <c r="H1017" t="s">
        <v>36</v>
      </c>
      <c r="I1017">
        <v>33</v>
      </c>
      <c r="J1017" t="s">
        <v>23</v>
      </c>
      <c r="K1017" t="s">
        <v>32</v>
      </c>
      <c r="L1017" t="s">
        <v>33</v>
      </c>
      <c r="M1017">
        <v>190</v>
      </c>
      <c r="N1017">
        <v>309</v>
      </c>
      <c r="O1017" t="s">
        <v>38</v>
      </c>
      <c r="P1017">
        <v>80</v>
      </c>
      <c r="Q1017">
        <v>130</v>
      </c>
      <c r="R1017">
        <v>110</v>
      </c>
      <c r="S1017">
        <v>210</v>
      </c>
      <c r="T1017">
        <v>44</v>
      </c>
      <c r="U1017" t="s">
        <v>35</v>
      </c>
      <c r="V1017">
        <f t="shared" si="90"/>
        <v>0.61488673139158578</v>
      </c>
      <c r="W1017">
        <f t="shared" si="91"/>
        <v>80</v>
      </c>
      <c r="X1017">
        <f t="shared" si="92"/>
        <v>99</v>
      </c>
      <c r="Y1017">
        <f t="shared" si="93"/>
        <v>0.3818770226537217</v>
      </c>
      <c r="Z1017" s="7" t="str">
        <f t="shared" si="94"/>
        <v>High Sales</v>
      </c>
      <c r="AA1017" s="7" t="str">
        <f t="shared" si="95"/>
        <v>High Margin</v>
      </c>
    </row>
    <row r="1018" spans="1:27" x14ac:dyDescent="0.25">
      <c r="A1018" t="s">
        <v>77</v>
      </c>
      <c r="B1018">
        <v>82</v>
      </c>
      <c r="C1018">
        <v>-4</v>
      </c>
      <c r="D1018" s="1">
        <v>42198</v>
      </c>
      <c r="E1018">
        <v>601</v>
      </c>
      <c r="F1018">
        <v>102</v>
      </c>
      <c r="G1018" t="s">
        <v>39</v>
      </c>
      <c r="H1018" t="s">
        <v>36</v>
      </c>
      <c r="I1018">
        <v>31</v>
      </c>
      <c r="J1018" t="s">
        <v>40</v>
      </c>
      <c r="K1018" t="s">
        <v>45</v>
      </c>
      <c r="L1018" t="s">
        <v>46</v>
      </c>
      <c r="M1018">
        <v>56</v>
      </c>
      <c r="N1018">
        <v>196</v>
      </c>
      <c r="O1018" t="s">
        <v>49</v>
      </c>
      <c r="P1018">
        <v>90</v>
      </c>
      <c r="Q1018">
        <v>120</v>
      </c>
      <c r="R1018">
        <v>60</v>
      </c>
      <c r="S1018">
        <v>210</v>
      </c>
      <c r="T1018">
        <v>64</v>
      </c>
      <c r="U1018" t="s">
        <v>27</v>
      </c>
      <c r="V1018">
        <f t="shared" si="90"/>
        <v>0.2857142857142857</v>
      </c>
      <c r="W1018">
        <f t="shared" si="91"/>
        <v>-4</v>
      </c>
      <c r="X1018">
        <f t="shared" si="92"/>
        <v>-14</v>
      </c>
      <c r="Y1018">
        <f t="shared" si="93"/>
        <v>0.41836734693877553</v>
      </c>
      <c r="Z1018" s="7" t="str">
        <f t="shared" si="94"/>
        <v>Low Sales</v>
      </c>
      <c r="AA1018" s="7" t="str">
        <f t="shared" si="95"/>
        <v>High Margin</v>
      </c>
    </row>
    <row r="1019" spans="1:27" x14ac:dyDescent="0.25">
      <c r="A1019" t="s">
        <v>98</v>
      </c>
      <c r="B1019">
        <v>94</v>
      </c>
      <c r="C1019">
        <v>-16</v>
      </c>
      <c r="D1019" s="1">
        <v>42199</v>
      </c>
      <c r="E1019">
        <v>694</v>
      </c>
      <c r="F1019">
        <v>130</v>
      </c>
      <c r="G1019" t="s">
        <v>39</v>
      </c>
      <c r="H1019" t="s">
        <v>36</v>
      </c>
      <c r="I1019">
        <v>85</v>
      </c>
      <c r="J1019" t="s">
        <v>40</v>
      </c>
      <c r="K1019" t="s">
        <v>45</v>
      </c>
      <c r="L1019" t="s">
        <v>46</v>
      </c>
      <c r="M1019">
        <v>24</v>
      </c>
      <c r="N1019">
        <v>239</v>
      </c>
      <c r="O1019" t="s">
        <v>60</v>
      </c>
      <c r="P1019">
        <v>110</v>
      </c>
      <c r="Q1019">
        <v>150</v>
      </c>
      <c r="R1019">
        <v>40</v>
      </c>
      <c r="S1019">
        <v>260</v>
      </c>
      <c r="T1019">
        <v>114</v>
      </c>
      <c r="U1019" t="s">
        <v>27</v>
      </c>
      <c r="V1019">
        <f t="shared" si="90"/>
        <v>0.100418410041841</v>
      </c>
      <c r="W1019">
        <f t="shared" si="91"/>
        <v>-16</v>
      </c>
      <c r="X1019">
        <f t="shared" si="92"/>
        <v>-21</v>
      </c>
      <c r="Y1019">
        <f t="shared" si="93"/>
        <v>0.39330543933054396</v>
      </c>
      <c r="Z1019" s="7" t="str">
        <f t="shared" si="94"/>
        <v>Low Sales</v>
      </c>
      <c r="AA1019" s="7" t="str">
        <f t="shared" si="95"/>
        <v>High Margin</v>
      </c>
    </row>
    <row r="1020" spans="1:27" x14ac:dyDescent="0.25">
      <c r="A1020" t="s">
        <v>85</v>
      </c>
      <c r="B1020">
        <v>181</v>
      </c>
      <c r="C1020">
        <v>40</v>
      </c>
      <c r="D1020" s="1">
        <v>42200</v>
      </c>
      <c r="E1020">
        <v>1283</v>
      </c>
      <c r="F1020">
        <v>182</v>
      </c>
      <c r="G1020" t="s">
        <v>39</v>
      </c>
      <c r="H1020" t="s">
        <v>36</v>
      </c>
      <c r="I1020">
        <v>50</v>
      </c>
      <c r="J1020" t="s">
        <v>40</v>
      </c>
      <c r="K1020" t="s">
        <v>41</v>
      </c>
      <c r="L1020" t="s">
        <v>42</v>
      </c>
      <c r="M1020">
        <v>160</v>
      </c>
      <c r="N1020">
        <v>387</v>
      </c>
      <c r="O1020" t="s">
        <v>56</v>
      </c>
      <c r="P1020">
        <v>170</v>
      </c>
      <c r="Q1020">
        <v>180</v>
      </c>
      <c r="R1020">
        <v>120</v>
      </c>
      <c r="S1020">
        <v>350</v>
      </c>
      <c r="T1020">
        <v>74</v>
      </c>
      <c r="U1020" t="s">
        <v>27</v>
      </c>
      <c r="V1020">
        <f t="shared" si="90"/>
        <v>0.41343669250645992</v>
      </c>
      <c r="W1020">
        <f t="shared" si="91"/>
        <v>40</v>
      </c>
      <c r="X1020">
        <f t="shared" si="92"/>
        <v>37</v>
      </c>
      <c r="Y1020">
        <f t="shared" si="93"/>
        <v>0.46770025839793283</v>
      </c>
      <c r="Z1020" s="7" t="str">
        <f t="shared" si="94"/>
        <v>High Sales</v>
      </c>
      <c r="AA1020" s="7" t="str">
        <f t="shared" si="95"/>
        <v>High Margin</v>
      </c>
    </row>
    <row r="1021" spans="1:27" x14ac:dyDescent="0.25">
      <c r="A1021" t="s">
        <v>77</v>
      </c>
      <c r="B1021">
        <v>69</v>
      </c>
      <c r="C1021">
        <v>8</v>
      </c>
      <c r="D1021" s="1">
        <v>42201</v>
      </c>
      <c r="E1021">
        <v>1060</v>
      </c>
      <c r="F1021">
        <v>81</v>
      </c>
      <c r="G1021" t="s">
        <v>39</v>
      </c>
      <c r="H1021" t="s">
        <v>36</v>
      </c>
      <c r="I1021">
        <v>21</v>
      </c>
      <c r="J1021" t="s">
        <v>40</v>
      </c>
      <c r="K1021" t="s">
        <v>45</v>
      </c>
      <c r="L1021" t="s">
        <v>50</v>
      </c>
      <c r="M1021">
        <v>58</v>
      </c>
      <c r="N1021">
        <v>160</v>
      </c>
      <c r="O1021" t="s">
        <v>49</v>
      </c>
      <c r="P1021">
        <v>80</v>
      </c>
      <c r="Q1021">
        <v>90</v>
      </c>
      <c r="R1021">
        <v>50</v>
      </c>
      <c r="S1021">
        <v>170</v>
      </c>
      <c r="T1021">
        <v>42</v>
      </c>
      <c r="U1021" t="s">
        <v>35</v>
      </c>
      <c r="V1021">
        <f t="shared" si="90"/>
        <v>0.36249999999999999</v>
      </c>
      <c r="W1021">
        <f t="shared" si="91"/>
        <v>8</v>
      </c>
      <c r="X1021">
        <f t="shared" si="92"/>
        <v>-10</v>
      </c>
      <c r="Y1021">
        <f t="shared" si="93"/>
        <v>0.43125000000000002</v>
      </c>
      <c r="Z1021" s="7" t="str">
        <f t="shared" si="94"/>
        <v>Low Sales</v>
      </c>
      <c r="AA1021" s="7" t="str">
        <f t="shared" si="95"/>
        <v>High Margin</v>
      </c>
    </row>
    <row r="1022" spans="1:27" x14ac:dyDescent="0.25">
      <c r="A1022" t="s">
        <v>117</v>
      </c>
      <c r="B1022">
        <v>53</v>
      </c>
      <c r="C1022">
        <v>-19</v>
      </c>
      <c r="D1022" s="1">
        <v>42202</v>
      </c>
      <c r="E1022">
        <v>470</v>
      </c>
      <c r="F1022">
        <v>75</v>
      </c>
      <c r="G1022" t="s">
        <v>39</v>
      </c>
      <c r="H1022" t="s">
        <v>36</v>
      </c>
      <c r="I1022">
        <v>17</v>
      </c>
      <c r="J1022" t="s">
        <v>40</v>
      </c>
      <c r="K1022" t="s">
        <v>45</v>
      </c>
      <c r="L1022" t="s">
        <v>52</v>
      </c>
      <c r="M1022">
        <v>21</v>
      </c>
      <c r="N1022">
        <v>136</v>
      </c>
      <c r="O1022" t="s">
        <v>56</v>
      </c>
      <c r="P1022">
        <v>60</v>
      </c>
      <c r="Q1022">
        <v>90</v>
      </c>
      <c r="R1022">
        <v>40</v>
      </c>
      <c r="S1022">
        <v>150</v>
      </c>
      <c r="T1022">
        <v>61</v>
      </c>
      <c r="U1022" t="s">
        <v>35</v>
      </c>
      <c r="V1022">
        <f t="shared" si="90"/>
        <v>0.15441176470588236</v>
      </c>
      <c r="W1022">
        <f t="shared" si="91"/>
        <v>-19</v>
      </c>
      <c r="X1022">
        <f t="shared" si="92"/>
        <v>-14</v>
      </c>
      <c r="Y1022">
        <f t="shared" si="93"/>
        <v>0.38970588235294118</v>
      </c>
      <c r="Z1022" s="7" t="str">
        <f t="shared" si="94"/>
        <v>Low Sales</v>
      </c>
      <c r="AA1022" s="7" t="str">
        <f t="shared" si="95"/>
        <v>High Margin</v>
      </c>
    </row>
    <row r="1023" spans="1:27" x14ac:dyDescent="0.25">
      <c r="A1023" t="s">
        <v>124</v>
      </c>
      <c r="B1023">
        <v>63</v>
      </c>
      <c r="C1023">
        <v>4</v>
      </c>
      <c r="D1023" s="1">
        <v>42203</v>
      </c>
      <c r="E1023">
        <v>446</v>
      </c>
      <c r="F1023">
        <v>93</v>
      </c>
      <c r="G1023" t="s">
        <v>39</v>
      </c>
      <c r="H1023" t="s">
        <v>36</v>
      </c>
      <c r="I1023">
        <v>20</v>
      </c>
      <c r="J1023" t="s">
        <v>40</v>
      </c>
      <c r="K1023" t="s">
        <v>45</v>
      </c>
      <c r="L1023" t="s">
        <v>52</v>
      </c>
      <c r="M1023">
        <v>74</v>
      </c>
      <c r="N1023">
        <v>166</v>
      </c>
      <c r="O1023" t="s">
        <v>60</v>
      </c>
      <c r="P1023">
        <v>70</v>
      </c>
      <c r="Q1023">
        <v>110</v>
      </c>
      <c r="R1023">
        <v>70</v>
      </c>
      <c r="S1023">
        <v>180</v>
      </c>
      <c r="T1023">
        <v>43</v>
      </c>
      <c r="U1023" t="s">
        <v>35</v>
      </c>
      <c r="V1023">
        <f t="shared" si="90"/>
        <v>0.44578313253012047</v>
      </c>
      <c r="W1023">
        <f t="shared" si="91"/>
        <v>4</v>
      </c>
      <c r="X1023">
        <f t="shared" si="92"/>
        <v>-14</v>
      </c>
      <c r="Y1023">
        <f t="shared" si="93"/>
        <v>0.37951807228915663</v>
      </c>
      <c r="Z1023" s="7" t="str">
        <f t="shared" si="94"/>
        <v>Low Sales</v>
      </c>
      <c r="AA1023" s="7" t="str">
        <f t="shared" si="95"/>
        <v>High Margin</v>
      </c>
    </row>
    <row r="1024" spans="1:27" x14ac:dyDescent="0.25">
      <c r="A1024" t="s">
        <v>76</v>
      </c>
      <c r="B1024">
        <v>15</v>
      </c>
      <c r="C1024">
        <v>3</v>
      </c>
      <c r="D1024" s="1">
        <v>42204</v>
      </c>
      <c r="E1024">
        <v>848</v>
      </c>
      <c r="F1024">
        <v>24</v>
      </c>
      <c r="G1024" t="s">
        <v>39</v>
      </c>
      <c r="H1024" t="s">
        <v>36</v>
      </c>
      <c r="I1024">
        <v>4</v>
      </c>
      <c r="J1024" t="s">
        <v>40</v>
      </c>
      <c r="K1024" t="s">
        <v>41</v>
      </c>
      <c r="L1024" t="s">
        <v>53</v>
      </c>
      <c r="M1024">
        <v>13</v>
      </c>
      <c r="N1024">
        <v>42</v>
      </c>
      <c r="O1024" t="s">
        <v>48</v>
      </c>
      <c r="P1024">
        <v>10</v>
      </c>
      <c r="Q1024">
        <v>20</v>
      </c>
      <c r="R1024">
        <v>10</v>
      </c>
      <c r="S1024">
        <v>30</v>
      </c>
      <c r="T1024">
        <v>15</v>
      </c>
      <c r="U1024" t="s">
        <v>35</v>
      </c>
      <c r="V1024">
        <f t="shared" si="90"/>
        <v>0.30952380952380953</v>
      </c>
      <c r="W1024">
        <f t="shared" si="91"/>
        <v>3</v>
      </c>
      <c r="X1024">
        <f t="shared" si="92"/>
        <v>12</v>
      </c>
      <c r="Y1024">
        <f t="shared" si="93"/>
        <v>0.35714285714285715</v>
      </c>
      <c r="Z1024" s="7" t="str">
        <f t="shared" si="94"/>
        <v>Low Sales</v>
      </c>
      <c r="AA1024" s="7" t="str">
        <f t="shared" si="95"/>
        <v>High Margin</v>
      </c>
    </row>
    <row r="1025" spans="1:27" x14ac:dyDescent="0.25">
      <c r="A1025" t="s">
        <v>83</v>
      </c>
      <c r="B1025">
        <v>101</v>
      </c>
      <c r="C1025">
        <v>36</v>
      </c>
      <c r="D1025" s="1">
        <v>42205</v>
      </c>
      <c r="E1025">
        <v>552</v>
      </c>
      <c r="F1025">
        <v>130</v>
      </c>
      <c r="G1025" t="s">
        <v>39</v>
      </c>
      <c r="H1025" t="s">
        <v>36</v>
      </c>
      <c r="I1025">
        <v>33</v>
      </c>
      <c r="J1025" t="s">
        <v>40</v>
      </c>
      <c r="K1025" t="s">
        <v>41</v>
      </c>
      <c r="L1025" t="s">
        <v>53</v>
      </c>
      <c r="M1025">
        <v>126</v>
      </c>
      <c r="N1025">
        <v>246</v>
      </c>
      <c r="O1025" t="s">
        <v>49</v>
      </c>
      <c r="P1025">
        <v>90</v>
      </c>
      <c r="Q1025">
        <v>130</v>
      </c>
      <c r="R1025">
        <v>90</v>
      </c>
      <c r="S1025">
        <v>220</v>
      </c>
      <c r="T1025">
        <v>45</v>
      </c>
      <c r="U1025" t="s">
        <v>35</v>
      </c>
      <c r="V1025">
        <f t="shared" si="90"/>
        <v>0.51219512195121952</v>
      </c>
      <c r="W1025">
        <f t="shared" si="91"/>
        <v>36</v>
      </c>
      <c r="X1025">
        <f t="shared" si="92"/>
        <v>26</v>
      </c>
      <c r="Y1025">
        <f t="shared" si="93"/>
        <v>0.41056910569105692</v>
      </c>
      <c r="Z1025" s="7" t="str">
        <f t="shared" si="94"/>
        <v>Low Sales</v>
      </c>
      <c r="AA1025" s="7" t="str">
        <f t="shared" si="95"/>
        <v>High Margin</v>
      </c>
    </row>
    <row r="1026" spans="1:27" x14ac:dyDescent="0.25">
      <c r="A1026" t="s">
        <v>116</v>
      </c>
      <c r="B1026">
        <v>121</v>
      </c>
      <c r="C1026">
        <v>19</v>
      </c>
      <c r="D1026" s="1">
        <v>42206</v>
      </c>
      <c r="E1026">
        <v>912</v>
      </c>
      <c r="F1026">
        <v>168</v>
      </c>
      <c r="G1026" t="s">
        <v>39</v>
      </c>
      <c r="H1026" t="s">
        <v>36</v>
      </c>
      <c r="I1026">
        <v>109</v>
      </c>
      <c r="J1026" t="s">
        <v>23</v>
      </c>
      <c r="K1026" t="s">
        <v>24</v>
      </c>
      <c r="L1026" t="s">
        <v>57</v>
      </c>
      <c r="M1026">
        <v>39</v>
      </c>
      <c r="N1026">
        <v>308</v>
      </c>
      <c r="O1026" t="s">
        <v>48</v>
      </c>
      <c r="P1026">
        <v>110</v>
      </c>
      <c r="Q1026">
        <v>150</v>
      </c>
      <c r="R1026">
        <v>20</v>
      </c>
      <c r="S1026">
        <v>260</v>
      </c>
      <c r="T1026">
        <v>142</v>
      </c>
      <c r="U1026" t="s">
        <v>27</v>
      </c>
      <c r="V1026">
        <f t="shared" ref="V1026:V1063" si="96">M1026/N1026</f>
        <v>0.12662337662337661</v>
      </c>
      <c r="W1026">
        <f t="shared" ref="W1026:W1063" si="97">M1026-R1026</f>
        <v>19</v>
      </c>
      <c r="X1026">
        <f t="shared" ref="X1026:X1063" si="98">N1026-S1026</f>
        <v>48</v>
      </c>
      <c r="Y1026">
        <f t="shared" ref="Y1026:Y1063" si="99">B1026/N1026</f>
        <v>0.39285714285714285</v>
      </c>
      <c r="Z1026" s="7" t="str">
        <f t="shared" ref="Z1026:Z1089" si="100">IF(N1026&gt;=AVERAGE(N1026:N2087),"High Sales","Low Sales")</f>
        <v>Low Sales</v>
      </c>
      <c r="AA1026" s="7" t="str">
        <f t="shared" ref="AA1026:AA1089" si="101">IF(V1026&gt;=AVERAGE(V1026:V2087), "High Margin", "Low Margin")</f>
        <v>High Margin</v>
      </c>
    </row>
    <row r="1027" spans="1:27" x14ac:dyDescent="0.25">
      <c r="A1027" t="s">
        <v>100</v>
      </c>
      <c r="B1027">
        <v>130</v>
      </c>
      <c r="C1027">
        <v>61</v>
      </c>
      <c r="D1027" s="1">
        <v>42207</v>
      </c>
      <c r="E1027">
        <v>1134</v>
      </c>
      <c r="F1027">
        <v>195</v>
      </c>
      <c r="G1027" t="s">
        <v>39</v>
      </c>
      <c r="H1027" t="s">
        <v>36</v>
      </c>
      <c r="I1027">
        <v>42</v>
      </c>
      <c r="J1027" t="s">
        <v>23</v>
      </c>
      <c r="K1027" t="s">
        <v>24</v>
      </c>
      <c r="L1027" t="s">
        <v>57</v>
      </c>
      <c r="M1027">
        <v>181</v>
      </c>
      <c r="N1027">
        <v>346</v>
      </c>
      <c r="O1027" t="s">
        <v>60</v>
      </c>
      <c r="P1027">
        <v>120</v>
      </c>
      <c r="Q1027">
        <v>180</v>
      </c>
      <c r="R1027">
        <v>120</v>
      </c>
      <c r="S1027">
        <v>300</v>
      </c>
      <c r="T1027">
        <v>73</v>
      </c>
      <c r="U1027" t="s">
        <v>27</v>
      </c>
      <c r="V1027">
        <f t="shared" si="96"/>
        <v>0.52312138728323698</v>
      </c>
      <c r="W1027">
        <f t="shared" si="97"/>
        <v>61</v>
      </c>
      <c r="X1027">
        <f t="shared" si="98"/>
        <v>46</v>
      </c>
      <c r="Y1027">
        <f t="shared" si="99"/>
        <v>0.37572254335260113</v>
      </c>
      <c r="Z1027" s="7" t="str">
        <f t="shared" si="100"/>
        <v>High Sales</v>
      </c>
      <c r="AA1027" s="7" t="str">
        <f t="shared" si="101"/>
        <v>High Margin</v>
      </c>
    </row>
    <row r="1028" spans="1:27" x14ac:dyDescent="0.25">
      <c r="A1028" t="s">
        <v>116</v>
      </c>
      <c r="B1028">
        <v>173</v>
      </c>
      <c r="C1028">
        <v>75</v>
      </c>
      <c r="D1028" s="1">
        <v>42208</v>
      </c>
      <c r="E1028">
        <v>1150</v>
      </c>
      <c r="F1028">
        <v>239</v>
      </c>
      <c r="G1028" t="s">
        <v>39</v>
      </c>
      <c r="H1028" t="s">
        <v>36</v>
      </c>
      <c r="I1028">
        <v>57</v>
      </c>
      <c r="J1028" t="s">
        <v>23</v>
      </c>
      <c r="K1028" t="s">
        <v>24</v>
      </c>
      <c r="L1028" t="s">
        <v>25</v>
      </c>
      <c r="M1028">
        <v>205</v>
      </c>
      <c r="N1028">
        <v>439</v>
      </c>
      <c r="O1028" t="s">
        <v>48</v>
      </c>
      <c r="P1028">
        <v>160</v>
      </c>
      <c r="Q1028">
        <v>220</v>
      </c>
      <c r="R1028">
        <v>130</v>
      </c>
      <c r="S1028">
        <v>380</v>
      </c>
      <c r="T1028">
        <v>101</v>
      </c>
      <c r="U1028" t="s">
        <v>27</v>
      </c>
      <c r="V1028">
        <f t="shared" si="96"/>
        <v>0.46697038724373574</v>
      </c>
      <c r="W1028">
        <f t="shared" si="97"/>
        <v>75</v>
      </c>
      <c r="X1028">
        <f t="shared" si="98"/>
        <v>59</v>
      </c>
      <c r="Y1028">
        <f t="shared" si="99"/>
        <v>0.39407744874715261</v>
      </c>
      <c r="Z1028" s="7" t="str">
        <f t="shared" si="100"/>
        <v>High Sales</v>
      </c>
      <c r="AA1028" s="7" t="str">
        <f t="shared" si="101"/>
        <v>High Margin</v>
      </c>
    </row>
    <row r="1029" spans="1:27" x14ac:dyDescent="0.25">
      <c r="A1029" t="s">
        <v>117</v>
      </c>
      <c r="B1029">
        <v>88</v>
      </c>
      <c r="C1029">
        <v>34</v>
      </c>
      <c r="D1029" s="1">
        <v>42209</v>
      </c>
      <c r="E1029">
        <v>561</v>
      </c>
      <c r="F1029">
        <v>112</v>
      </c>
      <c r="G1029" t="s">
        <v>39</v>
      </c>
      <c r="H1029" t="s">
        <v>36</v>
      </c>
      <c r="I1029">
        <v>29</v>
      </c>
      <c r="J1029" t="s">
        <v>23</v>
      </c>
      <c r="K1029" t="s">
        <v>24</v>
      </c>
      <c r="L1029" t="s">
        <v>25</v>
      </c>
      <c r="M1029">
        <v>104</v>
      </c>
      <c r="N1029">
        <v>213</v>
      </c>
      <c r="O1029" t="s">
        <v>56</v>
      </c>
      <c r="P1029">
        <v>80</v>
      </c>
      <c r="Q1029">
        <v>100</v>
      </c>
      <c r="R1029">
        <v>70</v>
      </c>
      <c r="S1029">
        <v>180</v>
      </c>
      <c r="T1029">
        <v>42</v>
      </c>
      <c r="U1029" t="s">
        <v>27</v>
      </c>
      <c r="V1029">
        <f t="shared" si="96"/>
        <v>0.48826291079812206</v>
      </c>
      <c r="W1029">
        <f t="shared" si="97"/>
        <v>34</v>
      </c>
      <c r="X1029">
        <f t="shared" si="98"/>
        <v>33</v>
      </c>
      <c r="Y1029">
        <f t="shared" si="99"/>
        <v>0.41314553990610331</v>
      </c>
      <c r="Z1029" s="7" t="str">
        <f t="shared" si="100"/>
        <v>Low Sales</v>
      </c>
      <c r="AA1029" s="7" t="str">
        <f t="shared" si="101"/>
        <v>High Margin</v>
      </c>
    </row>
    <row r="1030" spans="1:27" x14ac:dyDescent="0.25">
      <c r="A1030" t="s">
        <v>76</v>
      </c>
      <c r="B1030">
        <v>113</v>
      </c>
      <c r="C1030">
        <v>59</v>
      </c>
      <c r="D1030" s="1">
        <v>42210</v>
      </c>
      <c r="E1030">
        <v>803</v>
      </c>
      <c r="F1030">
        <v>165</v>
      </c>
      <c r="G1030" t="s">
        <v>39</v>
      </c>
      <c r="H1030" t="s">
        <v>36</v>
      </c>
      <c r="I1030">
        <v>36</v>
      </c>
      <c r="J1030" t="s">
        <v>23</v>
      </c>
      <c r="K1030" t="s">
        <v>24</v>
      </c>
      <c r="L1030" t="s">
        <v>28</v>
      </c>
      <c r="M1030">
        <v>159</v>
      </c>
      <c r="N1030">
        <v>296</v>
      </c>
      <c r="O1030" t="s">
        <v>48</v>
      </c>
      <c r="P1030">
        <v>100</v>
      </c>
      <c r="Q1030">
        <v>150</v>
      </c>
      <c r="R1030">
        <v>100</v>
      </c>
      <c r="S1030">
        <v>250</v>
      </c>
      <c r="T1030">
        <v>58</v>
      </c>
      <c r="U1030" t="s">
        <v>27</v>
      </c>
      <c r="V1030">
        <f t="shared" si="96"/>
        <v>0.53716216216216217</v>
      </c>
      <c r="W1030">
        <f t="shared" si="97"/>
        <v>59</v>
      </c>
      <c r="X1030">
        <f t="shared" si="98"/>
        <v>46</v>
      </c>
      <c r="Y1030">
        <f t="shared" si="99"/>
        <v>0.38175675675675674</v>
      </c>
      <c r="Z1030" s="7" t="str">
        <f t="shared" si="100"/>
        <v>Low Sales</v>
      </c>
      <c r="AA1030" s="7" t="str">
        <f t="shared" si="101"/>
        <v>High Margin</v>
      </c>
    </row>
    <row r="1031" spans="1:27" x14ac:dyDescent="0.25">
      <c r="A1031" t="s">
        <v>76</v>
      </c>
      <c r="B1031">
        <v>228</v>
      </c>
      <c r="C1031">
        <v>151</v>
      </c>
      <c r="D1031" s="1">
        <v>42211</v>
      </c>
      <c r="E1031">
        <v>1691</v>
      </c>
      <c r="F1031">
        <v>304</v>
      </c>
      <c r="G1031" t="s">
        <v>39</v>
      </c>
      <c r="H1031" t="s">
        <v>36</v>
      </c>
      <c r="I1031">
        <v>75</v>
      </c>
      <c r="J1031" t="s">
        <v>23</v>
      </c>
      <c r="K1031" t="s">
        <v>32</v>
      </c>
      <c r="L1031" t="s">
        <v>33</v>
      </c>
      <c r="M1031">
        <v>291</v>
      </c>
      <c r="N1031">
        <v>567</v>
      </c>
      <c r="O1031" t="s">
        <v>48</v>
      </c>
      <c r="P1031">
        <v>160</v>
      </c>
      <c r="Q1031">
        <v>220</v>
      </c>
      <c r="R1031">
        <v>140</v>
      </c>
      <c r="S1031">
        <v>380</v>
      </c>
      <c r="T1031">
        <v>108</v>
      </c>
      <c r="U1031" t="s">
        <v>35</v>
      </c>
      <c r="V1031">
        <f t="shared" si="96"/>
        <v>0.51322751322751325</v>
      </c>
      <c r="W1031">
        <f t="shared" si="97"/>
        <v>151</v>
      </c>
      <c r="X1031">
        <f t="shared" si="98"/>
        <v>187</v>
      </c>
      <c r="Y1031">
        <f t="shared" si="99"/>
        <v>0.40211640211640209</v>
      </c>
      <c r="Z1031" s="7" t="str">
        <f t="shared" si="100"/>
        <v>High Sales</v>
      </c>
      <c r="AA1031" s="7" t="str">
        <f t="shared" si="101"/>
        <v>High Margin</v>
      </c>
    </row>
    <row r="1032" spans="1:27" x14ac:dyDescent="0.25">
      <c r="A1032" t="s">
        <v>116</v>
      </c>
      <c r="B1032">
        <v>211</v>
      </c>
      <c r="C1032">
        <v>110</v>
      </c>
      <c r="D1032" s="1">
        <v>42212</v>
      </c>
      <c r="E1032">
        <v>1778</v>
      </c>
      <c r="F1032">
        <v>212</v>
      </c>
      <c r="G1032" t="s">
        <v>39</v>
      </c>
      <c r="H1032" t="s">
        <v>36</v>
      </c>
      <c r="I1032">
        <v>59</v>
      </c>
      <c r="J1032" t="s">
        <v>23</v>
      </c>
      <c r="K1032" t="s">
        <v>32</v>
      </c>
      <c r="L1032" t="s">
        <v>61</v>
      </c>
      <c r="M1032">
        <v>190</v>
      </c>
      <c r="N1032">
        <v>451</v>
      </c>
      <c r="O1032" t="s">
        <v>48</v>
      </c>
      <c r="P1032">
        <v>150</v>
      </c>
      <c r="Q1032">
        <v>150</v>
      </c>
      <c r="R1032">
        <v>80</v>
      </c>
      <c r="S1032">
        <v>300</v>
      </c>
      <c r="T1032">
        <v>84</v>
      </c>
      <c r="U1032" t="s">
        <v>35</v>
      </c>
      <c r="V1032">
        <f t="shared" si="96"/>
        <v>0.42128603104212858</v>
      </c>
      <c r="W1032">
        <f t="shared" si="97"/>
        <v>110</v>
      </c>
      <c r="X1032">
        <f t="shared" si="98"/>
        <v>151</v>
      </c>
      <c r="Y1032">
        <f t="shared" si="99"/>
        <v>0.46784922394678491</v>
      </c>
      <c r="Z1032" s="7" t="str">
        <f t="shared" si="100"/>
        <v>High Sales</v>
      </c>
      <c r="AA1032" s="7" t="str">
        <f t="shared" si="101"/>
        <v>High Margin</v>
      </c>
    </row>
    <row r="1033" spans="1:27" x14ac:dyDescent="0.25">
      <c r="A1033" t="s">
        <v>80</v>
      </c>
      <c r="B1033">
        <v>78</v>
      </c>
      <c r="C1033">
        <v>42</v>
      </c>
      <c r="D1033" s="1">
        <v>42213</v>
      </c>
      <c r="E1033">
        <v>798</v>
      </c>
      <c r="F1033">
        <v>119</v>
      </c>
      <c r="G1033" t="s">
        <v>39</v>
      </c>
      <c r="H1033" t="s">
        <v>36</v>
      </c>
      <c r="I1033">
        <v>25</v>
      </c>
      <c r="J1033" t="s">
        <v>23</v>
      </c>
      <c r="K1033" t="s">
        <v>32</v>
      </c>
      <c r="L1033" t="s">
        <v>61</v>
      </c>
      <c r="M1033">
        <v>92</v>
      </c>
      <c r="N1033">
        <v>210</v>
      </c>
      <c r="O1033" t="s">
        <v>56</v>
      </c>
      <c r="P1033">
        <v>50</v>
      </c>
      <c r="Q1033">
        <v>90</v>
      </c>
      <c r="R1033">
        <v>50</v>
      </c>
      <c r="S1033">
        <v>140</v>
      </c>
      <c r="T1033">
        <v>57</v>
      </c>
      <c r="U1033" t="s">
        <v>35</v>
      </c>
      <c r="V1033">
        <f t="shared" si="96"/>
        <v>0.43809523809523809</v>
      </c>
      <c r="W1033">
        <f t="shared" si="97"/>
        <v>42</v>
      </c>
      <c r="X1033">
        <f t="shared" si="98"/>
        <v>70</v>
      </c>
      <c r="Y1033">
        <f t="shared" si="99"/>
        <v>0.37142857142857144</v>
      </c>
      <c r="Z1033" s="7" t="str">
        <f t="shared" si="100"/>
        <v>Low Sales</v>
      </c>
      <c r="AA1033" s="7" t="str">
        <f t="shared" si="101"/>
        <v>High Margin</v>
      </c>
    </row>
    <row r="1034" spans="1:27" x14ac:dyDescent="0.25">
      <c r="A1034" t="s">
        <v>76</v>
      </c>
      <c r="B1034">
        <v>245</v>
      </c>
      <c r="C1034">
        <v>-225</v>
      </c>
      <c r="D1034" s="1">
        <v>42214</v>
      </c>
      <c r="E1034">
        <v>7653</v>
      </c>
      <c r="F1034">
        <v>-245</v>
      </c>
      <c r="G1034" t="s">
        <v>39</v>
      </c>
      <c r="H1034" t="s">
        <v>36</v>
      </c>
      <c r="I1034">
        <v>93</v>
      </c>
      <c r="J1034" t="s">
        <v>23</v>
      </c>
      <c r="K1034" t="s">
        <v>32</v>
      </c>
      <c r="L1034" t="s">
        <v>37</v>
      </c>
      <c r="M1034">
        <v>-505</v>
      </c>
      <c r="N1034">
        <v>34</v>
      </c>
      <c r="O1034" t="s">
        <v>48</v>
      </c>
      <c r="P1034">
        <v>180</v>
      </c>
      <c r="Q1034">
        <v>-180</v>
      </c>
      <c r="R1034">
        <v>-280</v>
      </c>
      <c r="S1034">
        <v>0</v>
      </c>
      <c r="T1034">
        <v>127</v>
      </c>
      <c r="U1034" t="s">
        <v>35</v>
      </c>
      <c r="V1034">
        <f t="shared" si="96"/>
        <v>-14.852941176470589</v>
      </c>
      <c r="W1034">
        <f t="shared" si="97"/>
        <v>-225</v>
      </c>
      <c r="X1034">
        <f t="shared" si="98"/>
        <v>34</v>
      </c>
      <c r="Y1034">
        <f t="shared" si="99"/>
        <v>7.2058823529411766</v>
      </c>
      <c r="Z1034" s="7" t="str">
        <f t="shared" si="100"/>
        <v>Low Sales</v>
      </c>
      <c r="AA1034" s="7" t="str">
        <f t="shared" si="101"/>
        <v>Low Margin</v>
      </c>
    </row>
    <row r="1035" spans="1:27" x14ac:dyDescent="0.25">
      <c r="A1035" t="s">
        <v>85</v>
      </c>
      <c r="B1035">
        <v>102</v>
      </c>
      <c r="C1035">
        <v>62</v>
      </c>
      <c r="D1035" s="1">
        <v>42215</v>
      </c>
      <c r="E1035">
        <v>666</v>
      </c>
      <c r="F1035">
        <v>143</v>
      </c>
      <c r="G1035" t="s">
        <v>39</v>
      </c>
      <c r="H1035" t="s">
        <v>36</v>
      </c>
      <c r="I1035">
        <v>31</v>
      </c>
      <c r="J1035" t="s">
        <v>23</v>
      </c>
      <c r="K1035" t="s">
        <v>32</v>
      </c>
      <c r="L1035" t="s">
        <v>37</v>
      </c>
      <c r="M1035">
        <v>132</v>
      </c>
      <c r="N1035">
        <v>261</v>
      </c>
      <c r="O1035" t="s">
        <v>56</v>
      </c>
      <c r="P1035">
        <v>70</v>
      </c>
      <c r="Q1035">
        <v>100</v>
      </c>
      <c r="R1035">
        <v>70</v>
      </c>
      <c r="S1035">
        <v>170</v>
      </c>
      <c r="T1035">
        <v>54</v>
      </c>
      <c r="U1035" t="s">
        <v>35</v>
      </c>
      <c r="V1035">
        <f t="shared" si="96"/>
        <v>0.50574712643678166</v>
      </c>
      <c r="W1035">
        <f t="shared" si="97"/>
        <v>62</v>
      </c>
      <c r="X1035">
        <f t="shared" si="98"/>
        <v>91</v>
      </c>
      <c r="Y1035">
        <f t="shared" si="99"/>
        <v>0.39080459770114945</v>
      </c>
      <c r="Z1035" s="7" t="str">
        <f t="shared" si="100"/>
        <v>Low Sales</v>
      </c>
      <c r="AA1035" s="7" t="str">
        <f t="shared" si="101"/>
        <v>High Margin</v>
      </c>
    </row>
    <row r="1036" spans="1:27" x14ac:dyDescent="0.25">
      <c r="A1036" t="s">
        <v>206</v>
      </c>
      <c r="B1036">
        <v>224</v>
      </c>
      <c r="C1036">
        <v>-71</v>
      </c>
      <c r="D1036" s="1">
        <v>42216</v>
      </c>
      <c r="E1036">
        <v>4216</v>
      </c>
      <c r="F1036">
        <v>-32</v>
      </c>
      <c r="G1036" t="s">
        <v>21</v>
      </c>
      <c r="H1036" t="s">
        <v>36</v>
      </c>
      <c r="I1036">
        <v>73</v>
      </c>
      <c r="J1036" t="s">
        <v>40</v>
      </c>
      <c r="K1036" t="s">
        <v>45</v>
      </c>
      <c r="L1036" t="s">
        <v>46</v>
      </c>
      <c r="M1036">
        <v>-221</v>
      </c>
      <c r="N1036">
        <v>205</v>
      </c>
      <c r="O1036" t="s">
        <v>38</v>
      </c>
      <c r="P1036">
        <v>260</v>
      </c>
      <c r="Q1036">
        <v>-40</v>
      </c>
      <c r="R1036">
        <v>-150</v>
      </c>
      <c r="S1036">
        <v>220</v>
      </c>
      <c r="T1036">
        <v>117</v>
      </c>
      <c r="U1036" t="s">
        <v>27</v>
      </c>
      <c r="V1036">
        <f t="shared" si="96"/>
        <v>-1.0780487804878049</v>
      </c>
      <c r="W1036">
        <f t="shared" si="97"/>
        <v>-71</v>
      </c>
      <c r="X1036">
        <f t="shared" si="98"/>
        <v>-15</v>
      </c>
      <c r="Y1036">
        <f t="shared" si="99"/>
        <v>1.0926829268292684</v>
      </c>
      <c r="Z1036" s="7" t="str">
        <f t="shared" si="100"/>
        <v>Low Sales</v>
      </c>
      <c r="AA1036" s="7" t="str">
        <f t="shared" si="101"/>
        <v>Low Margin</v>
      </c>
    </row>
    <row r="1037" spans="1:27" x14ac:dyDescent="0.25">
      <c r="A1037" t="s">
        <v>132</v>
      </c>
      <c r="B1037">
        <v>247</v>
      </c>
      <c r="C1037">
        <v>111</v>
      </c>
      <c r="D1037" s="1">
        <v>42217</v>
      </c>
      <c r="E1037">
        <v>1744</v>
      </c>
      <c r="F1037">
        <v>329</v>
      </c>
      <c r="G1037" t="s">
        <v>21</v>
      </c>
      <c r="H1037" t="s">
        <v>36</v>
      </c>
      <c r="I1037">
        <v>81</v>
      </c>
      <c r="J1037" t="s">
        <v>40</v>
      </c>
      <c r="K1037" t="s">
        <v>41</v>
      </c>
      <c r="L1037" t="s">
        <v>42</v>
      </c>
      <c r="M1037">
        <v>321</v>
      </c>
      <c r="N1037">
        <v>614</v>
      </c>
      <c r="O1037" t="s">
        <v>38</v>
      </c>
      <c r="P1037">
        <v>240</v>
      </c>
      <c r="Q1037">
        <v>310</v>
      </c>
      <c r="R1037">
        <v>210</v>
      </c>
      <c r="S1037">
        <v>550</v>
      </c>
      <c r="T1037">
        <v>113</v>
      </c>
      <c r="U1037" t="s">
        <v>27</v>
      </c>
      <c r="V1037">
        <f t="shared" si="96"/>
        <v>0.5228013029315961</v>
      </c>
      <c r="W1037">
        <f t="shared" si="97"/>
        <v>111</v>
      </c>
      <c r="X1037">
        <f t="shared" si="98"/>
        <v>64</v>
      </c>
      <c r="Y1037">
        <f t="shared" si="99"/>
        <v>0.40228013029315962</v>
      </c>
      <c r="Z1037" s="7" t="str">
        <f t="shared" si="100"/>
        <v>High Sales</v>
      </c>
      <c r="AA1037" s="7" t="str">
        <f t="shared" si="101"/>
        <v>High Margin</v>
      </c>
    </row>
    <row r="1038" spans="1:27" x14ac:dyDescent="0.25">
      <c r="A1038" t="s">
        <v>132</v>
      </c>
      <c r="B1038">
        <v>127</v>
      </c>
      <c r="C1038">
        <v>-41</v>
      </c>
      <c r="D1038" s="1">
        <v>42218</v>
      </c>
      <c r="E1038">
        <v>2947</v>
      </c>
      <c r="F1038">
        <v>-25</v>
      </c>
      <c r="G1038" t="s">
        <v>21</v>
      </c>
      <c r="H1038" t="s">
        <v>36</v>
      </c>
      <c r="I1038">
        <v>40</v>
      </c>
      <c r="J1038" t="s">
        <v>40</v>
      </c>
      <c r="K1038" t="s">
        <v>45</v>
      </c>
      <c r="L1038" t="s">
        <v>50</v>
      </c>
      <c r="M1038">
        <v>-131</v>
      </c>
      <c r="N1038">
        <v>109</v>
      </c>
      <c r="O1038" t="s">
        <v>38</v>
      </c>
      <c r="P1038">
        <v>150</v>
      </c>
      <c r="Q1038">
        <v>-30</v>
      </c>
      <c r="R1038">
        <v>-90</v>
      </c>
      <c r="S1038">
        <v>120</v>
      </c>
      <c r="T1038">
        <v>63</v>
      </c>
      <c r="U1038" t="s">
        <v>35</v>
      </c>
      <c r="V1038">
        <f t="shared" si="96"/>
        <v>-1.201834862385321</v>
      </c>
      <c r="W1038">
        <f t="shared" si="97"/>
        <v>-41</v>
      </c>
      <c r="X1038">
        <f t="shared" si="98"/>
        <v>-11</v>
      </c>
      <c r="Y1038">
        <f t="shared" si="99"/>
        <v>1.165137614678899</v>
      </c>
      <c r="Z1038" s="7" t="str">
        <f t="shared" si="100"/>
        <v>Low Sales</v>
      </c>
      <c r="AA1038" s="7" t="str">
        <f t="shared" si="101"/>
        <v>Low Margin</v>
      </c>
    </row>
    <row r="1039" spans="1:27" x14ac:dyDescent="0.25">
      <c r="A1039" t="s">
        <v>160</v>
      </c>
      <c r="B1039">
        <v>279</v>
      </c>
      <c r="C1039">
        <v>52</v>
      </c>
      <c r="D1039" s="1">
        <v>42219</v>
      </c>
      <c r="E1039">
        <v>2642</v>
      </c>
      <c r="F1039">
        <v>420</v>
      </c>
      <c r="G1039" t="s">
        <v>21</v>
      </c>
      <c r="H1039" t="s">
        <v>36</v>
      </c>
      <c r="I1039">
        <v>97</v>
      </c>
      <c r="J1039" t="s">
        <v>40</v>
      </c>
      <c r="K1039" t="s">
        <v>45</v>
      </c>
      <c r="L1039" t="s">
        <v>52</v>
      </c>
      <c r="M1039">
        <v>402</v>
      </c>
      <c r="N1039">
        <v>745</v>
      </c>
      <c r="O1039" t="s">
        <v>38</v>
      </c>
      <c r="P1039">
        <v>330</v>
      </c>
      <c r="Q1039">
        <v>500</v>
      </c>
      <c r="R1039">
        <v>350</v>
      </c>
      <c r="S1039">
        <v>830</v>
      </c>
      <c r="T1039">
        <v>149</v>
      </c>
      <c r="U1039" t="s">
        <v>35</v>
      </c>
      <c r="V1039">
        <f t="shared" si="96"/>
        <v>0.53959731543624156</v>
      </c>
      <c r="W1039">
        <f t="shared" si="97"/>
        <v>52</v>
      </c>
      <c r="X1039">
        <f t="shared" si="98"/>
        <v>-85</v>
      </c>
      <c r="Y1039">
        <f t="shared" si="99"/>
        <v>0.37449664429530199</v>
      </c>
      <c r="Z1039" s="7" t="str">
        <f t="shared" si="100"/>
        <v>High Sales</v>
      </c>
      <c r="AA1039" s="7" t="str">
        <f t="shared" si="101"/>
        <v>High Margin</v>
      </c>
    </row>
    <row r="1040" spans="1:27" x14ac:dyDescent="0.25">
      <c r="A1040" t="s">
        <v>216</v>
      </c>
      <c r="B1040">
        <v>250</v>
      </c>
      <c r="C1040">
        <v>73</v>
      </c>
      <c r="D1040" s="1">
        <v>42220</v>
      </c>
      <c r="E1040">
        <v>1820</v>
      </c>
      <c r="F1040">
        <v>251</v>
      </c>
      <c r="G1040" t="s">
        <v>21</v>
      </c>
      <c r="H1040" t="s">
        <v>36</v>
      </c>
      <c r="I1040">
        <v>70</v>
      </c>
      <c r="J1040" t="s">
        <v>40</v>
      </c>
      <c r="K1040" t="s">
        <v>41</v>
      </c>
      <c r="L1040" t="s">
        <v>54</v>
      </c>
      <c r="M1040">
        <v>233</v>
      </c>
      <c r="N1040">
        <v>534</v>
      </c>
      <c r="O1040" t="s">
        <v>38</v>
      </c>
      <c r="P1040">
        <v>240</v>
      </c>
      <c r="Q1040">
        <v>240</v>
      </c>
      <c r="R1040">
        <v>160</v>
      </c>
      <c r="S1040">
        <v>480</v>
      </c>
      <c r="T1040">
        <v>94</v>
      </c>
      <c r="U1040" t="s">
        <v>35</v>
      </c>
      <c r="V1040">
        <f t="shared" si="96"/>
        <v>0.43632958801498128</v>
      </c>
      <c r="W1040">
        <f t="shared" si="97"/>
        <v>73</v>
      </c>
      <c r="X1040">
        <f t="shared" si="98"/>
        <v>54</v>
      </c>
      <c r="Y1040">
        <f t="shared" si="99"/>
        <v>0.46816479400749061</v>
      </c>
      <c r="Z1040" s="7" t="str">
        <f t="shared" si="100"/>
        <v>High Sales</v>
      </c>
      <c r="AA1040" s="7" t="str">
        <f t="shared" si="101"/>
        <v>High Margin</v>
      </c>
    </row>
    <row r="1041" spans="1:27" x14ac:dyDescent="0.25">
      <c r="A1041" t="s">
        <v>160</v>
      </c>
      <c r="B1041">
        <v>135</v>
      </c>
      <c r="C1041">
        <v>6</v>
      </c>
      <c r="D1041" s="1">
        <v>42221</v>
      </c>
      <c r="E1041">
        <v>940</v>
      </c>
      <c r="F1041">
        <v>187</v>
      </c>
      <c r="G1041" t="s">
        <v>21</v>
      </c>
      <c r="H1041" t="s">
        <v>36</v>
      </c>
      <c r="I1041">
        <v>122</v>
      </c>
      <c r="J1041" t="s">
        <v>40</v>
      </c>
      <c r="K1041" t="s">
        <v>41</v>
      </c>
      <c r="L1041" t="s">
        <v>53</v>
      </c>
      <c r="M1041">
        <v>46</v>
      </c>
      <c r="N1041">
        <v>343</v>
      </c>
      <c r="O1041" t="s">
        <v>38</v>
      </c>
      <c r="P1041">
        <v>130</v>
      </c>
      <c r="Q1041">
        <v>180</v>
      </c>
      <c r="R1041">
        <v>40</v>
      </c>
      <c r="S1041">
        <v>310</v>
      </c>
      <c r="T1041">
        <v>156</v>
      </c>
      <c r="U1041" t="s">
        <v>35</v>
      </c>
      <c r="V1041">
        <f t="shared" si="96"/>
        <v>0.13411078717201166</v>
      </c>
      <c r="W1041">
        <f t="shared" si="97"/>
        <v>6</v>
      </c>
      <c r="X1041">
        <f t="shared" si="98"/>
        <v>33</v>
      </c>
      <c r="Y1041">
        <f t="shared" si="99"/>
        <v>0.39358600583090381</v>
      </c>
      <c r="Z1041" s="7" t="str">
        <f t="shared" si="100"/>
        <v>High Sales</v>
      </c>
      <c r="AA1041" s="7" t="str">
        <f t="shared" si="101"/>
        <v>High Margin</v>
      </c>
    </row>
    <row r="1042" spans="1:27" x14ac:dyDescent="0.25">
      <c r="A1042" t="s">
        <v>212</v>
      </c>
      <c r="B1042">
        <v>86</v>
      </c>
      <c r="C1042">
        <v>52</v>
      </c>
      <c r="D1042" s="1">
        <v>42222</v>
      </c>
      <c r="E1042">
        <v>1003</v>
      </c>
      <c r="F1042">
        <v>124</v>
      </c>
      <c r="G1042" t="s">
        <v>21</v>
      </c>
      <c r="H1042" t="s">
        <v>36</v>
      </c>
      <c r="I1042">
        <v>24</v>
      </c>
      <c r="J1042" t="s">
        <v>23</v>
      </c>
      <c r="K1042" t="s">
        <v>24</v>
      </c>
      <c r="L1042" t="s">
        <v>57</v>
      </c>
      <c r="M1042">
        <v>132</v>
      </c>
      <c r="N1042">
        <v>224</v>
      </c>
      <c r="O1042" t="s">
        <v>38</v>
      </c>
      <c r="P1042">
        <v>80</v>
      </c>
      <c r="Q1042">
        <v>110</v>
      </c>
      <c r="R1042">
        <v>80</v>
      </c>
      <c r="S1042">
        <v>190</v>
      </c>
      <c r="T1042">
        <v>35</v>
      </c>
      <c r="U1042" t="s">
        <v>27</v>
      </c>
      <c r="V1042">
        <f t="shared" si="96"/>
        <v>0.5892857142857143</v>
      </c>
      <c r="W1042">
        <f t="shared" si="97"/>
        <v>52</v>
      </c>
      <c r="X1042">
        <f t="shared" si="98"/>
        <v>34</v>
      </c>
      <c r="Y1042">
        <f t="shared" si="99"/>
        <v>0.38392857142857145</v>
      </c>
      <c r="Z1042" s="7" t="str">
        <f t="shared" si="100"/>
        <v>Low Sales</v>
      </c>
      <c r="AA1042" s="7" t="str">
        <f t="shared" si="101"/>
        <v>High Margin</v>
      </c>
    </row>
    <row r="1043" spans="1:27" x14ac:dyDescent="0.25">
      <c r="A1043" t="s">
        <v>209</v>
      </c>
      <c r="B1043">
        <v>241</v>
      </c>
      <c r="C1043">
        <v>109</v>
      </c>
      <c r="D1043" s="1">
        <v>42223</v>
      </c>
      <c r="E1043">
        <v>1321</v>
      </c>
      <c r="F1043">
        <v>284</v>
      </c>
      <c r="G1043" t="s">
        <v>21</v>
      </c>
      <c r="H1043" t="s">
        <v>36</v>
      </c>
      <c r="I1043">
        <v>74</v>
      </c>
      <c r="J1043" t="s">
        <v>23</v>
      </c>
      <c r="K1043" t="s">
        <v>24</v>
      </c>
      <c r="L1043" t="s">
        <v>25</v>
      </c>
      <c r="M1043">
        <v>279</v>
      </c>
      <c r="N1043">
        <v>559</v>
      </c>
      <c r="O1043" t="s">
        <v>38</v>
      </c>
      <c r="P1043">
        <v>220</v>
      </c>
      <c r="Q1043">
        <v>260</v>
      </c>
      <c r="R1043">
        <v>170</v>
      </c>
      <c r="S1043">
        <v>480</v>
      </c>
      <c r="T1043">
        <v>96</v>
      </c>
      <c r="U1043" t="s">
        <v>27</v>
      </c>
      <c r="V1043">
        <f t="shared" si="96"/>
        <v>0.49910554561717352</v>
      </c>
      <c r="W1043">
        <f t="shared" si="97"/>
        <v>109</v>
      </c>
      <c r="X1043">
        <f t="shared" si="98"/>
        <v>79</v>
      </c>
      <c r="Y1043">
        <f t="shared" si="99"/>
        <v>0.43112701252236135</v>
      </c>
      <c r="Z1043" s="7" t="str">
        <f t="shared" si="100"/>
        <v>High Sales</v>
      </c>
      <c r="AA1043" s="7" t="str">
        <f t="shared" si="101"/>
        <v>High Margin</v>
      </c>
    </row>
    <row r="1044" spans="1:27" x14ac:dyDescent="0.25">
      <c r="A1044" t="s">
        <v>153</v>
      </c>
      <c r="B1044">
        <v>123</v>
      </c>
      <c r="C1044">
        <v>89</v>
      </c>
      <c r="D1044" s="1">
        <v>42224</v>
      </c>
      <c r="E1044">
        <v>959</v>
      </c>
      <c r="F1044">
        <v>179</v>
      </c>
      <c r="G1044" t="s">
        <v>21</v>
      </c>
      <c r="H1044" t="s">
        <v>36</v>
      </c>
      <c r="I1044">
        <v>34</v>
      </c>
      <c r="J1044" t="s">
        <v>23</v>
      </c>
      <c r="K1044" t="s">
        <v>32</v>
      </c>
      <c r="L1044" t="s">
        <v>33</v>
      </c>
      <c r="M1044">
        <v>199</v>
      </c>
      <c r="N1044">
        <v>322</v>
      </c>
      <c r="O1044" t="s">
        <v>38</v>
      </c>
      <c r="P1044">
        <v>90</v>
      </c>
      <c r="Q1044">
        <v>130</v>
      </c>
      <c r="R1044">
        <v>110</v>
      </c>
      <c r="S1044">
        <v>220</v>
      </c>
      <c r="T1044">
        <v>45</v>
      </c>
      <c r="U1044" t="s">
        <v>35</v>
      </c>
      <c r="V1044">
        <f t="shared" si="96"/>
        <v>0.61801242236024845</v>
      </c>
      <c r="W1044">
        <f t="shared" si="97"/>
        <v>89</v>
      </c>
      <c r="X1044">
        <f t="shared" si="98"/>
        <v>102</v>
      </c>
      <c r="Y1044">
        <f t="shared" si="99"/>
        <v>0.38198757763975155</v>
      </c>
      <c r="Z1044" s="7" t="str">
        <f t="shared" si="100"/>
        <v>High Sales</v>
      </c>
      <c r="AA1044" s="7" t="str">
        <f t="shared" si="101"/>
        <v>High Margin</v>
      </c>
    </row>
    <row r="1045" spans="1:27" x14ac:dyDescent="0.25">
      <c r="A1045" t="s">
        <v>83</v>
      </c>
      <c r="B1045">
        <v>68</v>
      </c>
      <c r="C1045">
        <v>-11</v>
      </c>
      <c r="D1045" s="1">
        <v>42225</v>
      </c>
      <c r="E1045">
        <v>619</v>
      </c>
      <c r="F1045">
        <v>85</v>
      </c>
      <c r="G1045" t="s">
        <v>39</v>
      </c>
      <c r="H1045" t="s">
        <v>36</v>
      </c>
      <c r="I1045">
        <v>25</v>
      </c>
      <c r="J1045" t="s">
        <v>40</v>
      </c>
      <c r="K1045" t="s">
        <v>45</v>
      </c>
      <c r="L1045" t="s">
        <v>46</v>
      </c>
      <c r="M1045">
        <v>39</v>
      </c>
      <c r="N1045">
        <v>163</v>
      </c>
      <c r="O1045" t="s">
        <v>49</v>
      </c>
      <c r="P1045">
        <v>80</v>
      </c>
      <c r="Q1045">
        <v>100</v>
      </c>
      <c r="R1045">
        <v>50</v>
      </c>
      <c r="S1045">
        <v>180</v>
      </c>
      <c r="T1045">
        <v>59</v>
      </c>
      <c r="U1045" t="s">
        <v>27</v>
      </c>
      <c r="V1045">
        <f t="shared" si="96"/>
        <v>0.2392638036809816</v>
      </c>
      <c r="W1045">
        <f t="shared" si="97"/>
        <v>-11</v>
      </c>
      <c r="X1045">
        <f t="shared" si="98"/>
        <v>-17</v>
      </c>
      <c r="Y1045">
        <f t="shared" si="99"/>
        <v>0.41717791411042943</v>
      </c>
      <c r="Z1045" s="7" t="str">
        <f t="shared" si="100"/>
        <v>Low Sales</v>
      </c>
      <c r="AA1045" s="7" t="str">
        <f t="shared" si="101"/>
        <v>High Margin</v>
      </c>
    </row>
    <row r="1046" spans="1:27" x14ac:dyDescent="0.25">
      <c r="A1046" t="s">
        <v>100</v>
      </c>
      <c r="B1046">
        <v>105</v>
      </c>
      <c r="C1046">
        <v>-20</v>
      </c>
      <c r="D1046" s="1">
        <v>42226</v>
      </c>
      <c r="E1046">
        <v>716</v>
      </c>
      <c r="F1046">
        <v>145</v>
      </c>
      <c r="G1046" t="s">
        <v>39</v>
      </c>
      <c r="H1046" t="s">
        <v>36</v>
      </c>
      <c r="I1046">
        <v>95</v>
      </c>
      <c r="J1046" t="s">
        <v>40</v>
      </c>
      <c r="K1046" t="s">
        <v>45</v>
      </c>
      <c r="L1046" t="s">
        <v>46</v>
      </c>
      <c r="M1046">
        <v>30</v>
      </c>
      <c r="N1046">
        <v>266</v>
      </c>
      <c r="O1046" t="s">
        <v>60</v>
      </c>
      <c r="P1046">
        <v>120</v>
      </c>
      <c r="Q1046">
        <v>170</v>
      </c>
      <c r="R1046">
        <v>50</v>
      </c>
      <c r="S1046">
        <v>290</v>
      </c>
      <c r="T1046">
        <v>125</v>
      </c>
      <c r="U1046" t="s">
        <v>27</v>
      </c>
      <c r="V1046">
        <f t="shared" si="96"/>
        <v>0.11278195488721804</v>
      </c>
      <c r="W1046">
        <f t="shared" si="97"/>
        <v>-20</v>
      </c>
      <c r="X1046">
        <f t="shared" si="98"/>
        <v>-24</v>
      </c>
      <c r="Y1046">
        <f t="shared" si="99"/>
        <v>0.39473684210526316</v>
      </c>
      <c r="Z1046" s="7" t="str">
        <f t="shared" si="100"/>
        <v>Low Sales</v>
      </c>
      <c r="AA1046" s="7" t="str">
        <f t="shared" si="101"/>
        <v>High Margin</v>
      </c>
    </row>
    <row r="1047" spans="1:27" x14ac:dyDescent="0.25">
      <c r="A1047" t="s">
        <v>85</v>
      </c>
      <c r="B1047">
        <v>153</v>
      </c>
      <c r="C1047">
        <v>49</v>
      </c>
      <c r="D1047" s="1">
        <v>42227</v>
      </c>
      <c r="E1047">
        <v>1319</v>
      </c>
      <c r="F1047">
        <v>153</v>
      </c>
      <c r="G1047" t="s">
        <v>39</v>
      </c>
      <c r="H1047" t="s">
        <v>36</v>
      </c>
      <c r="I1047">
        <v>42</v>
      </c>
      <c r="J1047" t="s">
        <v>40</v>
      </c>
      <c r="K1047" t="s">
        <v>41</v>
      </c>
      <c r="L1047" t="s">
        <v>42</v>
      </c>
      <c r="M1047">
        <v>129</v>
      </c>
      <c r="N1047">
        <v>326</v>
      </c>
      <c r="O1047" t="s">
        <v>56</v>
      </c>
      <c r="P1047">
        <v>150</v>
      </c>
      <c r="Q1047">
        <v>140</v>
      </c>
      <c r="R1047">
        <v>80</v>
      </c>
      <c r="S1047">
        <v>290</v>
      </c>
      <c r="T1047">
        <v>66</v>
      </c>
      <c r="U1047" t="s">
        <v>27</v>
      </c>
      <c r="V1047">
        <f t="shared" si="96"/>
        <v>0.39570552147239263</v>
      </c>
      <c r="W1047">
        <f t="shared" si="97"/>
        <v>49</v>
      </c>
      <c r="X1047">
        <f t="shared" si="98"/>
        <v>36</v>
      </c>
      <c r="Y1047">
        <f t="shared" si="99"/>
        <v>0.46932515337423314</v>
      </c>
      <c r="Z1047" s="7" t="str">
        <f t="shared" si="100"/>
        <v>High Sales</v>
      </c>
      <c r="AA1047" s="7" t="str">
        <f t="shared" si="101"/>
        <v>High Margin</v>
      </c>
    </row>
    <row r="1048" spans="1:27" x14ac:dyDescent="0.25">
      <c r="A1048" t="s">
        <v>146</v>
      </c>
      <c r="B1048">
        <v>80</v>
      </c>
      <c r="C1048">
        <v>16</v>
      </c>
      <c r="D1048" s="1">
        <v>42228</v>
      </c>
      <c r="E1048">
        <v>1079</v>
      </c>
      <c r="F1048">
        <v>96</v>
      </c>
      <c r="G1048" t="s">
        <v>39</v>
      </c>
      <c r="H1048" t="s">
        <v>36</v>
      </c>
      <c r="I1048">
        <v>24</v>
      </c>
      <c r="J1048" t="s">
        <v>40</v>
      </c>
      <c r="K1048" t="s">
        <v>41</v>
      </c>
      <c r="L1048" t="s">
        <v>42</v>
      </c>
      <c r="M1048">
        <v>76</v>
      </c>
      <c r="N1048">
        <v>188</v>
      </c>
      <c r="O1048" t="s">
        <v>60</v>
      </c>
      <c r="P1048">
        <v>70</v>
      </c>
      <c r="Q1048">
        <v>100</v>
      </c>
      <c r="R1048">
        <v>60</v>
      </c>
      <c r="S1048">
        <v>170</v>
      </c>
      <c r="T1048">
        <v>45</v>
      </c>
      <c r="U1048" t="s">
        <v>27</v>
      </c>
      <c r="V1048">
        <f t="shared" si="96"/>
        <v>0.40425531914893614</v>
      </c>
      <c r="W1048">
        <f t="shared" si="97"/>
        <v>16</v>
      </c>
      <c r="X1048">
        <f t="shared" si="98"/>
        <v>18</v>
      </c>
      <c r="Y1048">
        <f t="shared" si="99"/>
        <v>0.42553191489361702</v>
      </c>
      <c r="Z1048" s="7" t="str">
        <f t="shared" si="100"/>
        <v>Low Sales</v>
      </c>
      <c r="AA1048" s="7" t="str">
        <f t="shared" si="101"/>
        <v>High Margin</v>
      </c>
    </row>
    <row r="1049" spans="1:27" x14ac:dyDescent="0.25">
      <c r="A1049" t="s">
        <v>77</v>
      </c>
      <c r="B1049">
        <v>63</v>
      </c>
      <c r="C1049">
        <v>3</v>
      </c>
      <c r="D1049" s="1">
        <v>42229</v>
      </c>
      <c r="E1049">
        <v>1075</v>
      </c>
      <c r="F1049">
        <v>76</v>
      </c>
      <c r="G1049" t="s">
        <v>39</v>
      </c>
      <c r="H1049" t="s">
        <v>36</v>
      </c>
      <c r="I1049">
        <v>19</v>
      </c>
      <c r="J1049" t="s">
        <v>40</v>
      </c>
      <c r="K1049" t="s">
        <v>45</v>
      </c>
      <c r="L1049" t="s">
        <v>50</v>
      </c>
      <c r="M1049">
        <v>53</v>
      </c>
      <c r="N1049">
        <v>148</v>
      </c>
      <c r="O1049" t="s">
        <v>49</v>
      </c>
      <c r="P1049">
        <v>70</v>
      </c>
      <c r="Q1049">
        <v>90</v>
      </c>
      <c r="R1049">
        <v>50</v>
      </c>
      <c r="S1049">
        <v>160</v>
      </c>
      <c r="T1049">
        <v>40</v>
      </c>
      <c r="U1049" t="s">
        <v>35</v>
      </c>
      <c r="V1049">
        <f t="shared" si="96"/>
        <v>0.35810810810810811</v>
      </c>
      <c r="W1049">
        <f t="shared" si="97"/>
        <v>3</v>
      </c>
      <c r="X1049">
        <f t="shared" si="98"/>
        <v>-12</v>
      </c>
      <c r="Y1049">
        <f t="shared" si="99"/>
        <v>0.42567567567567566</v>
      </c>
      <c r="Z1049" s="7" t="str">
        <f t="shared" si="100"/>
        <v>Low Sales</v>
      </c>
      <c r="AA1049" s="7" t="str">
        <f t="shared" si="101"/>
        <v>High Margin</v>
      </c>
    </row>
    <row r="1050" spans="1:27" x14ac:dyDescent="0.25">
      <c r="A1050" t="s">
        <v>146</v>
      </c>
      <c r="B1050">
        <v>72</v>
      </c>
      <c r="C1050">
        <v>6</v>
      </c>
      <c r="D1050" s="1">
        <v>42230</v>
      </c>
      <c r="E1050">
        <v>461</v>
      </c>
      <c r="F1050">
        <v>104</v>
      </c>
      <c r="G1050" t="s">
        <v>39</v>
      </c>
      <c r="H1050" t="s">
        <v>36</v>
      </c>
      <c r="I1050">
        <v>23</v>
      </c>
      <c r="J1050" t="s">
        <v>40</v>
      </c>
      <c r="K1050" t="s">
        <v>45</v>
      </c>
      <c r="L1050" t="s">
        <v>52</v>
      </c>
      <c r="M1050">
        <v>86</v>
      </c>
      <c r="N1050">
        <v>188</v>
      </c>
      <c r="O1050" t="s">
        <v>60</v>
      </c>
      <c r="P1050">
        <v>80</v>
      </c>
      <c r="Q1050">
        <v>120</v>
      </c>
      <c r="R1050">
        <v>80</v>
      </c>
      <c r="S1050">
        <v>200</v>
      </c>
      <c r="T1050">
        <v>46</v>
      </c>
      <c r="U1050" t="s">
        <v>35</v>
      </c>
      <c r="V1050">
        <f t="shared" si="96"/>
        <v>0.45744680851063829</v>
      </c>
      <c r="W1050">
        <f t="shared" si="97"/>
        <v>6</v>
      </c>
      <c r="X1050">
        <f t="shared" si="98"/>
        <v>-12</v>
      </c>
      <c r="Y1050">
        <f t="shared" si="99"/>
        <v>0.38297872340425532</v>
      </c>
      <c r="Z1050" s="7" t="str">
        <f t="shared" si="100"/>
        <v>Low Sales</v>
      </c>
      <c r="AA1050" s="7" t="str">
        <f t="shared" si="101"/>
        <v>High Margin</v>
      </c>
    </row>
    <row r="1051" spans="1:27" x14ac:dyDescent="0.25">
      <c r="A1051" t="s">
        <v>76</v>
      </c>
      <c r="B1051">
        <v>16</v>
      </c>
      <c r="C1051">
        <v>5</v>
      </c>
      <c r="D1051" s="1">
        <v>42231</v>
      </c>
      <c r="E1051">
        <v>851</v>
      </c>
      <c r="F1051">
        <v>25</v>
      </c>
      <c r="G1051" t="s">
        <v>39</v>
      </c>
      <c r="H1051" t="s">
        <v>36</v>
      </c>
      <c r="I1051">
        <v>4</v>
      </c>
      <c r="J1051" t="s">
        <v>40</v>
      </c>
      <c r="K1051" t="s">
        <v>41</v>
      </c>
      <c r="L1051" t="s">
        <v>53</v>
      </c>
      <c r="M1051">
        <v>15</v>
      </c>
      <c r="N1051">
        <v>44</v>
      </c>
      <c r="O1051" t="s">
        <v>48</v>
      </c>
      <c r="P1051">
        <v>10</v>
      </c>
      <c r="Q1051">
        <v>20</v>
      </c>
      <c r="R1051">
        <v>10</v>
      </c>
      <c r="S1051">
        <v>30</v>
      </c>
      <c r="T1051">
        <v>15</v>
      </c>
      <c r="U1051" t="s">
        <v>35</v>
      </c>
      <c r="V1051">
        <f t="shared" si="96"/>
        <v>0.34090909090909088</v>
      </c>
      <c r="W1051">
        <f t="shared" si="97"/>
        <v>5</v>
      </c>
      <c r="X1051">
        <f t="shared" si="98"/>
        <v>14</v>
      </c>
      <c r="Y1051">
        <f t="shared" si="99"/>
        <v>0.36363636363636365</v>
      </c>
      <c r="Z1051" s="7" t="str">
        <f t="shared" si="100"/>
        <v>Low Sales</v>
      </c>
      <c r="AA1051" s="7" t="str">
        <f t="shared" si="101"/>
        <v>High Margin</v>
      </c>
    </row>
    <row r="1052" spans="1:27" x14ac:dyDescent="0.25">
      <c r="A1052" t="s">
        <v>77</v>
      </c>
      <c r="B1052">
        <v>94</v>
      </c>
      <c r="C1052">
        <v>44</v>
      </c>
      <c r="D1052" s="1">
        <v>42232</v>
      </c>
      <c r="E1052">
        <v>540</v>
      </c>
      <c r="F1052">
        <v>120</v>
      </c>
      <c r="G1052" t="s">
        <v>39</v>
      </c>
      <c r="H1052" t="s">
        <v>36</v>
      </c>
      <c r="I1052">
        <v>31</v>
      </c>
      <c r="J1052" t="s">
        <v>40</v>
      </c>
      <c r="K1052" t="s">
        <v>41</v>
      </c>
      <c r="L1052" t="s">
        <v>53</v>
      </c>
      <c r="M1052">
        <v>114</v>
      </c>
      <c r="N1052">
        <v>228</v>
      </c>
      <c r="O1052" t="s">
        <v>49</v>
      </c>
      <c r="P1052">
        <v>90</v>
      </c>
      <c r="Q1052">
        <v>110</v>
      </c>
      <c r="R1052">
        <v>70</v>
      </c>
      <c r="S1052">
        <v>200</v>
      </c>
      <c r="T1052">
        <v>43</v>
      </c>
      <c r="U1052" t="s">
        <v>35</v>
      </c>
      <c r="V1052">
        <f t="shared" si="96"/>
        <v>0.5</v>
      </c>
      <c r="W1052">
        <f t="shared" si="97"/>
        <v>44</v>
      </c>
      <c r="X1052">
        <f t="shared" si="98"/>
        <v>28</v>
      </c>
      <c r="Y1052">
        <f t="shared" si="99"/>
        <v>0.41228070175438597</v>
      </c>
      <c r="Z1052" s="7" t="str">
        <f t="shared" si="100"/>
        <v>Low Sales</v>
      </c>
      <c r="AA1052" s="7" t="str">
        <f t="shared" si="101"/>
        <v>High Margin</v>
      </c>
    </row>
    <row r="1053" spans="1:27" x14ac:dyDescent="0.25">
      <c r="A1053" t="s">
        <v>116</v>
      </c>
      <c r="B1053">
        <v>135</v>
      </c>
      <c r="C1053">
        <v>17</v>
      </c>
      <c r="D1053" s="1">
        <v>42233</v>
      </c>
      <c r="E1053">
        <v>940</v>
      </c>
      <c r="F1053">
        <v>187</v>
      </c>
      <c r="G1053" t="s">
        <v>39</v>
      </c>
      <c r="H1053" t="s">
        <v>36</v>
      </c>
      <c r="I1053">
        <v>122</v>
      </c>
      <c r="J1053" t="s">
        <v>23</v>
      </c>
      <c r="K1053" t="s">
        <v>24</v>
      </c>
      <c r="L1053" t="s">
        <v>57</v>
      </c>
      <c r="M1053">
        <v>47</v>
      </c>
      <c r="N1053">
        <v>343</v>
      </c>
      <c r="O1053" t="s">
        <v>48</v>
      </c>
      <c r="P1053">
        <v>120</v>
      </c>
      <c r="Q1053">
        <v>170</v>
      </c>
      <c r="R1053">
        <v>30</v>
      </c>
      <c r="S1053">
        <v>290</v>
      </c>
      <c r="T1053">
        <v>155</v>
      </c>
      <c r="U1053" t="s">
        <v>27</v>
      </c>
      <c r="V1053">
        <f t="shared" si="96"/>
        <v>0.13702623906705538</v>
      </c>
      <c r="W1053">
        <f t="shared" si="97"/>
        <v>17</v>
      </c>
      <c r="X1053">
        <f t="shared" si="98"/>
        <v>53</v>
      </c>
      <c r="Y1053">
        <f t="shared" si="99"/>
        <v>0.39358600583090381</v>
      </c>
      <c r="Z1053" s="7" t="str">
        <f t="shared" si="100"/>
        <v>High Sales</v>
      </c>
      <c r="AA1053" s="7" t="str">
        <f t="shared" si="101"/>
        <v>High Margin</v>
      </c>
    </row>
    <row r="1054" spans="1:27" x14ac:dyDescent="0.25">
      <c r="A1054" t="s">
        <v>124</v>
      </c>
      <c r="B1054">
        <v>115</v>
      </c>
      <c r="C1054">
        <v>46</v>
      </c>
      <c r="D1054" s="1">
        <v>42234</v>
      </c>
      <c r="E1054">
        <v>1166</v>
      </c>
      <c r="F1054">
        <v>174</v>
      </c>
      <c r="G1054" t="s">
        <v>39</v>
      </c>
      <c r="H1054" t="s">
        <v>36</v>
      </c>
      <c r="I1054">
        <v>37</v>
      </c>
      <c r="J1054" t="s">
        <v>23</v>
      </c>
      <c r="K1054" t="s">
        <v>24</v>
      </c>
      <c r="L1054" t="s">
        <v>57</v>
      </c>
      <c r="M1054">
        <v>156</v>
      </c>
      <c r="N1054">
        <v>308</v>
      </c>
      <c r="O1054" t="s">
        <v>60</v>
      </c>
      <c r="P1054">
        <v>100</v>
      </c>
      <c r="Q1054">
        <v>160</v>
      </c>
      <c r="R1054">
        <v>110</v>
      </c>
      <c r="S1054">
        <v>260</v>
      </c>
      <c r="T1054">
        <v>69</v>
      </c>
      <c r="U1054" t="s">
        <v>27</v>
      </c>
      <c r="V1054">
        <f t="shared" si="96"/>
        <v>0.50649350649350644</v>
      </c>
      <c r="W1054">
        <f t="shared" si="97"/>
        <v>46</v>
      </c>
      <c r="X1054">
        <f t="shared" si="98"/>
        <v>48</v>
      </c>
      <c r="Y1054">
        <f t="shared" si="99"/>
        <v>0.37337662337662336</v>
      </c>
      <c r="Z1054" s="7" t="str">
        <f t="shared" si="100"/>
        <v>Low Sales</v>
      </c>
      <c r="AA1054" s="7" t="str">
        <f t="shared" si="101"/>
        <v>High Margin</v>
      </c>
    </row>
    <row r="1055" spans="1:27" x14ac:dyDescent="0.25">
      <c r="A1055" t="s">
        <v>116</v>
      </c>
      <c r="B1055">
        <v>224</v>
      </c>
      <c r="C1055">
        <v>118</v>
      </c>
      <c r="D1055" s="1">
        <v>42235</v>
      </c>
      <c r="E1055">
        <v>1191</v>
      </c>
      <c r="F1055">
        <v>310</v>
      </c>
      <c r="G1055" t="s">
        <v>39</v>
      </c>
      <c r="H1055" t="s">
        <v>36</v>
      </c>
      <c r="I1055">
        <v>73</v>
      </c>
      <c r="J1055" t="s">
        <v>23</v>
      </c>
      <c r="K1055" t="s">
        <v>24</v>
      </c>
      <c r="L1055" t="s">
        <v>25</v>
      </c>
      <c r="M1055">
        <v>288</v>
      </c>
      <c r="N1055">
        <v>569</v>
      </c>
      <c r="O1055" t="s">
        <v>48</v>
      </c>
      <c r="P1055">
        <v>210</v>
      </c>
      <c r="Q1055">
        <v>280</v>
      </c>
      <c r="R1055">
        <v>170</v>
      </c>
      <c r="S1055">
        <v>490</v>
      </c>
      <c r="T1055">
        <v>116</v>
      </c>
      <c r="U1055" t="s">
        <v>27</v>
      </c>
      <c r="V1055">
        <f t="shared" si="96"/>
        <v>0.5061511423550088</v>
      </c>
      <c r="W1055">
        <f t="shared" si="97"/>
        <v>118</v>
      </c>
      <c r="X1055">
        <f t="shared" si="98"/>
        <v>79</v>
      </c>
      <c r="Y1055">
        <f t="shared" si="99"/>
        <v>0.39367311072056238</v>
      </c>
      <c r="Z1055" s="7" t="str">
        <f t="shared" si="100"/>
        <v>High Sales</v>
      </c>
      <c r="AA1055" s="7" t="str">
        <f t="shared" si="101"/>
        <v>High Margin</v>
      </c>
    </row>
    <row r="1056" spans="1:27" x14ac:dyDescent="0.25">
      <c r="A1056" t="s">
        <v>80</v>
      </c>
      <c r="B1056">
        <v>81</v>
      </c>
      <c r="C1056">
        <v>28</v>
      </c>
      <c r="D1056" s="1">
        <v>42236</v>
      </c>
      <c r="E1056">
        <v>551</v>
      </c>
      <c r="F1056">
        <v>104</v>
      </c>
      <c r="G1056" t="s">
        <v>39</v>
      </c>
      <c r="H1056" t="s">
        <v>36</v>
      </c>
      <c r="I1056">
        <v>26</v>
      </c>
      <c r="J1056" t="s">
        <v>23</v>
      </c>
      <c r="K1056" t="s">
        <v>24</v>
      </c>
      <c r="L1056" t="s">
        <v>25</v>
      </c>
      <c r="M1056">
        <v>98</v>
      </c>
      <c r="N1056">
        <v>197</v>
      </c>
      <c r="O1056" t="s">
        <v>56</v>
      </c>
      <c r="P1056">
        <v>70</v>
      </c>
      <c r="Q1056">
        <v>100</v>
      </c>
      <c r="R1056">
        <v>70</v>
      </c>
      <c r="S1056">
        <v>170</v>
      </c>
      <c r="T1056">
        <v>38</v>
      </c>
      <c r="U1056" t="s">
        <v>27</v>
      </c>
      <c r="V1056">
        <f t="shared" si="96"/>
        <v>0.49746192893401014</v>
      </c>
      <c r="W1056">
        <f t="shared" si="97"/>
        <v>28</v>
      </c>
      <c r="X1056">
        <f t="shared" si="98"/>
        <v>27</v>
      </c>
      <c r="Y1056">
        <f t="shared" si="99"/>
        <v>0.41116751269035534</v>
      </c>
      <c r="Z1056" s="7" t="str">
        <f t="shared" si="100"/>
        <v>Low Sales</v>
      </c>
      <c r="AA1056" s="7" t="str">
        <f t="shared" si="101"/>
        <v>High Margin</v>
      </c>
    </row>
    <row r="1057" spans="1:27" x14ac:dyDescent="0.25">
      <c r="A1057" t="s">
        <v>76</v>
      </c>
      <c r="B1057">
        <v>127</v>
      </c>
      <c r="C1057">
        <v>61</v>
      </c>
      <c r="D1057" s="1">
        <v>42237</v>
      </c>
      <c r="E1057">
        <v>830</v>
      </c>
      <c r="F1057">
        <v>185</v>
      </c>
      <c r="G1057" t="s">
        <v>39</v>
      </c>
      <c r="H1057" t="s">
        <v>36</v>
      </c>
      <c r="I1057">
        <v>40</v>
      </c>
      <c r="J1057" t="s">
        <v>23</v>
      </c>
      <c r="K1057" t="s">
        <v>24</v>
      </c>
      <c r="L1057" t="s">
        <v>28</v>
      </c>
      <c r="M1057">
        <v>181</v>
      </c>
      <c r="N1057">
        <v>332</v>
      </c>
      <c r="O1057" t="s">
        <v>48</v>
      </c>
      <c r="P1057">
        <v>120</v>
      </c>
      <c r="Q1057">
        <v>170</v>
      </c>
      <c r="R1057">
        <v>120</v>
      </c>
      <c r="S1057">
        <v>290</v>
      </c>
      <c r="T1057">
        <v>63</v>
      </c>
      <c r="U1057" t="s">
        <v>27</v>
      </c>
      <c r="V1057">
        <f t="shared" si="96"/>
        <v>0.54518072289156627</v>
      </c>
      <c r="W1057">
        <f t="shared" si="97"/>
        <v>61</v>
      </c>
      <c r="X1057">
        <f t="shared" si="98"/>
        <v>42</v>
      </c>
      <c r="Y1057">
        <f t="shared" si="99"/>
        <v>0.38253012048192769</v>
      </c>
      <c r="Z1057" s="7" t="str">
        <f t="shared" si="100"/>
        <v>High Sales</v>
      </c>
      <c r="AA1057" s="7" t="str">
        <f t="shared" si="101"/>
        <v>High Margin</v>
      </c>
    </row>
    <row r="1058" spans="1:27" x14ac:dyDescent="0.25">
      <c r="A1058" t="s">
        <v>76</v>
      </c>
      <c r="B1058">
        <v>247</v>
      </c>
      <c r="C1058">
        <v>169</v>
      </c>
      <c r="D1058" s="1">
        <v>42238</v>
      </c>
      <c r="E1058">
        <v>1744</v>
      </c>
      <c r="F1058">
        <v>329</v>
      </c>
      <c r="G1058" t="s">
        <v>39</v>
      </c>
      <c r="H1058" t="s">
        <v>36</v>
      </c>
      <c r="I1058">
        <v>81</v>
      </c>
      <c r="J1058" t="s">
        <v>23</v>
      </c>
      <c r="K1058" t="s">
        <v>32</v>
      </c>
      <c r="L1058" t="s">
        <v>33</v>
      </c>
      <c r="M1058">
        <v>319</v>
      </c>
      <c r="N1058">
        <v>614</v>
      </c>
      <c r="O1058" t="s">
        <v>48</v>
      </c>
      <c r="P1058">
        <v>180</v>
      </c>
      <c r="Q1058">
        <v>240</v>
      </c>
      <c r="R1058">
        <v>150</v>
      </c>
      <c r="S1058">
        <v>420</v>
      </c>
      <c r="T1058">
        <v>114</v>
      </c>
      <c r="U1058" t="s">
        <v>35</v>
      </c>
      <c r="V1058">
        <f t="shared" si="96"/>
        <v>0.51954397394136809</v>
      </c>
      <c r="W1058">
        <f t="shared" si="97"/>
        <v>169</v>
      </c>
      <c r="X1058">
        <f t="shared" si="98"/>
        <v>194</v>
      </c>
      <c r="Y1058">
        <f t="shared" si="99"/>
        <v>0.40228013029315962</v>
      </c>
      <c r="Z1058" s="7" t="str">
        <f t="shared" si="100"/>
        <v>High Sales</v>
      </c>
      <c r="AA1058" s="7" t="str">
        <f t="shared" si="101"/>
        <v>High Margin</v>
      </c>
    </row>
    <row r="1059" spans="1:27" x14ac:dyDescent="0.25">
      <c r="A1059" t="s">
        <v>76</v>
      </c>
      <c r="B1059">
        <v>250</v>
      </c>
      <c r="C1059">
        <v>133</v>
      </c>
      <c r="D1059" s="1">
        <v>42239</v>
      </c>
      <c r="E1059">
        <v>1820</v>
      </c>
      <c r="F1059">
        <v>251</v>
      </c>
      <c r="G1059" t="s">
        <v>39</v>
      </c>
      <c r="H1059" t="s">
        <v>36</v>
      </c>
      <c r="I1059">
        <v>70</v>
      </c>
      <c r="J1059" t="s">
        <v>23</v>
      </c>
      <c r="K1059" t="s">
        <v>32</v>
      </c>
      <c r="L1059" t="s">
        <v>61</v>
      </c>
      <c r="M1059">
        <v>233</v>
      </c>
      <c r="N1059">
        <v>534</v>
      </c>
      <c r="O1059" t="s">
        <v>48</v>
      </c>
      <c r="P1059">
        <v>180</v>
      </c>
      <c r="Q1059">
        <v>180</v>
      </c>
      <c r="R1059">
        <v>100</v>
      </c>
      <c r="S1059">
        <v>360</v>
      </c>
      <c r="T1059">
        <v>94</v>
      </c>
      <c r="U1059" t="s">
        <v>35</v>
      </c>
      <c r="V1059">
        <f t="shared" si="96"/>
        <v>0.43632958801498128</v>
      </c>
      <c r="W1059">
        <f t="shared" si="97"/>
        <v>133</v>
      </c>
      <c r="X1059">
        <f t="shared" si="98"/>
        <v>174</v>
      </c>
      <c r="Y1059">
        <f t="shared" si="99"/>
        <v>0.46816479400749061</v>
      </c>
      <c r="Z1059" s="7" t="str">
        <f t="shared" si="100"/>
        <v>High Sales</v>
      </c>
      <c r="AA1059" s="7" t="str">
        <f t="shared" si="101"/>
        <v>High Margin</v>
      </c>
    </row>
    <row r="1060" spans="1:27" x14ac:dyDescent="0.25">
      <c r="A1060" t="s">
        <v>85</v>
      </c>
      <c r="B1060">
        <v>88</v>
      </c>
      <c r="C1060">
        <v>48</v>
      </c>
      <c r="D1060" s="1">
        <v>42240</v>
      </c>
      <c r="E1060">
        <v>817</v>
      </c>
      <c r="F1060">
        <v>133</v>
      </c>
      <c r="G1060" t="s">
        <v>39</v>
      </c>
      <c r="H1060" t="s">
        <v>36</v>
      </c>
      <c r="I1060">
        <v>29</v>
      </c>
      <c r="J1060" t="s">
        <v>23</v>
      </c>
      <c r="K1060" t="s">
        <v>32</v>
      </c>
      <c r="L1060" t="s">
        <v>61</v>
      </c>
      <c r="M1060">
        <v>108</v>
      </c>
      <c r="N1060">
        <v>236</v>
      </c>
      <c r="O1060" t="s">
        <v>56</v>
      </c>
      <c r="P1060">
        <v>60</v>
      </c>
      <c r="Q1060">
        <v>100</v>
      </c>
      <c r="R1060">
        <v>60</v>
      </c>
      <c r="S1060">
        <v>160</v>
      </c>
      <c r="T1060">
        <v>60</v>
      </c>
      <c r="U1060" t="s">
        <v>35</v>
      </c>
      <c r="V1060">
        <f t="shared" si="96"/>
        <v>0.4576271186440678</v>
      </c>
      <c r="W1060">
        <f t="shared" si="97"/>
        <v>48</v>
      </c>
      <c r="X1060">
        <f t="shared" si="98"/>
        <v>76</v>
      </c>
      <c r="Y1060">
        <f t="shared" si="99"/>
        <v>0.3728813559322034</v>
      </c>
      <c r="Z1060" s="7" t="str">
        <f t="shared" si="100"/>
        <v>High Sales</v>
      </c>
      <c r="AA1060" s="7" t="str">
        <f t="shared" si="101"/>
        <v>High Margin</v>
      </c>
    </row>
    <row r="1061" spans="1:27" x14ac:dyDescent="0.25">
      <c r="A1061" t="s">
        <v>76</v>
      </c>
      <c r="B1061">
        <v>294</v>
      </c>
      <c r="C1061">
        <v>-285</v>
      </c>
      <c r="D1061" s="1">
        <v>42241</v>
      </c>
      <c r="E1061">
        <v>8252</v>
      </c>
      <c r="F1061">
        <v>-294</v>
      </c>
      <c r="G1061" t="s">
        <v>39</v>
      </c>
      <c r="H1061" t="s">
        <v>36</v>
      </c>
      <c r="I1061">
        <v>111</v>
      </c>
      <c r="J1061" t="s">
        <v>23</v>
      </c>
      <c r="K1061" t="s">
        <v>32</v>
      </c>
      <c r="L1061" t="s">
        <v>37</v>
      </c>
      <c r="M1061">
        <v>-605</v>
      </c>
      <c r="N1061">
        <v>33</v>
      </c>
      <c r="O1061" t="s">
        <v>48</v>
      </c>
      <c r="P1061">
        <v>210</v>
      </c>
      <c r="Q1061">
        <v>-210</v>
      </c>
      <c r="R1061">
        <v>-320</v>
      </c>
      <c r="S1061">
        <v>0</v>
      </c>
      <c r="T1061">
        <v>145</v>
      </c>
      <c r="U1061" t="s">
        <v>35</v>
      </c>
      <c r="V1061">
        <f t="shared" si="96"/>
        <v>-18.333333333333332</v>
      </c>
      <c r="W1061">
        <f t="shared" si="97"/>
        <v>-285</v>
      </c>
      <c r="X1061">
        <f t="shared" si="98"/>
        <v>33</v>
      </c>
      <c r="Y1061">
        <f t="shared" si="99"/>
        <v>8.9090909090909083</v>
      </c>
      <c r="Z1061" s="7" t="str">
        <f t="shared" si="100"/>
        <v>Low Sales</v>
      </c>
      <c r="AA1061" s="7" t="str">
        <f t="shared" si="101"/>
        <v>Low Margin</v>
      </c>
    </row>
    <row r="1062" spans="1:27" x14ac:dyDescent="0.25">
      <c r="A1062" t="s">
        <v>80</v>
      </c>
      <c r="B1062">
        <v>134</v>
      </c>
      <c r="C1062">
        <v>80</v>
      </c>
      <c r="D1062" s="1">
        <v>42242</v>
      </c>
      <c r="E1062">
        <v>690</v>
      </c>
      <c r="F1062">
        <v>186</v>
      </c>
      <c r="G1062" t="s">
        <v>39</v>
      </c>
      <c r="H1062" t="s">
        <v>36</v>
      </c>
      <c r="I1062">
        <v>41</v>
      </c>
      <c r="J1062" t="s">
        <v>23</v>
      </c>
      <c r="K1062" t="s">
        <v>32</v>
      </c>
      <c r="L1062" t="s">
        <v>37</v>
      </c>
      <c r="M1062">
        <v>180</v>
      </c>
      <c r="N1062">
        <v>341</v>
      </c>
      <c r="O1062" t="s">
        <v>56</v>
      </c>
      <c r="P1062">
        <v>90</v>
      </c>
      <c r="Q1062">
        <v>140</v>
      </c>
      <c r="R1062">
        <v>100</v>
      </c>
      <c r="S1062">
        <v>230</v>
      </c>
      <c r="T1062">
        <v>65</v>
      </c>
      <c r="U1062" t="s">
        <v>35</v>
      </c>
      <c r="V1062">
        <f t="shared" si="96"/>
        <v>0.52785923753665687</v>
      </c>
      <c r="W1062">
        <f t="shared" si="97"/>
        <v>80</v>
      </c>
      <c r="X1062">
        <f t="shared" si="98"/>
        <v>111</v>
      </c>
      <c r="Y1062">
        <f t="shared" si="99"/>
        <v>0.39296187683284456</v>
      </c>
      <c r="Z1062" s="7" t="str">
        <f t="shared" si="100"/>
        <v>High Sales</v>
      </c>
      <c r="AA1062" s="7" t="str">
        <f t="shared" si="101"/>
        <v>High Margin</v>
      </c>
    </row>
    <row r="1063" spans="1:27" x14ac:dyDescent="0.25">
      <c r="A1063" t="s">
        <v>77</v>
      </c>
      <c r="B1063">
        <v>20</v>
      </c>
      <c r="C1063">
        <v>-22</v>
      </c>
      <c r="D1063" s="1">
        <v>42243</v>
      </c>
      <c r="E1063">
        <v>218</v>
      </c>
      <c r="F1063">
        <v>25</v>
      </c>
      <c r="G1063" t="s">
        <v>39</v>
      </c>
      <c r="H1063" t="s">
        <v>36</v>
      </c>
      <c r="I1063">
        <v>7</v>
      </c>
      <c r="J1063" t="s">
        <v>23</v>
      </c>
      <c r="K1063" t="s">
        <v>32</v>
      </c>
      <c r="L1063" t="s">
        <v>37</v>
      </c>
      <c r="M1063">
        <v>-22</v>
      </c>
      <c r="N1063">
        <v>48</v>
      </c>
      <c r="O1063" t="s">
        <v>49</v>
      </c>
      <c r="P1063">
        <v>10</v>
      </c>
      <c r="Q1063">
        <v>20</v>
      </c>
      <c r="R1063">
        <v>0</v>
      </c>
      <c r="S1063">
        <v>30</v>
      </c>
      <c r="T1063">
        <v>40</v>
      </c>
      <c r="U1063" t="s">
        <v>35</v>
      </c>
      <c r="V1063">
        <f t="shared" si="96"/>
        <v>-0.45833333333333331</v>
      </c>
      <c r="W1063">
        <f t="shared" si="97"/>
        <v>-22</v>
      </c>
      <c r="X1063">
        <f t="shared" si="98"/>
        <v>18</v>
      </c>
      <c r="Y1063">
        <f t="shared" si="99"/>
        <v>0.41666666666666669</v>
      </c>
      <c r="Z1063" s="7" t="str">
        <f t="shared" si="100"/>
        <v>High Sales</v>
      </c>
      <c r="AA1063" s="7" t="str">
        <f t="shared" si="101"/>
        <v>High Margin</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A9580-F48F-488F-B903-5960D24E7809}">
  <dimension ref="A1"/>
  <sheetViews>
    <sheetView workbookViewId="0"/>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91D06-137B-411C-BE9E-32D9CBD44773}">
  <dimension ref="A1"/>
  <sheetViews>
    <sheetView topLeftCell="A7" zoomScale="80" zoomScaleNormal="80" workbookViewId="0">
      <selection activeCell="Y5" sqref="Y5"/>
    </sheetView>
  </sheetViews>
  <sheetFormatPr defaultRowHeight="15" x14ac:dyDescent="0.25"/>
  <cols>
    <col min="1" max="16384" width="9.140625" style="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8C485EE-9DE6-46D4-86C7-3406FA3375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KPIs</vt:lpstr>
      <vt:lpstr>Product Performance Analysis</vt:lpstr>
      <vt:lpstr>Sales &amp; Profit Analysis</vt:lpstr>
      <vt:lpstr>Actual Vs Target Variances</vt:lpstr>
      <vt:lpstr>Coffee_Chain_Sales </vt:lpstr>
      <vt:lpstr>COGS % of Sales Vs Profit Margi</vt:lpstr>
      <vt:lpstr>Dashboard</vt:lpstr>
      <vt:lpstr>AveragePM</vt:lpstr>
      <vt:lpstr>TotalProfit</vt:lpstr>
      <vt:lpstr>TotalSales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2026-01-24T20:19:02Z</dcterms:created>
  <dcterms:modified xsi:type="dcterms:W3CDTF">2026-01-24T20:51:37Z</dcterms:modified>
</cp:coreProperties>
</file>